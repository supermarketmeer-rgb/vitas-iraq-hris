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showInkAnnotation="0"/>
  <mc:AlternateContent xmlns:mc="http://schemas.openxmlformats.org/markup-compatibility/2006">
    <mc:Choice Requires="x15">
      <x15ac:absPath xmlns:x15ac="http://schemas.microsoft.com/office/spreadsheetml/2010/11/ac" url="https://vitasiraq-my.sharepoint.com/personal/mkitab_vitasiraq_com/Documents/Desktop/payroll/FY.27/Oct.26/"/>
    </mc:Choice>
  </mc:AlternateContent>
  <xr:revisionPtr revIDLastSave="442" documentId="11_6FFD6159E1B1634B935CA2BA927B8B8EFC523072" xr6:coauthVersionLast="47" xr6:coauthVersionMax="47" xr10:uidLastSave="{26F88846-B841-47EE-8CBC-715F2662F253}"/>
  <bookViews>
    <workbookView xWindow="-15480" yWindow="2130" windowWidth="15600" windowHeight="11040" tabRatio="839" firstSheet="2" activeTab="8" xr2:uid="{00000000-000D-0000-FFFF-FFFF00000000}"/>
  </bookViews>
  <sheets>
    <sheet name="Final Incentives CO,LOS and LO" sheetId="26" state="hidden" r:id="rId1"/>
    <sheet name="CO Incentive" sheetId="19" r:id="rId2"/>
    <sheet name="LOS Incentive" sheetId="13" r:id="rId3"/>
    <sheet name="LO" sheetId="18" r:id="rId4"/>
    <sheet name="MainData" sheetId="2" r:id="rId5"/>
    <sheet name="ImportDataWA" sheetId="16" r:id="rId6"/>
    <sheet name="LOS Portfoilio " sheetId="31" r:id="rId7"/>
    <sheet name="Loan Officer" sheetId="27" r:id="rId8"/>
    <sheet name="LOS" sheetId="30" r:id="rId9"/>
    <sheet name="Target_Entry" sheetId="25" r:id="rId10"/>
  </sheets>
  <definedNames>
    <definedName name="_xlnm._FilterDatabase" localSheetId="1" hidden="1">'CO Incentive'!$A$6:$AV$13</definedName>
    <definedName name="_xlnm._FilterDatabase" localSheetId="0" hidden="1">'Final Incentives CO,LOS and LO'!$A$5:$E$212</definedName>
    <definedName name="_xlnm._FilterDatabase" localSheetId="5" hidden="1">ImportDataWA!$A$13:$AG$140</definedName>
    <definedName name="_xlnm._FilterDatabase" localSheetId="3" hidden="1">LO!$A$6:$BC$196</definedName>
    <definedName name="_xlnm._FilterDatabase" localSheetId="7" hidden="1">'Loan Officer'!$A$6:$I$132</definedName>
    <definedName name="_xlnm._FilterDatabase" localSheetId="8" hidden="1">LOS!$A$5:$I$32</definedName>
    <definedName name="_xlnm._FilterDatabase" localSheetId="2" hidden="1">'LOS Incentive'!$A$5:$AR$28</definedName>
    <definedName name="_xlnm._FilterDatabase" localSheetId="4" hidden="1">MainData!$A$4:$M$188</definedName>
    <definedName name="_xlnm.Print_Area" localSheetId="0">'Final Incentives CO,LOS and LO'!$A$140:$E$145</definedName>
    <definedName name="_xlnm.Print_Area" localSheetId="3">LO!$A$6:$BC$171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30" l="1"/>
  <c r="I16" i="30"/>
  <c r="I13" i="30"/>
  <c r="I12" i="30"/>
  <c r="I9" i="30"/>
  <c r="I7" i="30"/>
  <c r="E28" i="30"/>
  <c r="E29" i="30"/>
  <c r="E30" i="30"/>
  <c r="E31" i="30"/>
  <c r="AL23" i="13"/>
  <c r="AM23" i="13"/>
  <c r="AM28" i="13"/>
  <c r="AL28" i="13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F29" i="30" s="1"/>
  <c r="G30" i="30"/>
  <c r="F30" i="30" s="1"/>
  <c r="G31" i="30"/>
  <c r="F31" i="30" s="1"/>
  <c r="G32" i="30"/>
  <c r="D7" i="30"/>
  <c r="D4" i="30" s="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H6" i="30"/>
  <c r="G6" i="30"/>
  <c r="D6" i="30"/>
  <c r="E8" i="27"/>
  <c r="F8" i="27"/>
  <c r="G8" i="27"/>
  <c r="H8" i="27"/>
  <c r="E9" i="27"/>
  <c r="F9" i="27"/>
  <c r="G9" i="27"/>
  <c r="H9" i="27"/>
  <c r="E10" i="27"/>
  <c r="F10" i="27"/>
  <c r="G10" i="27"/>
  <c r="H10" i="27"/>
  <c r="I10" i="27" s="1"/>
  <c r="E11" i="27"/>
  <c r="F11" i="27"/>
  <c r="G11" i="27"/>
  <c r="H11" i="27"/>
  <c r="I11" i="27" s="1"/>
  <c r="E12" i="27"/>
  <c r="F12" i="27"/>
  <c r="G12" i="27"/>
  <c r="H12" i="27"/>
  <c r="I12" i="27"/>
  <c r="E13" i="27"/>
  <c r="F13" i="27"/>
  <c r="G13" i="27"/>
  <c r="H13" i="27"/>
  <c r="E14" i="27"/>
  <c r="F14" i="27"/>
  <c r="G14" i="27"/>
  <c r="H14" i="27"/>
  <c r="E15" i="27"/>
  <c r="F15" i="27"/>
  <c r="G15" i="27"/>
  <c r="H15" i="27"/>
  <c r="E16" i="27"/>
  <c r="F16" i="27"/>
  <c r="G16" i="27"/>
  <c r="H16" i="27"/>
  <c r="E17" i="27"/>
  <c r="F17" i="27"/>
  <c r="G17" i="27"/>
  <c r="H17" i="27"/>
  <c r="E18" i="27"/>
  <c r="F18" i="27"/>
  <c r="G18" i="27"/>
  <c r="H18" i="27"/>
  <c r="E19" i="27"/>
  <c r="F19" i="27"/>
  <c r="G19" i="27"/>
  <c r="H19" i="27"/>
  <c r="E20" i="27"/>
  <c r="F20" i="27"/>
  <c r="G20" i="27"/>
  <c r="I20" i="27" s="1"/>
  <c r="H20" i="27"/>
  <c r="E21" i="27"/>
  <c r="F21" i="27"/>
  <c r="G21" i="27"/>
  <c r="H21" i="27"/>
  <c r="E22" i="27"/>
  <c r="F22" i="27"/>
  <c r="G22" i="27"/>
  <c r="H22" i="27"/>
  <c r="E23" i="27"/>
  <c r="F23" i="27"/>
  <c r="G23" i="27"/>
  <c r="H23" i="27"/>
  <c r="E24" i="27"/>
  <c r="F24" i="27"/>
  <c r="G24" i="27"/>
  <c r="H24" i="27"/>
  <c r="I24" i="27" s="1"/>
  <c r="E25" i="27"/>
  <c r="F25" i="27"/>
  <c r="G25" i="27"/>
  <c r="H25" i="27"/>
  <c r="E26" i="27"/>
  <c r="F26" i="27"/>
  <c r="G26" i="27"/>
  <c r="H26" i="27"/>
  <c r="E27" i="27"/>
  <c r="F27" i="27"/>
  <c r="G27" i="27"/>
  <c r="H27" i="27"/>
  <c r="E28" i="27"/>
  <c r="F28" i="27"/>
  <c r="G28" i="27"/>
  <c r="H28" i="27"/>
  <c r="I28" i="27" s="1"/>
  <c r="E29" i="27"/>
  <c r="F29" i="27"/>
  <c r="G29" i="27"/>
  <c r="H29" i="27"/>
  <c r="E30" i="27"/>
  <c r="F30" i="27"/>
  <c r="G30" i="27"/>
  <c r="H30" i="27"/>
  <c r="I30" i="27" s="1"/>
  <c r="E31" i="27"/>
  <c r="F31" i="27"/>
  <c r="G31" i="27"/>
  <c r="H31" i="27"/>
  <c r="E32" i="27"/>
  <c r="F32" i="27"/>
  <c r="G32" i="27"/>
  <c r="H32" i="27"/>
  <c r="E33" i="27"/>
  <c r="F33" i="27"/>
  <c r="G33" i="27"/>
  <c r="H33" i="27"/>
  <c r="E34" i="27"/>
  <c r="F34" i="27"/>
  <c r="G34" i="27"/>
  <c r="H34" i="27"/>
  <c r="E35" i="27"/>
  <c r="F35" i="27"/>
  <c r="G35" i="27"/>
  <c r="H35" i="27"/>
  <c r="E36" i="27"/>
  <c r="F36" i="27"/>
  <c r="G36" i="27"/>
  <c r="H36" i="27"/>
  <c r="E37" i="27"/>
  <c r="F37" i="27"/>
  <c r="G37" i="27"/>
  <c r="H37" i="27"/>
  <c r="E38" i="27"/>
  <c r="F38" i="27"/>
  <c r="G38" i="27"/>
  <c r="H38" i="27"/>
  <c r="I38" i="27" s="1"/>
  <c r="E39" i="27"/>
  <c r="F39" i="27"/>
  <c r="G39" i="27"/>
  <c r="H39" i="27"/>
  <c r="E40" i="27"/>
  <c r="F40" i="27"/>
  <c r="G40" i="27"/>
  <c r="H40" i="27"/>
  <c r="E41" i="27"/>
  <c r="F41" i="27"/>
  <c r="G41" i="27"/>
  <c r="H41" i="27"/>
  <c r="E42" i="27"/>
  <c r="F42" i="27"/>
  <c r="G42" i="27"/>
  <c r="H42" i="27"/>
  <c r="E43" i="27"/>
  <c r="F43" i="27"/>
  <c r="G43" i="27"/>
  <c r="H43" i="27"/>
  <c r="E44" i="27"/>
  <c r="F44" i="27"/>
  <c r="G44" i="27"/>
  <c r="H44" i="27"/>
  <c r="E45" i="27"/>
  <c r="F45" i="27"/>
  <c r="G45" i="27"/>
  <c r="H45" i="27"/>
  <c r="E46" i="27"/>
  <c r="F46" i="27"/>
  <c r="G46" i="27"/>
  <c r="H46" i="27"/>
  <c r="E47" i="27"/>
  <c r="F47" i="27"/>
  <c r="G47" i="27"/>
  <c r="H47" i="27"/>
  <c r="E48" i="27"/>
  <c r="F48" i="27"/>
  <c r="G48" i="27"/>
  <c r="H48" i="27"/>
  <c r="E49" i="27"/>
  <c r="F49" i="27"/>
  <c r="G49" i="27"/>
  <c r="H49" i="27"/>
  <c r="I49" i="27" s="1"/>
  <c r="E50" i="27"/>
  <c r="F50" i="27"/>
  <c r="G50" i="27"/>
  <c r="H50" i="27"/>
  <c r="E51" i="27"/>
  <c r="F51" i="27"/>
  <c r="G51" i="27"/>
  <c r="H51" i="27"/>
  <c r="E52" i="27"/>
  <c r="F52" i="27"/>
  <c r="G52" i="27"/>
  <c r="H52" i="27"/>
  <c r="E53" i="27"/>
  <c r="F53" i="27"/>
  <c r="G53" i="27"/>
  <c r="H53" i="27"/>
  <c r="E54" i="27"/>
  <c r="F54" i="27"/>
  <c r="G54" i="27"/>
  <c r="H54" i="27"/>
  <c r="E55" i="27"/>
  <c r="F55" i="27"/>
  <c r="G55" i="27"/>
  <c r="H55" i="27"/>
  <c r="E56" i="27"/>
  <c r="F56" i="27"/>
  <c r="G56" i="27"/>
  <c r="H56" i="27"/>
  <c r="E57" i="27"/>
  <c r="F57" i="27"/>
  <c r="G57" i="27"/>
  <c r="H57" i="27"/>
  <c r="E58" i="27"/>
  <c r="F58" i="27"/>
  <c r="G58" i="27"/>
  <c r="H58" i="27"/>
  <c r="E59" i="27"/>
  <c r="F59" i="27"/>
  <c r="G59" i="27"/>
  <c r="H59" i="27"/>
  <c r="E60" i="27"/>
  <c r="F60" i="27"/>
  <c r="G60" i="27"/>
  <c r="H60" i="27"/>
  <c r="I60" i="27" s="1"/>
  <c r="E61" i="27"/>
  <c r="F61" i="27"/>
  <c r="G61" i="27"/>
  <c r="H61" i="27"/>
  <c r="I61" i="27" s="1"/>
  <c r="E62" i="27"/>
  <c r="F62" i="27"/>
  <c r="G62" i="27"/>
  <c r="H62" i="27"/>
  <c r="I62" i="27" s="1"/>
  <c r="E63" i="27"/>
  <c r="F63" i="27"/>
  <c r="G63" i="27"/>
  <c r="H63" i="27"/>
  <c r="E64" i="27"/>
  <c r="F64" i="27"/>
  <c r="G64" i="27"/>
  <c r="H64" i="27"/>
  <c r="E65" i="27"/>
  <c r="F65" i="27"/>
  <c r="G65" i="27"/>
  <c r="H65" i="27"/>
  <c r="E66" i="27"/>
  <c r="F66" i="27"/>
  <c r="G66" i="27"/>
  <c r="H66" i="27"/>
  <c r="E67" i="27"/>
  <c r="F67" i="27"/>
  <c r="G67" i="27"/>
  <c r="H67" i="27"/>
  <c r="E68" i="27"/>
  <c r="F68" i="27"/>
  <c r="G68" i="27"/>
  <c r="H68" i="27"/>
  <c r="E69" i="27"/>
  <c r="F69" i="27"/>
  <c r="G69" i="27"/>
  <c r="H69" i="27"/>
  <c r="E70" i="27"/>
  <c r="F70" i="27"/>
  <c r="G70" i="27"/>
  <c r="H70" i="27"/>
  <c r="E71" i="27"/>
  <c r="F71" i="27"/>
  <c r="G71" i="27"/>
  <c r="H71" i="27"/>
  <c r="E72" i="27"/>
  <c r="F72" i="27"/>
  <c r="G72" i="27"/>
  <c r="H72" i="27"/>
  <c r="E73" i="27"/>
  <c r="F73" i="27"/>
  <c r="G73" i="27"/>
  <c r="I73" i="27" s="1"/>
  <c r="H73" i="27"/>
  <c r="E74" i="27"/>
  <c r="F74" i="27"/>
  <c r="G74" i="27"/>
  <c r="H74" i="27"/>
  <c r="E75" i="27"/>
  <c r="F75" i="27"/>
  <c r="G75" i="27"/>
  <c r="H75" i="27"/>
  <c r="E76" i="27"/>
  <c r="F76" i="27"/>
  <c r="G76" i="27"/>
  <c r="H76" i="27"/>
  <c r="E77" i="27"/>
  <c r="F77" i="27"/>
  <c r="G77" i="27"/>
  <c r="H77" i="27"/>
  <c r="E78" i="27"/>
  <c r="F78" i="27"/>
  <c r="G78" i="27"/>
  <c r="H78" i="27"/>
  <c r="E79" i="27"/>
  <c r="F79" i="27"/>
  <c r="G79" i="27"/>
  <c r="H79" i="27"/>
  <c r="E80" i="27"/>
  <c r="F80" i="27"/>
  <c r="G80" i="27"/>
  <c r="H80" i="27"/>
  <c r="E81" i="27"/>
  <c r="F81" i="27"/>
  <c r="G81" i="27"/>
  <c r="H81" i="27"/>
  <c r="E82" i="27"/>
  <c r="F82" i="27"/>
  <c r="G82" i="27"/>
  <c r="H82" i="27"/>
  <c r="E83" i="27"/>
  <c r="F83" i="27"/>
  <c r="G83" i="27"/>
  <c r="H83" i="27"/>
  <c r="E84" i="27"/>
  <c r="F84" i="27"/>
  <c r="G84" i="27"/>
  <c r="H84" i="27"/>
  <c r="E85" i="27"/>
  <c r="F85" i="27"/>
  <c r="G85" i="27"/>
  <c r="H85" i="27"/>
  <c r="E86" i="27"/>
  <c r="F86" i="27"/>
  <c r="G86" i="27"/>
  <c r="H86" i="27"/>
  <c r="E87" i="27"/>
  <c r="F87" i="27"/>
  <c r="G87" i="27"/>
  <c r="H87" i="27"/>
  <c r="E88" i="27"/>
  <c r="F88" i="27"/>
  <c r="G88" i="27"/>
  <c r="H88" i="27"/>
  <c r="E89" i="27"/>
  <c r="F89" i="27"/>
  <c r="G89" i="27"/>
  <c r="H89" i="27"/>
  <c r="E90" i="27"/>
  <c r="F90" i="27"/>
  <c r="G90" i="27"/>
  <c r="H90" i="27"/>
  <c r="E91" i="27"/>
  <c r="F91" i="27"/>
  <c r="G91" i="27"/>
  <c r="H91" i="27"/>
  <c r="E92" i="27"/>
  <c r="F92" i="27"/>
  <c r="G92" i="27"/>
  <c r="H92" i="27"/>
  <c r="E93" i="27"/>
  <c r="F93" i="27"/>
  <c r="G93" i="27"/>
  <c r="H93" i="27"/>
  <c r="E94" i="27"/>
  <c r="F94" i="27"/>
  <c r="G94" i="27"/>
  <c r="H94" i="27"/>
  <c r="E95" i="27"/>
  <c r="F95" i="27"/>
  <c r="G95" i="27"/>
  <c r="H95" i="27"/>
  <c r="E96" i="27"/>
  <c r="F96" i="27"/>
  <c r="G96" i="27"/>
  <c r="H96" i="27"/>
  <c r="E97" i="27"/>
  <c r="F97" i="27"/>
  <c r="G97" i="27"/>
  <c r="H97" i="27"/>
  <c r="E98" i="27"/>
  <c r="F98" i="27"/>
  <c r="G98" i="27"/>
  <c r="H98" i="27"/>
  <c r="E99" i="27"/>
  <c r="F99" i="27"/>
  <c r="G99" i="27"/>
  <c r="H99" i="27"/>
  <c r="E100" i="27"/>
  <c r="F100" i="27"/>
  <c r="G100" i="27"/>
  <c r="H100" i="27"/>
  <c r="E101" i="27"/>
  <c r="F101" i="27"/>
  <c r="G101" i="27"/>
  <c r="H101" i="27"/>
  <c r="E102" i="27"/>
  <c r="F102" i="27"/>
  <c r="G102" i="27"/>
  <c r="H102" i="27"/>
  <c r="E103" i="27"/>
  <c r="F103" i="27"/>
  <c r="G103" i="27"/>
  <c r="H103" i="27"/>
  <c r="E104" i="27"/>
  <c r="F104" i="27"/>
  <c r="G104" i="27"/>
  <c r="H104" i="27"/>
  <c r="E105" i="27"/>
  <c r="F105" i="27"/>
  <c r="G105" i="27"/>
  <c r="H105" i="27"/>
  <c r="E106" i="27"/>
  <c r="F106" i="27"/>
  <c r="G106" i="27"/>
  <c r="H106" i="27"/>
  <c r="E107" i="27"/>
  <c r="F107" i="27"/>
  <c r="G107" i="27"/>
  <c r="H107" i="27"/>
  <c r="E108" i="27"/>
  <c r="F108" i="27"/>
  <c r="G108" i="27"/>
  <c r="H108" i="27"/>
  <c r="E109" i="27"/>
  <c r="F109" i="27"/>
  <c r="G109" i="27"/>
  <c r="H109" i="27"/>
  <c r="E110" i="27"/>
  <c r="F110" i="27"/>
  <c r="G110" i="27"/>
  <c r="H110" i="27"/>
  <c r="E111" i="27"/>
  <c r="F111" i="27"/>
  <c r="G111" i="27"/>
  <c r="H111" i="27"/>
  <c r="E112" i="27"/>
  <c r="F112" i="27"/>
  <c r="G112" i="27"/>
  <c r="H112" i="27"/>
  <c r="E113" i="27"/>
  <c r="F113" i="27"/>
  <c r="G113" i="27"/>
  <c r="H113" i="27"/>
  <c r="E114" i="27"/>
  <c r="F114" i="27"/>
  <c r="G114" i="27"/>
  <c r="H114" i="27"/>
  <c r="E115" i="27"/>
  <c r="F115" i="27"/>
  <c r="G115" i="27"/>
  <c r="H115" i="27"/>
  <c r="E116" i="27"/>
  <c r="F116" i="27"/>
  <c r="G116" i="27"/>
  <c r="H116" i="27"/>
  <c r="E117" i="27"/>
  <c r="F117" i="27"/>
  <c r="G117" i="27"/>
  <c r="H117" i="27"/>
  <c r="E118" i="27"/>
  <c r="F118" i="27"/>
  <c r="G118" i="27"/>
  <c r="H118" i="27"/>
  <c r="E119" i="27"/>
  <c r="F119" i="27"/>
  <c r="G119" i="27"/>
  <c r="H119" i="27"/>
  <c r="E120" i="27"/>
  <c r="F120" i="27"/>
  <c r="G120" i="27"/>
  <c r="H120" i="27"/>
  <c r="E121" i="27"/>
  <c r="F121" i="27"/>
  <c r="G121" i="27"/>
  <c r="H121" i="27"/>
  <c r="E122" i="27"/>
  <c r="F122" i="27"/>
  <c r="G122" i="27"/>
  <c r="H122" i="27"/>
  <c r="E123" i="27"/>
  <c r="F123" i="27"/>
  <c r="G123" i="27"/>
  <c r="H123" i="27"/>
  <c r="E124" i="27"/>
  <c r="F124" i="27"/>
  <c r="G124" i="27"/>
  <c r="H124" i="27"/>
  <c r="E125" i="27"/>
  <c r="F125" i="27"/>
  <c r="G125" i="27"/>
  <c r="H125" i="27"/>
  <c r="E126" i="27"/>
  <c r="F126" i="27"/>
  <c r="G126" i="27"/>
  <c r="H126" i="27"/>
  <c r="E127" i="27"/>
  <c r="F127" i="27"/>
  <c r="G127" i="27"/>
  <c r="H127" i="27"/>
  <c r="E128" i="27"/>
  <c r="F128" i="27"/>
  <c r="G128" i="27"/>
  <c r="H128" i="27"/>
  <c r="E129" i="27"/>
  <c r="F129" i="27"/>
  <c r="G129" i="27"/>
  <c r="H129" i="27"/>
  <c r="E130" i="27"/>
  <c r="F130" i="27"/>
  <c r="G130" i="27"/>
  <c r="H130" i="27"/>
  <c r="E131" i="27"/>
  <c r="F131" i="27"/>
  <c r="G131" i="27"/>
  <c r="H131" i="27"/>
  <c r="E132" i="27"/>
  <c r="F132" i="27"/>
  <c r="G132" i="27"/>
  <c r="H132" i="27"/>
  <c r="H7" i="27"/>
  <c r="G7" i="27"/>
  <c r="F7" i="27"/>
  <c r="E7" i="27"/>
  <c r="B14" i="18"/>
  <c r="F32" i="30" l="1"/>
  <c r="I36" i="27"/>
  <c r="I64" i="27"/>
  <c r="I23" i="27"/>
  <c r="I22" i="27"/>
  <c r="I25" i="27"/>
  <c r="I58" i="27"/>
  <c r="I71" i="27"/>
  <c r="I75" i="27"/>
  <c r="I14" i="27"/>
  <c r="I68" i="27"/>
  <c r="I69" i="27"/>
  <c r="I9" i="27"/>
  <c r="I13" i="27"/>
  <c r="I15" i="27"/>
  <c r="I17" i="27"/>
  <c r="I16" i="27"/>
  <c r="I54" i="27"/>
  <c r="I67" i="27"/>
  <c r="I59" i="27"/>
  <c r="I72" i="27"/>
  <c r="I29" i="27"/>
  <c r="I32" i="27"/>
  <c r="I26" i="27"/>
  <c r="I35" i="27"/>
  <c r="I8" i="27"/>
  <c r="I31" i="27"/>
  <c r="I53" i="27"/>
  <c r="I57" i="27"/>
  <c r="I74" i="27"/>
  <c r="I34" i="27"/>
  <c r="I40" i="27"/>
  <c r="I63" i="27"/>
  <c r="I18" i="27"/>
  <c r="I19" i="27"/>
  <c r="I27" i="27"/>
  <c r="I33" i="27"/>
  <c r="I56" i="27"/>
  <c r="I70" i="27"/>
  <c r="I131" i="27"/>
  <c r="I46" i="27"/>
  <c r="I48" i="27"/>
  <c r="I21" i="27"/>
  <c r="I37" i="27"/>
  <c r="I39" i="27"/>
  <c r="I41" i="27"/>
  <c r="I44" i="27"/>
  <c r="I47" i="27"/>
  <c r="I50" i="27"/>
  <c r="I51" i="27"/>
  <c r="I77" i="27"/>
  <c r="I45" i="27"/>
  <c r="I52" i="27"/>
  <c r="I129" i="27"/>
  <c r="I124" i="27"/>
  <c r="I65" i="27"/>
  <c r="I66" i="27"/>
  <c r="I109" i="27"/>
  <c r="I121" i="27"/>
  <c r="I125" i="27"/>
  <c r="I132" i="27"/>
  <c r="I42" i="27"/>
  <c r="I55" i="27"/>
  <c r="I130" i="27"/>
  <c r="I43" i="27"/>
  <c r="I126" i="27"/>
  <c r="I76" i="27"/>
  <c r="I78" i="27"/>
  <c r="I123" i="27"/>
  <c r="I79" i="27"/>
  <c r="I80" i="27"/>
  <c r="I81" i="27"/>
  <c r="I82" i="27"/>
  <c r="I83" i="27"/>
  <c r="I84" i="27"/>
  <c r="I85" i="27"/>
  <c r="I86" i="27"/>
  <c r="I87" i="27"/>
  <c r="I88" i="27"/>
  <c r="I89" i="27"/>
  <c r="I90" i="27"/>
  <c r="I116" i="27"/>
  <c r="I120" i="27"/>
  <c r="I122" i="27"/>
  <c r="I127" i="27"/>
  <c r="I91" i="27"/>
  <c r="I92" i="27"/>
  <c r="I93" i="27"/>
  <c r="I94" i="27"/>
  <c r="I95" i="27"/>
  <c r="I96" i="27"/>
  <c r="I97" i="27"/>
  <c r="I98" i="27"/>
  <c r="I99" i="27"/>
  <c r="I100" i="27"/>
  <c r="I101" i="27"/>
  <c r="I102" i="27"/>
  <c r="I115" i="27"/>
  <c r="I117" i="27"/>
  <c r="I118" i="27"/>
  <c r="I119" i="27"/>
  <c r="I103" i="27"/>
  <c r="I104" i="27"/>
  <c r="I105" i="27"/>
  <c r="I106" i="27"/>
  <c r="I107" i="27"/>
  <c r="I108" i="27"/>
  <c r="I110" i="27"/>
  <c r="I111" i="27"/>
  <c r="I112" i="27"/>
  <c r="I113" i="27"/>
  <c r="I114" i="27"/>
  <c r="I128" i="27"/>
  <c r="F28" i="30"/>
  <c r="F5" i="27"/>
  <c r="F27" i="30" l="1"/>
  <c r="F26" i="30"/>
  <c r="F25" i="30"/>
  <c r="F23" i="30"/>
  <c r="F22" i="30"/>
  <c r="F21" i="30"/>
  <c r="F19" i="30"/>
  <c r="F18" i="30"/>
  <c r="F17" i="30"/>
  <c r="F15" i="30"/>
  <c r="F14" i="30"/>
  <c r="F13" i="30"/>
  <c r="F11" i="30"/>
  <c r="F10" i="30"/>
  <c r="F9" i="30"/>
  <c r="F7" i="30"/>
  <c r="F6" i="30"/>
  <c r="I7" i="27"/>
  <c r="F8" i="30" l="1"/>
  <c r="F12" i="30"/>
  <c r="F16" i="30"/>
  <c r="F20" i="30"/>
  <c r="F24" i="30"/>
  <c r="Q5" i="25"/>
  <c r="G5" i="25"/>
  <c r="E192" i="18" l="1"/>
  <c r="D192" i="18"/>
  <c r="C192" i="18"/>
  <c r="B192" i="18"/>
  <c r="E191" i="18"/>
  <c r="D191" i="18"/>
  <c r="C191" i="18"/>
  <c r="B191" i="18"/>
  <c r="M188" i="2"/>
  <c r="S192" i="18" s="1"/>
  <c r="L188" i="2"/>
  <c r="U192" i="18" s="1"/>
  <c r="K188" i="2"/>
  <c r="L192" i="18" s="1"/>
  <c r="J188" i="2"/>
  <c r="R192" i="18" s="1"/>
  <c r="I188" i="2"/>
  <c r="AA192" i="18" s="1"/>
  <c r="H188" i="2"/>
  <c r="Y192" i="18" s="1"/>
  <c r="G188" i="2"/>
  <c r="F192" i="18" s="1"/>
  <c r="F188" i="2"/>
  <c r="I192" i="18" s="1"/>
  <c r="M187" i="2"/>
  <c r="S191" i="18" s="1"/>
  <c r="L187" i="2"/>
  <c r="U191" i="18" s="1"/>
  <c r="K187" i="2"/>
  <c r="L191" i="18" s="1"/>
  <c r="J187" i="2"/>
  <c r="R191" i="18" s="1"/>
  <c r="I187" i="2"/>
  <c r="AA191" i="18" s="1"/>
  <c r="H187" i="2"/>
  <c r="Y191" i="18" s="1"/>
  <c r="G187" i="2"/>
  <c r="F191" i="18" s="1"/>
  <c r="F187" i="2"/>
  <c r="I191" i="18" s="1"/>
  <c r="E190" i="18"/>
  <c r="D190" i="18"/>
  <c r="C190" i="18"/>
  <c r="B190" i="18"/>
  <c r="E189" i="18"/>
  <c r="D189" i="18"/>
  <c r="C189" i="18"/>
  <c r="B189" i="18"/>
  <c r="G189" i="18" s="1"/>
  <c r="M186" i="2"/>
  <c r="S190" i="18" s="1"/>
  <c r="L186" i="2"/>
  <c r="U190" i="18" s="1"/>
  <c r="K186" i="2"/>
  <c r="L190" i="18" s="1"/>
  <c r="J186" i="2"/>
  <c r="R190" i="18" s="1"/>
  <c r="I186" i="2"/>
  <c r="AA190" i="18" s="1"/>
  <c r="H186" i="2"/>
  <c r="Y190" i="18" s="1"/>
  <c r="G186" i="2"/>
  <c r="F190" i="18" s="1"/>
  <c r="F186" i="2"/>
  <c r="M185" i="2"/>
  <c r="S189" i="18" s="1"/>
  <c r="L185" i="2"/>
  <c r="U189" i="18" s="1"/>
  <c r="K185" i="2"/>
  <c r="L189" i="18" s="1"/>
  <c r="J185" i="2"/>
  <c r="O189" i="18" s="1"/>
  <c r="I185" i="2"/>
  <c r="AA189" i="18" s="1"/>
  <c r="H185" i="2"/>
  <c r="Y189" i="18" s="1"/>
  <c r="G185" i="2"/>
  <c r="F189" i="18" s="1"/>
  <c r="F185" i="2"/>
  <c r="W189" i="18" s="1"/>
  <c r="E188" i="18"/>
  <c r="D188" i="18"/>
  <c r="C188" i="18"/>
  <c r="B188" i="18"/>
  <c r="M184" i="2"/>
  <c r="S188" i="18" s="1"/>
  <c r="L184" i="2"/>
  <c r="U188" i="18" s="1"/>
  <c r="K184" i="2"/>
  <c r="L188" i="18" s="1"/>
  <c r="J184" i="2"/>
  <c r="R188" i="18" s="1"/>
  <c r="I184" i="2"/>
  <c r="AA188" i="18" s="1"/>
  <c r="H184" i="2"/>
  <c r="Y188" i="18" s="1"/>
  <c r="G184" i="2"/>
  <c r="F188" i="18" s="1"/>
  <c r="F184" i="2"/>
  <c r="I188" i="18" s="1"/>
  <c r="E187" i="18"/>
  <c r="D187" i="18"/>
  <c r="C187" i="18"/>
  <c r="B187" i="18"/>
  <c r="M187" i="18" s="1"/>
  <c r="M183" i="2"/>
  <c r="S187" i="18" s="1"/>
  <c r="L183" i="2"/>
  <c r="U187" i="18" s="1"/>
  <c r="K183" i="2"/>
  <c r="L187" i="18" s="1"/>
  <c r="J183" i="2"/>
  <c r="R187" i="18" s="1"/>
  <c r="I183" i="2"/>
  <c r="AA187" i="18" s="1"/>
  <c r="H183" i="2"/>
  <c r="Y187" i="18" s="1"/>
  <c r="G183" i="2"/>
  <c r="F187" i="18" s="1"/>
  <c r="F183" i="2"/>
  <c r="I187" i="18" s="1"/>
  <c r="B10" i="18"/>
  <c r="AB191" i="18" l="1"/>
  <c r="V191" i="18"/>
  <c r="T191" i="18"/>
  <c r="T192" i="18"/>
  <c r="O192" i="18"/>
  <c r="W192" i="18"/>
  <c r="O191" i="18"/>
  <c r="W191" i="18"/>
  <c r="V192" i="18"/>
  <c r="Z191" i="18"/>
  <c r="Z192" i="18"/>
  <c r="P191" i="18"/>
  <c r="AB192" i="18"/>
  <c r="P192" i="18"/>
  <c r="I190" i="18"/>
  <c r="Z189" i="18"/>
  <c r="T190" i="18"/>
  <c r="AB189" i="18"/>
  <c r="I189" i="18"/>
  <c r="O190" i="18"/>
  <c r="W190" i="18"/>
  <c r="H189" i="18"/>
  <c r="R189" i="18"/>
  <c r="V189" i="18" s="1"/>
  <c r="V190" i="18"/>
  <c r="Z190" i="18"/>
  <c r="AB190" i="18"/>
  <c r="P189" i="18"/>
  <c r="Q189" i="18" s="1"/>
  <c r="M189" i="18"/>
  <c r="N189" i="18" s="1"/>
  <c r="J189" i="18"/>
  <c r="P190" i="18"/>
  <c r="T188" i="18"/>
  <c r="O188" i="18"/>
  <c r="W188" i="18"/>
  <c r="N187" i="18"/>
  <c r="V188" i="18"/>
  <c r="Z188" i="18"/>
  <c r="AB188" i="18"/>
  <c r="P188" i="18"/>
  <c r="O187" i="18"/>
  <c r="W187" i="18"/>
  <c r="V187" i="18"/>
  <c r="Z187" i="18"/>
  <c r="T187" i="18"/>
  <c r="AB187" i="18"/>
  <c r="J187" i="18"/>
  <c r="K187" i="18" s="1"/>
  <c r="G187" i="18"/>
  <c r="H187" i="18" s="1"/>
  <c r="P187" i="18"/>
  <c r="Q192" i="18" l="1"/>
  <c r="Q191" i="18"/>
  <c r="Q190" i="18"/>
  <c r="K189" i="18"/>
  <c r="T189" i="18"/>
  <c r="Q188" i="18"/>
  <c r="Q187" i="18"/>
  <c r="C1" i="2" l="1"/>
  <c r="E186" i="18"/>
  <c r="D186" i="18"/>
  <c r="C186" i="18"/>
  <c r="B186" i="18"/>
  <c r="E185" i="18"/>
  <c r="D185" i="18"/>
  <c r="C185" i="18"/>
  <c r="B185" i="18"/>
  <c r="M182" i="2"/>
  <c r="S186" i="18" s="1"/>
  <c r="L182" i="2"/>
  <c r="U186" i="18" s="1"/>
  <c r="K182" i="2"/>
  <c r="L186" i="18" s="1"/>
  <c r="J182" i="2"/>
  <c r="R186" i="18" s="1"/>
  <c r="I182" i="2"/>
  <c r="AA186" i="18" s="1"/>
  <c r="H182" i="2"/>
  <c r="Y186" i="18" s="1"/>
  <c r="G182" i="2"/>
  <c r="F186" i="18" s="1"/>
  <c r="F182" i="2"/>
  <c r="I186" i="18" s="1"/>
  <c r="M181" i="2"/>
  <c r="S185" i="18" s="1"/>
  <c r="L181" i="2"/>
  <c r="U185" i="18" s="1"/>
  <c r="K181" i="2"/>
  <c r="L185" i="18" s="1"/>
  <c r="J181" i="2"/>
  <c r="R185" i="18" s="1"/>
  <c r="I181" i="2"/>
  <c r="AA185" i="18" s="1"/>
  <c r="H181" i="2"/>
  <c r="Y185" i="18" s="1"/>
  <c r="G181" i="2"/>
  <c r="F185" i="18" s="1"/>
  <c r="F181" i="2"/>
  <c r="I185" i="18" s="1"/>
  <c r="E184" i="18"/>
  <c r="D184" i="18"/>
  <c r="C184" i="18"/>
  <c r="B184" i="18"/>
  <c r="M180" i="2"/>
  <c r="S184" i="18" s="1"/>
  <c r="L180" i="2"/>
  <c r="U184" i="18" s="1"/>
  <c r="K180" i="2"/>
  <c r="L184" i="18" s="1"/>
  <c r="J180" i="2"/>
  <c r="R184" i="18" s="1"/>
  <c r="I180" i="2"/>
  <c r="AA184" i="18" s="1"/>
  <c r="H180" i="2"/>
  <c r="Y184" i="18" s="1"/>
  <c r="G180" i="2"/>
  <c r="F184" i="18" s="1"/>
  <c r="F180" i="2"/>
  <c r="I184" i="18" s="1"/>
  <c r="E183" i="18"/>
  <c r="D183" i="18"/>
  <c r="C183" i="18"/>
  <c r="B183" i="18"/>
  <c r="E182" i="18"/>
  <c r="D182" i="18"/>
  <c r="C182" i="18"/>
  <c r="B182" i="18"/>
  <c r="M179" i="2"/>
  <c r="S183" i="18" s="1"/>
  <c r="L179" i="2"/>
  <c r="U183" i="18" s="1"/>
  <c r="K179" i="2"/>
  <c r="L183" i="18" s="1"/>
  <c r="J179" i="2"/>
  <c r="O183" i="18" s="1"/>
  <c r="I179" i="2"/>
  <c r="AA183" i="18" s="1"/>
  <c r="H179" i="2"/>
  <c r="Y183" i="18" s="1"/>
  <c r="G179" i="2"/>
  <c r="F183" i="18" s="1"/>
  <c r="F179" i="2"/>
  <c r="I183" i="18" s="1"/>
  <c r="M178" i="2"/>
  <c r="S182" i="18" s="1"/>
  <c r="L178" i="2"/>
  <c r="U182" i="18" s="1"/>
  <c r="K178" i="2"/>
  <c r="L182" i="18" s="1"/>
  <c r="J178" i="2"/>
  <c r="R182" i="18" s="1"/>
  <c r="I178" i="2"/>
  <c r="AA182" i="18" s="1"/>
  <c r="H178" i="2"/>
  <c r="Y182" i="18" s="1"/>
  <c r="G178" i="2"/>
  <c r="F182" i="18" s="1"/>
  <c r="F178" i="2"/>
  <c r="I182" i="18" s="1"/>
  <c r="E181" i="18"/>
  <c r="D181" i="18"/>
  <c r="C181" i="18"/>
  <c r="B181" i="18"/>
  <c r="E180" i="18"/>
  <c r="D180" i="18"/>
  <c r="C180" i="18"/>
  <c r="B180" i="18"/>
  <c r="E179" i="18"/>
  <c r="D179" i="18"/>
  <c r="C179" i="18"/>
  <c r="B179" i="18"/>
  <c r="M177" i="2"/>
  <c r="S181" i="18" s="1"/>
  <c r="L177" i="2"/>
  <c r="U181" i="18" s="1"/>
  <c r="K177" i="2"/>
  <c r="L181" i="18" s="1"/>
  <c r="J177" i="2"/>
  <c r="R181" i="18" s="1"/>
  <c r="I177" i="2"/>
  <c r="AA181" i="18" s="1"/>
  <c r="H177" i="2"/>
  <c r="Y181" i="18" s="1"/>
  <c r="G177" i="2"/>
  <c r="F181" i="18" s="1"/>
  <c r="F177" i="2"/>
  <c r="I181" i="18" s="1"/>
  <c r="M176" i="2"/>
  <c r="S180" i="18" s="1"/>
  <c r="L176" i="2"/>
  <c r="U180" i="18" s="1"/>
  <c r="K176" i="2"/>
  <c r="L180" i="18" s="1"/>
  <c r="J176" i="2"/>
  <c r="R180" i="18" s="1"/>
  <c r="I176" i="2"/>
  <c r="AA180" i="18" s="1"/>
  <c r="H176" i="2"/>
  <c r="Y180" i="18" s="1"/>
  <c r="G176" i="2"/>
  <c r="F180" i="18" s="1"/>
  <c r="F176" i="2"/>
  <c r="I180" i="18" s="1"/>
  <c r="M175" i="2"/>
  <c r="S179" i="18" s="1"/>
  <c r="L175" i="2"/>
  <c r="U179" i="18" s="1"/>
  <c r="K175" i="2"/>
  <c r="L179" i="18" s="1"/>
  <c r="J175" i="2"/>
  <c r="O179" i="18" s="1"/>
  <c r="I175" i="2"/>
  <c r="AA179" i="18" s="1"/>
  <c r="H175" i="2"/>
  <c r="Y179" i="18" s="1"/>
  <c r="G175" i="2"/>
  <c r="F179" i="18" s="1"/>
  <c r="F175" i="2"/>
  <c r="W179" i="18" s="1"/>
  <c r="B28" i="13" l="1"/>
  <c r="B23" i="13"/>
  <c r="V186" i="18"/>
  <c r="T185" i="18"/>
  <c r="T186" i="18"/>
  <c r="O186" i="18"/>
  <c r="W186" i="18"/>
  <c r="O185" i="18"/>
  <c r="W185" i="18"/>
  <c r="AB185" i="18"/>
  <c r="Z185" i="18"/>
  <c r="Z186" i="18"/>
  <c r="P185" i="18"/>
  <c r="V185" i="18"/>
  <c r="AB186" i="18"/>
  <c r="P186" i="18"/>
  <c r="T184" i="18"/>
  <c r="O184" i="18"/>
  <c r="W184" i="18"/>
  <c r="V184" i="18"/>
  <c r="Z184" i="18"/>
  <c r="AB184" i="18"/>
  <c r="P184" i="18"/>
  <c r="T182" i="18"/>
  <c r="AB182" i="18"/>
  <c r="O182" i="18"/>
  <c r="W182" i="18"/>
  <c r="W183" i="18"/>
  <c r="R183" i="18"/>
  <c r="T183" i="18" s="1"/>
  <c r="Z182" i="18"/>
  <c r="Z183" i="18"/>
  <c r="P182" i="18"/>
  <c r="V182" i="18"/>
  <c r="AB183" i="18"/>
  <c r="P183" i="18"/>
  <c r="Q183" i="18" s="1"/>
  <c r="AB180" i="18"/>
  <c r="R179" i="18"/>
  <c r="T179" i="18" s="1"/>
  <c r="T180" i="18"/>
  <c r="Z179" i="18"/>
  <c r="V181" i="18"/>
  <c r="I179" i="18"/>
  <c r="O180" i="18"/>
  <c r="W180" i="18"/>
  <c r="O181" i="18"/>
  <c r="W181" i="18"/>
  <c r="T181" i="18"/>
  <c r="AB179" i="18"/>
  <c r="Z180" i="18"/>
  <c r="Z181" i="18"/>
  <c r="P179" i="18"/>
  <c r="Q179" i="18" s="1"/>
  <c r="P180" i="18"/>
  <c r="V180" i="18"/>
  <c r="AB181" i="18"/>
  <c r="P181" i="18"/>
  <c r="Q186" i="18" l="1"/>
  <c r="Q185" i="18"/>
  <c r="Q182" i="18"/>
  <c r="Q184" i="18"/>
  <c r="V183" i="18"/>
  <c r="V179" i="18"/>
  <c r="Q181" i="18"/>
  <c r="Q180" i="18"/>
  <c r="E178" i="18"/>
  <c r="D178" i="18"/>
  <c r="C178" i="18"/>
  <c r="B178" i="18"/>
  <c r="E177" i="18"/>
  <c r="D177" i="18"/>
  <c r="C177" i="18"/>
  <c r="B177" i="18"/>
  <c r="E176" i="18"/>
  <c r="D176" i="18"/>
  <c r="C176" i="18"/>
  <c r="B176" i="18"/>
  <c r="E175" i="18"/>
  <c r="D175" i="18"/>
  <c r="C175" i="18"/>
  <c r="B175" i="18"/>
  <c r="M174" i="2"/>
  <c r="S176" i="18" s="1"/>
  <c r="L174" i="2"/>
  <c r="U176" i="18" s="1"/>
  <c r="K174" i="2"/>
  <c r="L176" i="18" s="1"/>
  <c r="J174" i="2"/>
  <c r="R176" i="18" s="1"/>
  <c r="I174" i="2"/>
  <c r="AA176" i="18" s="1"/>
  <c r="H174" i="2"/>
  <c r="Y176" i="18" s="1"/>
  <c r="G174" i="2"/>
  <c r="F176" i="18" s="1"/>
  <c r="F174" i="2"/>
  <c r="I176" i="18" s="1"/>
  <c r="M173" i="2"/>
  <c r="S175" i="18" s="1"/>
  <c r="L173" i="2"/>
  <c r="U175" i="18" s="1"/>
  <c r="K173" i="2"/>
  <c r="L175" i="18" s="1"/>
  <c r="J173" i="2"/>
  <c r="O175" i="18" s="1"/>
  <c r="I173" i="2"/>
  <c r="AA175" i="18" s="1"/>
  <c r="H173" i="2"/>
  <c r="Y175" i="18" s="1"/>
  <c r="G173" i="2"/>
  <c r="F175" i="18" s="1"/>
  <c r="F173" i="2"/>
  <c r="W175" i="18" s="1"/>
  <c r="M172" i="2"/>
  <c r="S178" i="18" s="1"/>
  <c r="L172" i="2"/>
  <c r="U178" i="18" s="1"/>
  <c r="K172" i="2"/>
  <c r="L178" i="18" s="1"/>
  <c r="J172" i="2"/>
  <c r="I172" i="2"/>
  <c r="AA178" i="18" s="1"/>
  <c r="H172" i="2"/>
  <c r="Y178" i="18" s="1"/>
  <c r="G172" i="2"/>
  <c r="F178" i="18" s="1"/>
  <c r="F172" i="2"/>
  <c r="M171" i="2"/>
  <c r="S177" i="18" s="1"/>
  <c r="L171" i="2"/>
  <c r="U177" i="18" s="1"/>
  <c r="K171" i="2"/>
  <c r="L177" i="18" s="1"/>
  <c r="J171" i="2"/>
  <c r="O177" i="18" s="1"/>
  <c r="I171" i="2"/>
  <c r="AA177" i="18" s="1"/>
  <c r="H171" i="2"/>
  <c r="Y177" i="18" s="1"/>
  <c r="G171" i="2"/>
  <c r="F177" i="18" s="1"/>
  <c r="F171" i="2"/>
  <c r="W177" i="18" s="1"/>
  <c r="AB177" i="18" l="1"/>
  <c r="R175" i="18"/>
  <c r="V175" i="18" s="1"/>
  <c r="I175" i="18"/>
  <c r="O176" i="18"/>
  <c r="W176" i="18"/>
  <c r="I177" i="18"/>
  <c r="I178" i="18"/>
  <c r="R178" i="18"/>
  <c r="V178" i="18" s="1"/>
  <c r="R177" i="18"/>
  <c r="T177" i="18" s="1"/>
  <c r="O178" i="18"/>
  <c r="W178" i="18"/>
  <c r="Z177" i="18"/>
  <c r="Z178" i="18"/>
  <c r="P177" i="18"/>
  <c r="Q177" i="18" s="1"/>
  <c r="AB178" i="18"/>
  <c r="P178" i="18"/>
  <c r="AB175" i="18"/>
  <c r="V176" i="18"/>
  <c r="Z176" i="18"/>
  <c r="Z175" i="18"/>
  <c r="T176" i="18"/>
  <c r="AB176" i="18"/>
  <c r="P176" i="18"/>
  <c r="P175" i="18"/>
  <c r="Q175" i="18" s="1"/>
  <c r="T178" i="18" l="1"/>
  <c r="T175" i="18"/>
  <c r="V177" i="18"/>
  <c r="Q176" i="18"/>
  <c r="Q178" i="18"/>
  <c r="AM7" i="13" l="1"/>
  <c r="AL7" i="13"/>
  <c r="M28" i="2" l="1"/>
  <c r="S19" i="18" s="1"/>
  <c r="L28" i="2"/>
  <c r="U19" i="18" s="1"/>
  <c r="K28" i="2"/>
  <c r="L19" i="18" s="1"/>
  <c r="J28" i="2"/>
  <c r="O19" i="18" s="1"/>
  <c r="I28" i="2"/>
  <c r="AA19" i="18" s="1"/>
  <c r="H28" i="2"/>
  <c r="Y19" i="18" s="1"/>
  <c r="G28" i="2"/>
  <c r="F19" i="18" s="1"/>
  <c r="F28" i="2"/>
  <c r="W19" i="18" s="1"/>
  <c r="F27" i="2"/>
  <c r="W18" i="18" s="1"/>
  <c r="BC19" i="18"/>
  <c r="BB19" i="18"/>
  <c r="E19" i="18"/>
  <c r="D19" i="18"/>
  <c r="C19" i="18"/>
  <c r="B19" i="18"/>
  <c r="BC18" i="18"/>
  <c r="BB18" i="18"/>
  <c r="E18" i="18"/>
  <c r="D18" i="18"/>
  <c r="C18" i="18"/>
  <c r="B18" i="18"/>
  <c r="I27" i="2"/>
  <c r="AA18" i="18" s="1"/>
  <c r="H27" i="2"/>
  <c r="Y18" i="18" s="1"/>
  <c r="G27" i="2"/>
  <c r="F18" i="18" s="1"/>
  <c r="K27" i="2"/>
  <c r="L18" i="18" s="1"/>
  <c r="J27" i="2"/>
  <c r="O18" i="18" s="1"/>
  <c r="M27" i="2"/>
  <c r="S18" i="18" s="1"/>
  <c r="L27" i="2"/>
  <c r="U18" i="18" s="1"/>
  <c r="R18" i="18" l="1"/>
  <c r="V18" i="18" s="1"/>
  <c r="R19" i="18"/>
  <c r="V19" i="18" s="1"/>
  <c r="I18" i="18"/>
  <c r="I19" i="18"/>
  <c r="AB18" i="18"/>
  <c r="AN18" i="18" s="1"/>
  <c r="AB19" i="18"/>
  <c r="AN19" i="18" s="1"/>
  <c r="Z18" i="18"/>
  <c r="Z19" i="18"/>
  <c r="P18" i="18"/>
  <c r="Q18" i="18" s="1"/>
  <c r="P19" i="18"/>
  <c r="Q19" i="18" s="1"/>
  <c r="D17" i="18"/>
  <c r="B20" i="18"/>
  <c r="C20" i="18"/>
  <c r="D20" i="18"/>
  <c r="E20" i="18"/>
  <c r="AR20" i="18"/>
  <c r="AS20" i="18"/>
  <c r="BC20" i="18"/>
  <c r="AT20" i="18" l="1"/>
  <c r="T18" i="18"/>
  <c r="AI18" i="18"/>
  <c r="T19" i="18"/>
  <c r="AI19" i="18"/>
  <c r="P20" i="18"/>
  <c r="B69" i="18"/>
  <c r="C69" i="18"/>
  <c r="D69" i="18"/>
  <c r="E69" i="18"/>
  <c r="F65" i="2"/>
  <c r="I69" i="18" s="1"/>
  <c r="G65" i="2"/>
  <c r="F69" i="18" s="1"/>
  <c r="H65" i="2"/>
  <c r="Y69" i="18" s="1"/>
  <c r="I65" i="2"/>
  <c r="AA69" i="18" s="1"/>
  <c r="J65" i="2"/>
  <c r="O69" i="18" s="1"/>
  <c r="K65" i="2"/>
  <c r="L69" i="18" s="1"/>
  <c r="L65" i="2"/>
  <c r="U69" i="18" s="1"/>
  <c r="M65" i="2"/>
  <c r="S69" i="18" s="1"/>
  <c r="P32" i="18"/>
  <c r="P34" i="18"/>
  <c r="P35" i="18"/>
  <c r="J32" i="18"/>
  <c r="J34" i="18"/>
  <c r="J35" i="18"/>
  <c r="L44" i="2"/>
  <c r="U47" i="18" s="1"/>
  <c r="L64" i="2"/>
  <c r="U68" i="18" s="1"/>
  <c r="AL6" i="13"/>
  <c r="AM6" i="13"/>
  <c r="B68" i="18"/>
  <c r="C68" i="18"/>
  <c r="D68" i="18"/>
  <c r="E68" i="18"/>
  <c r="M64" i="2"/>
  <c r="S68" i="18" s="1"/>
  <c r="J64" i="2"/>
  <c r="O68" i="18" s="1"/>
  <c r="K64" i="2"/>
  <c r="L68" i="18" s="1"/>
  <c r="F64" i="2"/>
  <c r="I68" i="18" s="1"/>
  <c r="G64" i="2"/>
  <c r="F68" i="18" s="1"/>
  <c r="H64" i="2"/>
  <c r="Y68" i="18" s="1"/>
  <c r="I64" i="2"/>
  <c r="AA68" i="18" s="1"/>
  <c r="M44" i="2"/>
  <c r="S47" i="18" s="1"/>
  <c r="J44" i="2"/>
  <c r="O47" i="18" s="1"/>
  <c r="K44" i="2"/>
  <c r="L47" i="18" s="1"/>
  <c r="F44" i="2"/>
  <c r="I47" i="18" s="1"/>
  <c r="G44" i="2"/>
  <c r="F47" i="18" s="1"/>
  <c r="H44" i="2"/>
  <c r="Y47" i="18" s="1"/>
  <c r="I44" i="2"/>
  <c r="AA47" i="18" s="1"/>
  <c r="B47" i="18"/>
  <c r="C47" i="18"/>
  <c r="D47" i="18"/>
  <c r="E47" i="18"/>
  <c r="M32" i="18"/>
  <c r="M34" i="18"/>
  <c r="M35" i="18"/>
  <c r="AB69" i="18" l="1"/>
  <c r="AI69" i="18" s="1"/>
  <c r="W69" i="18"/>
  <c r="R69" i="18"/>
  <c r="V69" i="18" s="1"/>
  <c r="Z69" i="18"/>
  <c r="P69" i="18"/>
  <c r="Q69" i="18" s="1"/>
  <c r="P68" i="18"/>
  <c r="Q68" i="18" s="1"/>
  <c r="P47" i="18"/>
  <c r="Q47" i="18" s="1"/>
  <c r="R68" i="18"/>
  <c r="T68" i="18" s="1"/>
  <c r="AB68" i="18"/>
  <c r="W68" i="18"/>
  <c r="Z68" i="18"/>
  <c r="W47" i="18"/>
  <c r="AB47" i="18"/>
  <c r="AI47" i="18" s="1"/>
  <c r="R47" i="18"/>
  <c r="V47" i="18" s="1"/>
  <c r="Z47" i="18"/>
  <c r="AL15" i="13"/>
  <c r="AM15" i="13"/>
  <c r="T69" i="18" l="1"/>
  <c r="AI68" i="18"/>
  <c r="V68" i="18"/>
  <c r="AN47" i="18"/>
  <c r="T47" i="18"/>
  <c r="B12" i="18"/>
  <c r="C12" i="18"/>
  <c r="D12" i="18"/>
  <c r="E12" i="18"/>
  <c r="L11" i="2"/>
  <c r="U12" i="18" s="1"/>
  <c r="M11" i="2"/>
  <c r="S12" i="18" s="1"/>
  <c r="J11" i="2"/>
  <c r="O12" i="18" s="1"/>
  <c r="K11" i="2"/>
  <c r="L12" i="18" s="1"/>
  <c r="F11" i="2"/>
  <c r="G11" i="2"/>
  <c r="F12" i="18" s="1"/>
  <c r="H11" i="2"/>
  <c r="Y12" i="18" s="1"/>
  <c r="I11" i="2"/>
  <c r="AA12" i="18" s="1"/>
  <c r="P12" i="18" l="1"/>
  <c r="Q12" i="18" s="1"/>
  <c r="J12" i="18"/>
  <c r="G12" i="18"/>
  <c r="H12" i="18" s="1"/>
  <c r="M12" i="18"/>
  <c r="N12" i="18" s="1"/>
  <c r="I12" i="18"/>
  <c r="W12" i="18"/>
  <c r="AB12" i="18"/>
  <c r="Z12" i="18"/>
  <c r="R12" i="18"/>
  <c r="T12" i="18" s="1"/>
  <c r="B93" i="18"/>
  <c r="C93" i="18"/>
  <c r="D93" i="18"/>
  <c r="E93" i="18"/>
  <c r="B108" i="18"/>
  <c r="C108" i="18"/>
  <c r="D108" i="18"/>
  <c r="E108" i="18"/>
  <c r="M93" i="18" l="1"/>
  <c r="J93" i="18"/>
  <c r="P93" i="18"/>
  <c r="P108" i="18"/>
  <c r="V12" i="18"/>
  <c r="G93" i="18"/>
  <c r="E171" i="18"/>
  <c r="D171" i="18"/>
  <c r="C171" i="18"/>
  <c r="B171" i="18"/>
  <c r="E167" i="18"/>
  <c r="D167" i="18"/>
  <c r="C167" i="18"/>
  <c r="B167" i="18"/>
  <c r="E145" i="18"/>
  <c r="D145" i="18"/>
  <c r="C145" i="18"/>
  <c r="B145" i="18"/>
  <c r="E144" i="18"/>
  <c r="D144" i="18"/>
  <c r="C144" i="18"/>
  <c r="B144" i="18"/>
  <c r="E143" i="18"/>
  <c r="D143" i="18"/>
  <c r="C143" i="18"/>
  <c r="B143" i="18"/>
  <c r="E142" i="18"/>
  <c r="D142" i="18"/>
  <c r="C142" i="18"/>
  <c r="B142" i="18"/>
  <c r="E139" i="18"/>
  <c r="D139" i="18"/>
  <c r="C139" i="18"/>
  <c r="B139" i="18"/>
  <c r="E134" i="18"/>
  <c r="D134" i="18"/>
  <c r="C134" i="18"/>
  <c r="B134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17" i="18"/>
  <c r="D117" i="18"/>
  <c r="C117" i="18"/>
  <c r="B117" i="18"/>
  <c r="E113" i="18"/>
  <c r="D113" i="18"/>
  <c r="C113" i="18"/>
  <c r="B113" i="18"/>
  <c r="E112" i="18"/>
  <c r="D112" i="18"/>
  <c r="C112" i="18"/>
  <c r="B112" i="18"/>
  <c r="E109" i="18"/>
  <c r="D109" i="18"/>
  <c r="C109" i="18"/>
  <c r="B109" i="18"/>
  <c r="E101" i="18"/>
  <c r="D101" i="18"/>
  <c r="C101" i="18"/>
  <c r="B101" i="18"/>
  <c r="E96" i="18"/>
  <c r="D96" i="18"/>
  <c r="C96" i="18"/>
  <c r="B96" i="18"/>
  <c r="E95" i="18"/>
  <c r="D95" i="18"/>
  <c r="C95" i="18"/>
  <c r="B95" i="18"/>
  <c r="E92" i="18"/>
  <c r="D92" i="18"/>
  <c r="C92" i="18"/>
  <c r="B92" i="18"/>
  <c r="E90" i="18"/>
  <c r="D90" i="18"/>
  <c r="C90" i="18"/>
  <c r="B90" i="18"/>
  <c r="E85" i="18"/>
  <c r="D85" i="18"/>
  <c r="C85" i="18"/>
  <c r="B85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3" i="18"/>
  <c r="D73" i="18"/>
  <c r="C73" i="18"/>
  <c r="B73" i="18"/>
  <c r="E72" i="18"/>
  <c r="D72" i="18"/>
  <c r="C72" i="18"/>
  <c r="B72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E60" i="18"/>
  <c r="D60" i="18"/>
  <c r="C60" i="18"/>
  <c r="B60" i="18"/>
  <c r="E59" i="18"/>
  <c r="D59" i="18"/>
  <c r="C59" i="18"/>
  <c r="B59" i="18"/>
  <c r="E56" i="18"/>
  <c r="D56" i="18"/>
  <c r="C56" i="18"/>
  <c r="B56" i="18"/>
  <c r="E50" i="18"/>
  <c r="D50" i="18"/>
  <c r="C50" i="18"/>
  <c r="B50" i="18"/>
  <c r="E49" i="18"/>
  <c r="D49" i="18"/>
  <c r="C49" i="18"/>
  <c r="B49" i="18"/>
  <c r="E45" i="18"/>
  <c r="D45" i="18"/>
  <c r="C45" i="18"/>
  <c r="B45" i="18"/>
  <c r="E44" i="18"/>
  <c r="D44" i="18"/>
  <c r="C44" i="18"/>
  <c r="B44" i="18"/>
  <c r="E42" i="18"/>
  <c r="D42" i="18"/>
  <c r="C42" i="18"/>
  <c r="B42" i="18"/>
  <c r="E38" i="18"/>
  <c r="D38" i="18"/>
  <c r="C38" i="18"/>
  <c r="B38" i="18"/>
  <c r="E37" i="18"/>
  <c r="D37" i="18"/>
  <c r="C37" i="18"/>
  <c r="B37" i="18"/>
  <c r="E31" i="18"/>
  <c r="D31" i="18"/>
  <c r="C31" i="18"/>
  <c r="B31" i="18"/>
  <c r="E30" i="18"/>
  <c r="D30" i="18"/>
  <c r="C30" i="18"/>
  <c r="B30" i="18"/>
  <c r="E26" i="18"/>
  <c r="D26" i="18"/>
  <c r="C26" i="18"/>
  <c r="B26" i="18"/>
  <c r="E25" i="18"/>
  <c r="D25" i="18"/>
  <c r="C25" i="18"/>
  <c r="B25" i="18"/>
  <c r="E24" i="18"/>
  <c r="D24" i="18"/>
  <c r="C24" i="18"/>
  <c r="B24" i="18"/>
  <c r="E13" i="18"/>
  <c r="D13" i="18"/>
  <c r="C13" i="18"/>
  <c r="B13" i="18"/>
  <c r="B15" i="13" l="1"/>
  <c r="B7" i="13"/>
  <c r="P31" i="18"/>
  <c r="P44" i="18"/>
  <c r="P56" i="18"/>
  <c r="P73" i="18"/>
  <c r="P92" i="18"/>
  <c r="P109" i="18"/>
  <c r="P134" i="18"/>
  <c r="P142" i="18"/>
  <c r="P63" i="18"/>
  <c r="P65" i="18"/>
  <c r="P72" i="18"/>
  <c r="P75" i="18"/>
  <c r="P77" i="18"/>
  <c r="P90" i="18"/>
  <c r="P95" i="18"/>
  <c r="P101" i="18"/>
  <c r="P112" i="18"/>
  <c r="P117" i="18"/>
  <c r="P127" i="18"/>
  <c r="P129" i="18"/>
  <c r="P139" i="18"/>
  <c r="P143" i="18"/>
  <c r="P145" i="18"/>
  <c r="P171" i="18"/>
  <c r="P13" i="18"/>
  <c r="P26" i="18"/>
  <c r="P49" i="18"/>
  <c r="P60" i="18"/>
  <c r="P66" i="18"/>
  <c r="P85" i="18"/>
  <c r="P113" i="18"/>
  <c r="M128" i="18"/>
  <c r="P128" i="18"/>
  <c r="J128" i="18"/>
  <c r="P167" i="18"/>
  <c r="P24" i="18"/>
  <c r="P30" i="18"/>
  <c r="P42" i="18"/>
  <c r="P59" i="18"/>
  <c r="P25" i="18"/>
  <c r="P38" i="18"/>
  <c r="P64" i="18"/>
  <c r="P76" i="18"/>
  <c r="P96" i="18"/>
  <c r="P126" i="18"/>
  <c r="P144" i="18"/>
  <c r="P37" i="18"/>
  <c r="P45" i="18"/>
  <c r="P50" i="18"/>
  <c r="C32" i="18"/>
  <c r="C33" i="18"/>
  <c r="C34" i="18"/>
  <c r="C35" i="18"/>
  <c r="A3" i="16" l="1"/>
  <c r="B174" i="18"/>
  <c r="C174" i="18"/>
  <c r="D174" i="18"/>
  <c r="E174" i="18"/>
  <c r="M174" i="18" l="1"/>
  <c r="J174" i="18"/>
  <c r="P174" i="18"/>
  <c r="G174" i="18"/>
  <c r="E7" i="18" l="1"/>
  <c r="L160" i="2" l="1"/>
  <c r="U174" i="18" s="1"/>
  <c r="M160" i="2"/>
  <c r="S174" i="18" s="1"/>
  <c r="J160" i="2"/>
  <c r="K160" i="2"/>
  <c r="L174" i="18" s="1"/>
  <c r="N174" i="18" s="1"/>
  <c r="F160" i="2"/>
  <c r="G160" i="2"/>
  <c r="F174" i="18" s="1"/>
  <c r="H174" i="18" s="1"/>
  <c r="H160" i="2"/>
  <c r="Y174" i="18" s="1"/>
  <c r="I160" i="2"/>
  <c r="AA174" i="18" s="1"/>
  <c r="L90" i="2"/>
  <c r="U93" i="18" s="1"/>
  <c r="M90" i="2"/>
  <c r="S93" i="18" s="1"/>
  <c r="J90" i="2"/>
  <c r="K90" i="2"/>
  <c r="L93" i="18" s="1"/>
  <c r="N93" i="18" s="1"/>
  <c r="F90" i="2"/>
  <c r="G90" i="2"/>
  <c r="F93" i="18" s="1"/>
  <c r="H93" i="18" s="1"/>
  <c r="H90" i="2"/>
  <c r="Y93" i="18" s="1"/>
  <c r="I90" i="2"/>
  <c r="AA93" i="18" s="1"/>
  <c r="L105" i="2"/>
  <c r="U108" i="18" s="1"/>
  <c r="M105" i="2"/>
  <c r="S108" i="18" s="1"/>
  <c r="J105" i="2"/>
  <c r="K105" i="2"/>
  <c r="L108" i="18" s="1"/>
  <c r="F105" i="2"/>
  <c r="G105" i="2"/>
  <c r="F108" i="18" s="1"/>
  <c r="H105" i="2"/>
  <c r="Y108" i="18" s="1"/>
  <c r="I105" i="2"/>
  <c r="AA108" i="18" s="1"/>
  <c r="J11" i="16" l="1"/>
  <c r="AB174" i="18"/>
  <c r="AB108" i="18"/>
  <c r="AB93" i="18"/>
  <c r="Z93" i="18"/>
  <c r="W108" i="18"/>
  <c r="I108" i="18"/>
  <c r="Z174" i="18"/>
  <c r="I93" i="18"/>
  <c r="W93" i="18"/>
  <c r="R174" i="18"/>
  <c r="T174" i="18" s="1"/>
  <c r="O174" i="18"/>
  <c r="Z108" i="18"/>
  <c r="R108" i="18"/>
  <c r="V108" i="18" s="1"/>
  <c r="O108" i="18"/>
  <c r="Q108" i="18" s="1"/>
  <c r="R93" i="18"/>
  <c r="V93" i="18" s="1"/>
  <c r="O93" i="18"/>
  <c r="I174" i="18"/>
  <c r="W174" i="18"/>
  <c r="F10" i="16"/>
  <c r="K3" i="18"/>
  <c r="N14" i="25"/>
  <c r="P14" i="25" s="1"/>
  <c r="S14" i="25" s="1"/>
  <c r="N10" i="25"/>
  <c r="P10" i="25" s="1"/>
  <c r="S10" i="25" s="1"/>
  <c r="AB8" i="25"/>
  <c r="L23" i="25"/>
  <c r="R22" i="25"/>
  <c r="N22" i="25"/>
  <c r="P22" i="25" s="1"/>
  <c r="S22" i="25" s="1"/>
  <c r="R21" i="25"/>
  <c r="N21" i="25"/>
  <c r="P21" i="25" s="1"/>
  <c r="S21" i="25" s="1"/>
  <c r="R20" i="25"/>
  <c r="N20" i="25"/>
  <c r="P20" i="25" s="1"/>
  <c r="S20" i="25" s="1"/>
  <c r="R19" i="25"/>
  <c r="N19" i="25"/>
  <c r="P19" i="25" s="1"/>
  <c r="S19" i="25" s="1"/>
  <c r="R18" i="25"/>
  <c r="N18" i="25"/>
  <c r="P18" i="25" s="1"/>
  <c r="S18" i="25" s="1"/>
  <c r="R17" i="25"/>
  <c r="P17" i="25"/>
  <c r="S17" i="25" s="1"/>
  <c r="R16" i="25"/>
  <c r="N16" i="25"/>
  <c r="P16" i="25" s="1"/>
  <c r="S16" i="25" s="1"/>
  <c r="R15" i="25"/>
  <c r="N15" i="25"/>
  <c r="P15" i="25" s="1"/>
  <c r="S15" i="25" s="1"/>
  <c r="R14" i="25"/>
  <c r="R13" i="25"/>
  <c r="N13" i="25"/>
  <c r="P13" i="25" s="1"/>
  <c r="S13" i="25" s="1"/>
  <c r="R12" i="25"/>
  <c r="N12" i="25"/>
  <c r="P12" i="25" s="1"/>
  <c r="S12" i="25" s="1"/>
  <c r="R11" i="25"/>
  <c r="N11" i="25"/>
  <c r="P11" i="25" s="1"/>
  <c r="S11" i="25" s="1"/>
  <c r="R10" i="25"/>
  <c r="R9" i="25"/>
  <c r="N9" i="25"/>
  <c r="P9" i="25" s="1"/>
  <c r="S9" i="25" s="1"/>
  <c r="R8" i="25"/>
  <c r="N8" i="25"/>
  <c r="P8" i="25" s="1"/>
  <c r="S8" i="25" s="1"/>
  <c r="G32" i="18"/>
  <c r="G34" i="18"/>
  <c r="G35" i="18"/>
  <c r="M13" i="18" l="1"/>
  <c r="M47" i="18"/>
  <c r="N47" i="18" s="1"/>
  <c r="AF47" i="18" s="1"/>
  <c r="T93" i="18"/>
  <c r="T108" i="18"/>
  <c r="V174" i="18"/>
  <c r="R23" i="25"/>
  <c r="Q20" i="25"/>
  <c r="T20" i="25" s="1"/>
  <c r="S39" i="25" s="1"/>
  <c r="S23" i="25"/>
  <c r="Q13" i="25"/>
  <c r="T13" i="25" s="1"/>
  <c r="Q19" i="25"/>
  <c r="T19" i="25" s="1"/>
  <c r="Q12" i="25"/>
  <c r="T12" i="25" s="1"/>
  <c r="Q18" i="25"/>
  <c r="T18" i="25" s="1"/>
  <c r="Q8" i="25"/>
  <c r="T8" i="25" s="1"/>
  <c r="Q11" i="25"/>
  <c r="T11" i="25" s="1"/>
  <c r="Q17" i="25"/>
  <c r="T17" i="25" s="1"/>
  <c r="N23" i="25"/>
  <c r="Q10" i="25"/>
  <c r="T10" i="25" s="1"/>
  <c r="Q16" i="25"/>
  <c r="T16" i="25" s="1"/>
  <c r="Q9" i="25"/>
  <c r="T9" i="25" s="1"/>
  <c r="Q15" i="25"/>
  <c r="T15" i="25" s="1"/>
  <c r="Q22" i="25"/>
  <c r="T22" i="25" s="1"/>
  <c r="Q14" i="25"/>
  <c r="T14" i="25" s="1"/>
  <c r="Q21" i="25"/>
  <c r="T21" i="25" s="1"/>
  <c r="M47" i="2"/>
  <c r="S173" i="18" s="1"/>
  <c r="L47" i="2"/>
  <c r="U173" i="18" s="1"/>
  <c r="K47" i="2"/>
  <c r="L173" i="18" s="1"/>
  <c r="J47" i="2"/>
  <c r="R173" i="18" s="1"/>
  <c r="I47" i="2"/>
  <c r="AA173" i="18" s="1"/>
  <c r="H47" i="2"/>
  <c r="Y173" i="18" s="1"/>
  <c r="G47" i="2"/>
  <c r="F173" i="18" s="1"/>
  <c r="F47" i="2"/>
  <c r="I173" i="18" s="1"/>
  <c r="E173" i="18"/>
  <c r="D173" i="18"/>
  <c r="C173" i="18"/>
  <c r="B173" i="18"/>
  <c r="M173" i="18" l="1"/>
  <c r="P173" i="18"/>
  <c r="J173" i="18"/>
  <c r="G173" i="18"/>
  <c r="U20" i="25"/>
  <c r="U21" i="25"/>
  <c r="S40" i="25"/>
  <c r="U19" i="25"/>
  <c r="S38" i="25"/>
  <c r="S29" i="25"/>
  <c r="U10" i="25"/>
  <c r="U13" i="25"/>
  <c r="S32" i="25"/>
  <c r="U17" i="25"/>
  <c r="S36" i="25"/>
  <c r="S30" i="25"/>
  <c r="U11" i="25"/>
  <c r="S28" i="25"/>
  <c r="U9" i="25"/>
  <c r="S33" i="25"/>
  <c r="U14" i="25"/>
  <c r="S41" i="25"/>
  <c r="U22" i="25"/>
  <c r="S34" i="25"/>
  <c r="U15" i="25"/>
  <c r="Q23" i="25"/>
  <c r="S37" i="25"/>
  <c r="U18" i="25"/>
  <c r="S35" i="25"/>
  <c r="U16" i="25"/>
  <c r="S31" i="25"/>
  <c r="U12" i="25"/>
  <c r="V173" i="18"/>
  <c r="O173" i="18"/>
  <c r="W173" i="18"/>
  <c r="T173" i="18"/>
  <c r="Z173" i="18"/>
  <c r="AB173" i="18"/>
  <c r="AI173" i="18" s="1"/>
  <c r="T23" i="25" l="1"/>
  <c r="M3" i="18" s="1"/>
  <c r="U8" i="25"/>
  <c r="S27" i="25"/>
  <c r="AN173" i="18"/>
  <c r="S42" i="25" l="1"/>
  <c r="D8" i="25"/>
  <c r="AN1" i="18" l="1"/>
  <c r="D4" i="26"/>
  <c r="C4" i="26"/>
  <c r="M18" i="2" l="1"/>
  <c r="L18" i="2"/>
  <c r="U22" i="18" s="1"/>
  <c r="K18" i="2"/>
  <c r="J18" i="2"/>
  <c r="O22" i="18" s="1"/>
  <c r="I18" i="2"/>
  <c r="H18" i="2"/>
  <c r="G18" i="2"/>
  <c r="F18" i="2"/>
  <c r="B29" i="18" l="1"/>
  <c r="C29" i="18"/>
  <c r="D29" i="18"/>
  <c r="E29" i="18"/>
  <c r="B131" i="18"/>
  <c r="C131" i="18"/>
  <c r="D131" i="18"/>
  <c r="E131" i="18"/>
  <c r="B79" i="18"/>
  <c r="C79" i="18"/>
  <c r="D79" i="18"/>
  <c r="E79" i="18"/>
  <c r="B170" i="18"/>
  <c r="C170" i="18"/>
  <c r="D170" i="18"/>
  <c r="E170" i="18"/>
  <c r="B115" i="18"/>
  <c r="C115" i="18"/>
  <c r="D115" i="18"/>
  <c r="E115" i="18"/>
  <c r="B104" i="18"/>
  <c r="C104" i="18"/>
  <c r="E104" i="18"/>
  <c r="B140" i="18"/>
  <c r="C140" i="18"/>
  <c r="D140" i="18"/>
  <c r="E140" i="18"/>
  <c r="B40" i="18"/>
  <c r="C40" i="18"/>
  <c r="D40" i="18"/>
  <c r="E40" i="18"/>
  <c r="B22" i="18"/>
  <c r="C22" i="18"/>
  <c r="D22" i="18"/>
  <c r="E22" i="18"/>
  <c r="F22" i="18"/>
  <c r="I22" i="18"/>
  <c r="L22" i="18"/>
  <c r="R22" i="18"/>
  <c r="S22" i="18"/>
  <c r="W22" i="18"/>
  <c r="Y22" i="18"/>
  <c r="AA22" i="18"/>
  <c r="B138" i="18"/>
  <c r="C138" i="18"/>
  <c r="D138" i="18"/>
  <c r="E138" i="18"/>
  <c r="M29" i="18" l="1"/>
  <c r="J29" i="18"/>
  <c r="P29" i="18"/>
  <c r="M22" i="18"/>
  <c r="J22" i="18"/>
  <c r="P22" i="18"/>
  <c r="M140" i="18"/>
  <c r="P140" i="18"/>
  <c r="J140" i="18"/>
  <c r="M79" i="18"/>
  <c r="P79" i="18"/>
  <c r="J79" i="18"/>
  <c r="M104" i="18"/>
  <c r="J104" i="18"/>
  <c r="P104" i="18"/>
  <c r="M170" i="18"/>
  <c r="J170" i="18"/>
  <c r="P170" i="18"/>
  <c r="M131" i="18"/>
  <c r="J131" i="18"/>
  <c r="P131" i="18"/>
  <c r="M115" i="18"/>
  <c r="P115" i="18"/>
  <c r="J115" i="18"/>
  <c r="M138" i="18"/>
  <c r="J138" i="18"/>
  <c r="P138" i="18"/>
  <c r="M40" i="18"/>
  <c r="P40" i="18"/>
  <c r="J40" i="18"/>
  <c r="G138" i="18"/>
  <c r="G40" i="18"/>
  <c r="G79" i="18"/>
  <c r="G131" i="18"/>
  <c r="G22" i="18"/>
  <c r="G115" i="18"/>
  <c r="G140" i="18"/>
  <c r="G104" i="18"/>
  <c r="G170" i="18"/>
  <c r="G29" i="18"/>
  <c r="AB22" i="18"/>
  <c r="AN22" i="18" s="1"/>
  <c r="Z22" i="18"/>
  <c r="T22" i="18"/>
  <c r="V22" i="18"/>
  <c r="AI22" i="18" l="1"/>
  <c r="L135" i="2"/>
  <c r="U138" i="18" s="1"/>
  <c r="M135" i="2"/>
  <c r="S138" i="18" s="1"/>
  <c r="J135" i="2"/>
  <c r="O138" i="18" s="1"/>
  <c r="K135" i="2"/>
  <c r="L138" i="18" s="1"/>
  <c r="F135" i="2"/>
  <c r="I138" i="18" s="1"/>
  <c r="G135" i="2"/>
  <c r="F138" i="18" s="1"/>
  <c r="H135" i="2"/>
  <c r="Y138" i="18" s="1"/>
  <c r="I135" i="2"/>
  <c r="AA138" i="18" s="1"/>
  <c r="L37" i="2"/>
  <c r="U40" i="18" s="1"/>
  <c r="M37" i="2"/>
  <c r="S40" i="18" s="1"/>
  <c r="J37" i="2"/>
  <c r="O40" i="18" s="1"/>
  <c r="K37" i="2"/>
  <c r="L40" i="18" s="1"/>
  <c r="F37" i="2"/>
  <c r="G37" i="2"/>
  <c r="F40" i="18" s="1"/>
  <c r="H37" i="2"/>
  <c r="Y40" i="18" s="1"/>
  <c r="I37" i="2"/>
  <c r="AA40" i="18" s="1"/>
  <c r="L137" i="2"/>
  <c r="U140" i="18" s="1"/>
  <c r="M137" i="2"/>
  <c r="S140" i="18" s="1"/>
  <c r="J137" i="2"/>
  <c r="O140" i="18" s="1"/>
  <c r="K137" i="2"/>
  <c r="L140" i="18" s="1"/>
  <c r="F137" i="2"/>
  <c r="G137" i="2"/>
  <c r="F140" i="18" s="1"/>
  <c r="H137" i="2"/>
  <c r="Y140" i="18" s="1"/>
  <c r="I137" i="2"/>
  <c r="AA140" i="18" s="1"/>
  <c r="L101" i="2"/>
  <c r="U104" i="18" s="1"/>
  <c r="M101" i="2"/>
  <c r="S104" i="18" s="1"/>
  <c r="J101" i="2"/>
  <c r="O104" i="18" s="1"/>
  <c r="K101" i="2"/>
  <c r="L104" i="18" s="1"/>
  <c r="F101" i="2"/>
  <c r="G101" i="2"/>
  <c r="F104" i="18" s="1"/>
  <c r="H101" i="2"/>
  <c r="Y104" i="18" s="1"/>
  <c r="I101" i="2"/>
  <c r="AA104" i="18" s="1"/>
  <c r="L112" i="2"/>
  <c r="U115" i="18" s="1"/>
  <c r="M112" i="2"/>
  <c r="S115" i="18" s="1"/>
  <c r="J112" i="2"/>
  <c r="O115" i="18" s="1"/>
  <c r="K112" i="2"/>
  <c r="L115" i="18" s="1"/>
  <c r="F112" i="2"/>
  <c r="G112" i="2"/>
  <c r="F115" i="18" s="1"/>
  <c r="H112" i="2"/>
  <c r="Y115" i="18" s="1"/>
  <c r="I112" i="2"/>
  <c r="AA115" i="18" s="1"/>
  <c r="L169" i="2"/>
  <c r="U170" i="18" s="1"/>
  <c r="M169" i="2"/>
  <c r="S170" i="18" s="1"/>
  <c r="J169" i="2"/>
  <c r="O170" i="18" s="1"/>
  <c r="K169" i="2"/>
  <c r="L170" i="18" s="1"/>
  <c r="F169" i="2"/>
  <c r="G169" i="2"/>
  <c r="F170" i="18" s="1"/>
  <c r="H169" i="2"/>
  <c r="Y170" i="18" s="1"/>
  <c r="I169" i="2"/>
  <c r="AA170" i="18" s="1"/>
  <c r="L73" i="2"/>
  <c r="U79" i="18" s="1"/>
  <c r="M73" i="2"/>
  <c r="S79" i="18" s="1"/>
  <c r="J73" i="2"/>
  <c r="O79" i="18" s="1"/>
  <c r="K73" i="2"/>
  <c r="L79" i="18" s="1"/>
  <c r="F73" i="2"/>
  <c r="G73" i="2"/>
  <c r="F79" i="18" s="1"/>
  <c r="H73" i="2"/>
  <c r="Y79" i="18" s="1"/>
  <c r="I73" i="2"/>
  <c r="AA79" i="18" s="1"/>
  <c r="L128" i="2"/>
  <c r="U131" i="18" s="1"/>
  <c r="M128" i="2"/>
  <c r="S131" i="18" s="1"/>
  <c r="J128" i="2"/>
  <c r="O131" i="18" s="1"/>
  <c r="K128" i="2"/>
  <c r="L131" i="18" s="1"/>
  <c r="F128" i="2"/>
  <c r="G128" i="2"/>
  <c r="F131" i="18" s="1"/>
  <c r="H128" i="2"/>
  <c r="Y131" i="18" s="1"/>
  <c r="I128" i="2"/>
  <c r="AA131" i="18" s="1"/>
  <c r="L24" i="2"/>
  <c r="U29" i="18" s="1"/>
  <c r="M24" i="2"/>
  <c r="S29" i="18" s="1"/>
  <c r="J24" i="2"/>
  <c r="O29" i="18" s="1"/>
  <c r="K24" i="2"/>
  <c r="L29" i="18" s="1"/>
  <c r="F24" i="2"/>
  <c r="G24" i="2"/>
  <c r="F29" i="18" s="1"/>
  <c r="H24" i="2"/>
  <c r="Y29" i="18" s="1"/>
  <c r="I24" i="2"/>
  <c r="AA29" i="18" s="1"/>
  <c r="AB29" i="18" l="1"/>
  <c r="AN29" i="18" s="1"/>
  <c r="AB131" i="18"/>
  <c r="AN131" i="18" s="1"/>
  <c r="AB79" i="18"/>
  <c r="AN79" i="18" s="1"/>
  <c r="AB170" i="18"/>
  <c r="AN170" i="18" s="1"/>
  <c r="AB115" i="18"/>
  <c r="AN115" i="18" s="1"/>
  <c r="AB104" i="18"/>
  <c r="AN104" i="18" s="1"/>
  <c r="AB140" i="18"/>
  <c r="AN140" i="18" s="1"/>
  <c r="AB40" i="18"/>
  <c r="AN40" i="18" s="1"/>
  <c r="AB138" i="18"/>
  <c r="AN138" i="18" s="1"/>
  <c r="Z29" i="18"/>
  <c r="Z131" i="18"/>
  <c r="Z79" i="18"/>
  <c r="Z170" i="18"/>
  <c r="Z115" i="18"/>
  <c r="Z104" i="18"/>
  <c r="Z140" i="18"/>
  <c r="Z40" i="18"/>
  <c r="Z138" i="18"/>
  <c r="W138" i="18"/>
  <c r="W40" i="18"/>
  <c r="I40" i="18"/>
  <c r="R104" i="18"/>
  <c r="T104" i="18" s="1"/>
  <c r="R29" i="18"/>
  <c r="V29" i="18" s="1"/>
  <c r="W131" i="18"/>
  <c r="I131" i="18"/>
  <c r="W79" i="18"/>
  <c r="I79" i="18"/>
  <c r="W170" i="18"/>
  <c r="I170" i="18"/>
  <c r="R115" i="18"/>
  <c r="T115" i="18" s="1"/>
  <c r="W140" i="18"/>
  <c r="I140" i="18"/>
  <c r="W104" i="18"/>
  <c r="I104" i="18"/>
  <c r="R138" i="18"/>
  <c r="V138" i="18" s="1"/>
  <c r="R40" i="18"/>
  <c r="V40" i="18" s="1"/>
  <c r="W29" i="18"/>
  <c r="I29" i="18"/>
  <c r="R131" i="18"/>
  <c r="V131" i="18" s="1"/>
  <c r="R79" i="18"/>
  <c r="T79" i="18" s="1"/>
  <c r="Q170" i="18"/>
  <c r="R170" i="18"/>
  <c r="V170" i="18" s="1"/>
  <c r="W115" i="18"/>
  <c r="I115" i="18"/>
  <c r="R140" i="18"/>
  <c r="T140" i="18" s="1"/>
  <c r="G11" i="16"/>
  <c r="AI138" i="18" l="1"/>
  <c r="AI170" i="18"/>
  <c r="AI29" i="18"/>
  <c r="AI40" i="18"/>
  <c r="AI79" i="18"/>
  <c r="AI140" i="18"/>
  <c r="AI104" i="18"/>
  <c r="AI115" i="18"/>
  <c r="AI131" i="18"/>
  <c r="T170" i="18"/>
  <c r="T138" i="18"/>
  <c r="T131" i="18"/>
  <c r="V79" i="18"/>
  <c r="V115" i="18"/>
  <c r="V104" i="18"/>
  <c r="T40" i="18"/>
  <c r="V140" i="18"/>
  <c r="T29" i="18"/>
  <c r="AS139" i="18" l="1"/>
  <c r="AR139" i="18"/>
  <c r="AS109" i="18"/>
  <c r="AR109" i="18"/>
  <c r="AR101" i="18"/>
  <c r="AS101" i="18"/>
  <c r="AT109" i="18" l="1"/>
  <c r="AT101" i="18"/>
  <c r="AT139" i="18"/>
  <c r="AR59" i="18"/>
  <c r="AS59" i="18"/>
  <c r="AT59" i="18" l="1"/>
  <c r="AO9" i="19"/>
  <c r="B17" i="18" l="1"/>
  <c r="M17" i="18" l="1"/>
  <c r="J17" i="18"/>
  <c r="P17" i="18"/>
  <c r="G17" i="18"/>
  <c r="C83" i="18"/>
  <c r="B16" i="18"/>
  <c r="C16" i="18"/>
  <c r="D16" i="18"/>
  <c r="E16" i="18"/>
  <c r="L14" i="2"/>
  <c r="U16" i="18" s="1"/>
  <c r="M14" i="2"/>
  <c r="S16" i="18" s="1"/>
  <c r="J14" i="2"/>
  <c r="O16" i="18" s="1"/>
  <c r="K14" i="2"/>
  <c r="F14" i="2"/>
  <c r="I16" i="18" s="1"/>
  <c r="G14" i="2"/>
  <c r="F16" i="18" s="1"/>
  <c r="H14" i="2"/>
  <c r="Y16" i="18" s="1"/>
  <c r="I14" i="2"/>
  <c r="AA16" i="18" s="1"/>
  <c r="M16" i="18" l="1"/>
  <c r="P16" i="18"/>
  <c r="Q16" i="18" s="1"/>
  <c r="J16" i="18"/>
  <c r="G16" i="18"/>
  <c r="AB16" i="18"/>
  <c r="Z16" i="18"/>
  <c r="L16" i="18"/>
  <c r="W16" i="18"/>
  <c r="R16" i="18"/>
  <c r="T16" i="18" s="1"/>
  <c r="E55" i="18"/>
  <c r="D55" i="18"/>
  <c r="C55" i="18"/>
  <c r="B55" i="18"/>
  <c r="M55" i="18" l="1"/>
  <c r="J55" i="18"/>
  <c r="P55" i="18"/>
  <c r="G55" i="18"/>
  <c r="AN16" i="18"/>
  <c r="AI16" i="18"/>
  <c r="V16" i="18"/>
  <c r="L15" i="2"/>
  <c r="U17" i="18" s="1"/>
  <c r="M15" i="2"/>
  <c r="J15" i="2"/>
  <c r="K15" i="2"/>
  <c r="F15" i="2"/>
  <c r="G15" i="2"/>
  <c r="H15" i="2"/>
  <c r="I15" i="2"/>
  <c r="BC63" i="18" l="1"/>
  <c r="AS63" i="18"/>
  <c r="AR63" i="18"/>
  <c r="BC60" i="18"/>
  <c r="AS60" i="18"/>
  <c r="AR60" i="18"/>
  <c r="BC117" i="18"/>
  <c r="AS117" i="18"/>
  <c r="AR117" i="18"/>
  <c r="I61" i="2"/>
  <c r="AA63" i="18" s="1"/>
  <c r="H61" i="2"/>
  <c r="Y63" i="18" s="1"/>
  <c r="G61" i="2"/>
  <c r="F63" i="18" s="1"/>
  <c r="F61" i="2"/>
  <c r="W63" i="18" s="1"/>
  <c r="K61" i="2"/>
  <c r="J61" i="2"/>
  <c r="M61" i="2"/>
  <c r="S63" i="18" s="1"/>
  <c r="L61" i="2"/>
  <c r="U63" i="18" s="1"/>
  <c r="I115" i="2"/>
  <c r="AA117" i="18" s="1"/>
  <c r="H115" i="2"/>
  <c r="Y117" i="18" s="1"/>
  <c r="G115" i="2"/>
  <c r="F117" i="18" s="1"/>
  <c r="F115" i="2"/>
  <c r="W117" i="18" s="1"/>
  <c r="K115" i="2"/>
  <c r="J115" i="2"/>
  <c r="O117" i="18" s="1"/>
  <c r="M115" i="2"/>
  <c r="S117" i="18" s="1"/>
  <c r="L115" i="2"/>
  <c r="U117" i="18" s="1"/>
  <c r="I58" i="2"/>
  <c r="AA60" i="18" s="1"/>
  <c r="H58" i="2"/>
  <c r="Y60" i="18" s="1"/>
  <c r="G58" i="2"/>
  <c r="F60" i="18" s="1"/>
  <c r="F58" i="2"/>
  <c r="I60" i="18" s="1"/>
  <c r="K58" i="2"/>
  <c r="J58" i="2"/>
  <c r="M58" i="2"/>
  <c r="S60" i="18" s="1"/>
  <c r="L58" i="2"/>
  <c r="U60" i="18" s="1"/>
  <c r="Z60" i="18" l="1"/>
  <c r="Z117" i="18"/>
  <c r="Z63" i="18"/>
  <c r="AB60" i="18"/>
  <c r="AB117" i="18"/>
  <c r="AB63" i="18"/>
  <c r="R60" i="18"/>
  <c r="T60" i="18" s="1"/>
  <c r="O60" i="18"/>
  <c r="AZ60" i="18" s="1"/>
  <c r="R63" i="18"/>
  <c r="T63" i="18" s="1"/>
  <c r="O63" i="18"/>
  <c r="L60" i="18"/>
  <c r="L117" i="18"/>
  <c r="L63" i="18"/>
  <c r="R117" i="18"/>
  <c r="T117" i="18" s="1"/>
  <c r="W60" i="18"/>
  <c r="I63" i="18"/>
  <c r="I117" i="18"/>
  <c r="AZ117" i="18" s="1"/>
  <c r="AT63" i="18"/>
  <c r="AT117" i="18"/>
  <c r="AT60" i="18"/>
  <c r="V63" i="18" l="1"/>
  <c r="V60" i="18"/>
  <c r="AI63" i="18"/>
  <c r="AI117" i="18"/>
  <c r="V117" i="18"/>
  <c r="AZ63" i="18"/>
  <c r="AI60" i="18"/>
  <c r="I48" i="2"/>
  <c r="AA59" i="18" s="1"/>
  <c r="J48" i="2"/>
  <c r="O59" i="18" s="1"/>
  <c r="L48" i="2"/>
  <c r="U59" i="18" s="1"/>
  <c r="M48" i="2"/>
  <c r="S59" i="18" s="1"/>
  <c r="K48" i="2"/>
  <c r="F48" i="2"/>
  <c r="W59" i="18" s="1"/>
  <c r="G48" i="2"/>
  <c r="F59" i="18" s="1"/>
  <c r="H48" i="2"/>
  <c r="Y59" i="18" s="1"/>
  <c r="AB59" i="18" l="1"/>
  <c r="Z59" i="18"/>
  <c r="L59" i="18"/>
  <c r="R59" i="18"/>
  <c r="T59" i="18" s="1"/>
  <c r="I59" i="18"/>
  <c r="AZ59" i="18" s="1"/>
  <c r="AI59" i="18" l="1"/>
  <c r="V59" i="18"/>
  <c r="L16" i="2" l="1"/>
  <c r="U20" i="18" s="1"/>
  <c r="M16" i="2"/>
  <c r="S20" i="18" s="1"/>
  <c r="J16" i="2"/>
  <c r="K16" i="2"/>
  <c r="L20" i="18" s="1"/>
  <c r="F16" i="2"/>
  <c r="G16" i="2"/>
  <c r="F20" i="18" s="1"/>
  <c r="H16" i="2"/>
  <c r="Y20" i="18" s="1"/>
  <c r="I16" i="2"/>
  <c r="AA20" i="18" s="1"/>
  <c r="L95" i="2"/>
  <c r="U98" i="18" s="1"/>
  <c r="M95" i="2"/>
  <c r="J95" i="2"/>
  <c r="O98" i="18" s="1"/>
  <c r="K95" i="2"/>
  <c r="F95" i="2"/>
  <c r="G95" i="2"/>
  <c r="H95" i="2"/>
  <c r="I95" i="2"/>
  <c r="L116" i="2"/>
  <c r="U119" i="18" s="1"/>
  <c r="M116" i="2"/>
  <c r="J116" i="2"/>
  <c r="O119" i="18" s="1"/>
  <c r="K116" i="2"/>
  <c r="F116" i="2"/>
  <c r="G116" i="2"/>
  <c r="H116" i="2"/>
  <c r="I116" i="2"/>
  <c r="L82" i="2"/>
  <c r="U85" i="18" s="1"/>
  <c r="M82" i="2"/>
  <c r="J82" i="2"/>
  <c r="O85" i="18" s="1"/>
  <c r="K82" i="2"/>
  <c r="F82" i="2"/>
  <c r="G82" i="2"/>
  <c r="H82" i="2"/>
  <c r="I82" i="2"/>
  <c r="L132" i="2"/>
  <c r="U135" i="18" s="1"/>
  <c r="M132" i="2"/>
  <c r="J132" i="2"/>
  <c r="O135" i="18" s="1"/>
  <c r="K132" i="2"/>
  <c r="F132" i="2"/>
  <c r="G132" i="2"/>
  <c r="H132" i="2"/>
  <c r="I132" i="2"/>
  <c r="L17" i="2"/>
  <c r="U21" i="18" s="1"/>
  <c r="M17" i="2"/>
  <c r="J17" i="2"/>
  <c r="O21" i="18" s="1"/>
  <c r="K17" i="2"/>
  <c r="F17" i="2"/>
  <c r="G17" i="2"/>
  <c r="H17" i="2"/>
  <c r="I17" i="2"/>
  <c r="L144" i="2"/>
  <c r="U147" i="18" s="1"/>
  <c r="M144" i="2"/>
  <c r="J144" i="2"/>
  <c r="O147" i="18" s="1"/>
  <c r="K144" i="2"/>
  <c r="F144" i="2"/>
  <c r="G144" i="2"/>
  <c r="H144" i="2"/>
  <c r="I144" i="2"/>
  <c r="J5" i="2"/>
  <c r="L43" i="2"/>
  <c r="U46" i="18" s="1"/>
  <c r="M43" i="2"/>
  <c r="J43" i="2"/>
  <c r="O46" i="18" s="1"/>
  <c r="AY46" i="18" s="1"/>
  <c r="K43" i="2"/>
  <c r="F43" i="2"/>
  <c r="G43" i="2"/>
  <c r="H43" i="2"/>
  <c r="I43" i="2"/>
  <c r="L6" i="2"/>
  <c r="M6" i="2"/>
  <c r="J6" i="2"/>
  <c r="K6" i="2"/>
  <c r="F6" i="2"/>
  <c r="G6" i="2"/>
  <c r="H6" i="2"/>
  <c r="I6" i="2"/>
  <c r="L152" i="2"/>
  <c r="U155" i="18" s="1"/>
  <c r="M152" i="2"/>
  <c r="J152" i="2"/>
  <c r="O155" i="18" s="1"/>
  <c r="K152" i="2"/>
  <c r="F152" i="2"/>
  <c r="G152" i="2"/>
  <c r="H152" i="2"/>
  <c r="I152" i="2"/>
  <c r="L133" i="2"/>
  <c r="U136" i="18" s="1"/>
  <c r="M133" i="2"/>
  <c r="J133" i="2"/>
  <c r="O136" i="18" s="1"/>
  <c r="K133" i="2"/>
  <c r="F133" i="2"/>
  <c r="G133" i="2"/>
  <c r="H133" i="2"/>
  <c r="I133" i="2"/>
  <c r="L117" i="2"/>
  <c r="U120" i="18" s="1"/>
  <c r="M117" i="2"/>
  <c r="J117" i="2"/>
  <c r="O120" i="18" s="1"/>
  <c r="K117" i="2"/>
  <c r="F117" i="2"/>
  <c r="G117" i="2"/>
  <c r="H117" i="2"/>
  <c r="I117" i="2"/>
  <c r="L134" i="2"/>
  <c r="U137" i="18" s="1"/>
  <c r="M134" i="2"/>
  <c r="J134" i="2"/>
  <c r="O137" i="18" s="1"/>
  <c r="K134" i="2"/>
  <c r="F134" i="2"/>
  <c r="G134" i="2"/>
  <c r="H134" i="2"/>
  <c r="I134" i="2"/>
  <c r="L96" i="2"/>
  <c r="U99" i="18" s="1"/>
  <c r="M96" i="2"/>
  <c r="J96" i="2"/>
  <c r="O99" i="18" s="1"/>
  <c r="AY99" i="18" s="1"/>
  <c r="K96" i="2"/>
  <c r="F96" i="2"/>
  <c r="G96" i="2"/>
  <c r="H96" i="2"/>
  <c r="I96" i="2"/>
  <c r="L97" i="2"/>
  <c r="U100" i="18" s="1"/>
  <c r="M97" i="2"/>
  <c r="J97" i="2"/>
  <c r="O100" i="18" s="1"/>
  <c r="K97" i="2"/>
  <c r="F97" i="2"/>
  <c r="G97" i="2"/>
  <c r="H97" i="2"/>
  <c r="I97" i="2"/>
  <c r="L118" i="2"/>
  <c r="U121" i="18" s="1"/>
  <c r="M118" i="2"/>
  <c r="J118" i="2"/>
  <c r="O121" i="18" s="1"/>
  <c r="AY121" i="18" s="1"/>
  <c r="K118" i="2"/>
  <c r="F118" i="2"/>
  <c r="G118" i="2"/>
  <c r="H118" i="2"/>
  <c r="I118" i="2"/>
  <c r="L145" i="2"/>
  <c r="U148" i="18" s="1"/>
  <c r="M145" i="2"/>
  <c r="J145" i="2"/>
  <c r="O148" i="18" s="1"/>
  <c r="K145" i="2"/>
  <c r="F145" i="2"/>
  <c r="G145" i="2"/>
  <c r="H145" i="2"/>
  <c r="I145" i="2"/>
  <c r="L153" i="2"/>
  <c r="U156" i="18" s="1"/>
  <c r="M153" i="2"/>
  <c r="J153" i="2"/>
  <c r="O156" i="18" s="1"/>
  <c r="K153" i="2"/>
  <c r="F153" i="2"/>
  <c r="G153" i="2"/>
  <c r="H153" i="2"/>
  <c r="I153" i="2"/>
  <c r="L7" i="2"/>
  <c r="U8" i="18" s="1"/>
  <c r="M7" i="2"/>
  <c r="J7" i="2"/>
  <c r="K7" i="2"/>
  <c r="F7" i="2"/>
  <c r="G7" i="2"/>
  <c r="H7" i="2"/>
  <c r="I7" i="2"/>
  <c r="L8" i="2"/>
  <c r="U9" i="18" s="1"/>
  <c r="M8" i="2"/>
  <c r="J8" i="2"/>
  <c r="K8" i="2"/>
  <c r="F8" i="2"/>
  <c r="G8" i="2"/>
  <c r="H8" i="2"/>
  <c r="I8" i="2"/>
  <c r="L29" i="2"/>
  <c r="U32" i="18" s="1"/>
  <c r="M29" i="2"/>
  <c r="J29" i="2"/>
  <c r="O32" i="18" s="1"/>
  <c r="K29" i="2"/>
  <c r="F29" i="2"/>
  <c r="G29" i="2"/>
  <c r="H29" i="2"/>
  <c r="I29" i="2"/>
  <c r="L9" i="2"/>
  <c r="U10" i="18" s="1"/>
  <c r="M9" i="2"/>
  <c r="J9" i="2"/>
  <c r="K9" i="2"/>
  <c r="F9" i="2"/>
  <c r="G9" i="2"/>
  <c r="H9" i="2"/>
  <c r="I9" i="2"/>
  <c r="L83" i="2"/>
  <c r="U86" i="18" s="1"/>
  <c r="M83" i="2"/>
  <c r="J83" i="2"/>
  <c r="O86" i="18" s="1"/>
  <c r="K83" i="2"/>
  <c r="F83" i="2"/>
  <c r="G83" i="2"/>
  <c r="H83" i="2"/>
  <c r="I83" i="2"/>
  <c r="L68" i="2"/>
  <c r="U77" i="18" s="1"/>
  <c r="M68" i="2"/>
  <c r="J68" i="2"/>
  <c r="O77" i="18" s="1"/>
  <c r="K68" i="2"/>
  <c r="F68" i="2"/>
  <c r="G68" i="2"/>
  <c r="H68" i="2"/>
  <c r="I68" i="2"/>
  <c r="L10" i="2"/>
  <c r="U11" i="18" s="1"/>
  <c r="M10" i="2"/>
  <c r="J10" i="2"/>
  <c r="K10" i="2"/>
  <c r="F10" i="2"/>
  <c r="G10" i="2"/>
  <c r="H10" i="2"/>
  <c r="I10" i="2"/>
  <c r="L84" i="2"/>
  <c r="U87" i="18" s="1"/>
  <c r="M84" i="2"/>
  <c r="J84" i="2"/>
  <c r="O87" i="18" s="1"/>
  <c r="K84" i="2"/>
  <c r="F84" i="2"/>
  <c r="G84" i="2"/>
  <c r="H84" i="2"/>
  <c r="I84" i="2"/>
  <c r="L69" i="2"/>
  <c r="U71" i="18" s="1"/>
  <c r="M69" i="2"/>
  <c r="J69" i="2"/>
  <c r="O71" i="18" s="1"/>
  <c r="K69" i="2"/>
  <c r="F69" i="2"/>
  <c r="G69" i="2"/>
  <c r="H69" i="2"/>
  <c r="I69" i="2"/>
  <c r="L158" i="2"/>
  <c r="U161" i="18" s="1"/>
  <c r="M158" i="2"/>
  <c r="J158" i="2"/>
  <c r="O161" i="18" s="1"/>
  <c r="K158" i="2"/>
  <c r="F158" i="2"/>
  <c r="G158" i="2"/>
  <c r="H158" i="2"/>
  <c r="I158" i="2"/>
  <c r="L159" i="2"/>
  <c r="U162" i="18" s="1"/>
  <c r="M159" i="2"/>
  <c r="J159" i="2"/>
  <c r="O162" i="18" s="1"/>
  <c r="K159" i="2"/>
  <c r="F159" i="2"/>
  <c r="G159" i="2"/>
  <c r="H159" i="2"/>
  <c r="I159" i="2"/>
  <c r="L45" i="2"/>
  <c r="U48" i="18" s="1"/>
  <c r="M45" i="2"/>
  <c r="J45" i="2"/>
  <c r="O48" i="18" s="1"/>
  <c r="K45" i="2"/>
  <c r="F45" i="2"/>
  <c r="G45" i="2"/>
  <c r="H45" i="2"/>
  <c r="I45" i="2"/>
  <c r="L119" i="2"/>
  <c r="U122" i="18" s="1"/>
  <c r="M119" i="2"/>
  <c r="J119" i="2"/>
  <c r="O122" i="18" s="1"/>
  <c r="K119" i="2"/>
  <c r="F119" i="2"/>
  <c r="G119" i="2"/>
  <c r="H119" i="2"/>
  <c r="I119" i="2"/>
  <c r="L98" i="2"/>
  <c r="U101" i="18" s="1"/>
  <c r="M98" i="2"/>
  <c r="J98" i="2"/>
  <c r="O101" i="18" s="1"/>
  <c r="K98" i="2"/>
  <c r="F98" i="2"/>
  <c r="G98" i="2"/>
  <c r="H98" i="2"/>
  <c r="I98" i="2"/>
  <c r="L120" i="2"/>
  <c r="U123" i="18" s="1"/>
  <c r="M120" i="2"/>
  <c r="J120" i="2"/>
  <c r="O123" i="18" s="1"/>
  <c r="AY123" i="18" s="1"/>
  <c r="K120" i="2"/>
  <c r="F120" i="2"/>
  <c r="G120" i="2"/>
  <c r="H120" i="2"/>
  <c r="I120" i="2"/>
  <c r="L146" i="2"/>
  <c r="U149" i="18" s="1"/>
  <c r="M146" i="2"/>
  <c r="J146" i="2"/>
  <c r="O149" i="18" s="1"/>
  <c r="K146" i="2"/>
  <c r="F146" i="2"/>
  <c r="G146" i="2"/>
  <c r="H146" i="2"/>
  <c r="I146" i="2"/>
  <c r="L99" i="2"/>
  <c r="U102" i="18" s="1"/>
  <c r="M99" i="2"/>
  <c r="J99" i="2"/>
  <c r="O102" i="18" s="1"/>
  <c r="AY102" i="18" s="1"/>
  <c r="K99" i="2"/>
  <c r="F99" i="2"/>
  <c r="G99" i="2"/>
  <c r="H99" i="2"/>
  <c r="I99" i="2"/>
  <c r="L70" i="2"/>
  <c r="U72" i="18" s="1"/>
  <c r="M70" i="2"/>
  <c r="J70" i="2"/>
  <c r="O72" i="18" s="1"/>
  <c r="K70" i="2"/>
  <c r="F70" i="2"/>
  <c r="G70" i="2"/>
  <c r="H70" i="2"/>
  <c r="I70" i="2"/>
  <c r="L121" i="2"/>
  <c r="U124" i="18" s="1"/>
  <c r="M121" i="2"/>
  <c r="J121" i="2"/>
  <c r="O124" i="18" s="1"/>
  <c r="K121" i="2"/>
  <c r="F121" i="2"/>
  <c r="G121" i="2"/>
  <c r="H121" i="2"/>
  <c r="I121" i="2"/>
  <c r="L35" i="2"/>
  <c r="U38" i="18" s="1"/>
  <c r="M35" i="2"/>
  <c r="J35" i="2"/>
  <c r="O38" i="18" s="1"/>
  <c r="K35" i="2"/>
  <c r="F35" i="2"/>
  <c r="G35" i="2"/>
  <c r="H35" i="2"/>
  <c r="I35" i="2"/>
  <c r="L154" i="2"/>
  <c r="U157" i="18" s="1"/>
  <c r="M154" i="2"/>
  <c r="J154" i="2"/>
  <c r="O157" i="18" s="1"/>
  <c r="K154" i="2"/>
  <c r="F154" i="2"/>
  <c r="G154" i="2"/>
  <c r="H154" i="2"/>
  <c r="I154" i="2"/>
  <c r="L30" i="2"/>
  <c r="U33" i="18" s="1"/>
  <c r="M30" i="2"/>
  <c r="J30" i="2"/>
  <c r="O33" i="18" s="1"/>
  <c r="K30" i="2"/>
  <c r="F30" i="2"/>
  <c r="G30" i="2"/>
  <c r="H30" i="2"/>
  <c r="I30" i="2"/>
  <c r="L147" i="2"/>
  <c r="U150" i="18" s="1"/>
  <c r="M147" i="2"/>
  <c r="J147" i="2"/>
  <c r="O150" i="18" s="1"/>
  <c r="K147" i="2"/>
  <c r="F147" i="2"/>
  <c r="G147" i="2"/>
  <c r="H147" i="2"/>
  <c r="I147" i="2"/>
  <c r="L19" i="2"/>
  <c r="U23" i="18" s="1"/>
  <c r="M19" i="2"/>
  <c r="J19" i="2"/>
  <c r="O23" i="18" s="1"/>
  <c r="K19" i="2"/>
  <c r="F19" i="2"/>
  <c r="G19" i="2"/>
  <c r="H19" i="2"/>
  <c r="I19" i="2"/>
  <c r="L109" i="2"/>
  <c r="U112" i="18" s="1"/>
  <c r="M109" i="2"/>
  <c r="J109" i="2"/>
  <c r="O112" i="18" s="1"/>
  <c r="K109" i="2"/>
  <c r="F109" i="2"/>
  <c r="G109" i="2"/>
  <c r="H109" i="2"/>
  <c r="I109" i="2"/>
  <c r="L155" i="2"/>
  <c r="U158" i="18" s="1"/>
  <c r="M155" i="2"/>
  <c r="J155" i="2"/>
  <c r="O158" i="18" s="1"/>
  <c r="K155" i="2"/>
  <c r="F155" i="2"/>
  <c r="G155" i="2"/>
  <c r="H155" i="2"/>
  <c r="I155" i="2"/>
  <c r="L122" i="2"/>
  <c r="U125" i="18" s="1"/>
  <c r="M122" i="2"/>
  <c r="J122" i="2"/>
  <c r="O125" i="18" s="1"/>
  <c r="K122" i="2"/>
  <c r="F122" i="2"/>
  <c r="G122" i="2"/>
  <c r="H122" i="2"/>
  <c r="I122" i="2"/>
  <c r="L136" i="2"/>
  <c r="U139" i="18" s="1"/>
  <c r="M136" i="2"/>
  <c r="J136" i="2"/>
  <c r="O139" i="18" s="1"/>
  <c r="K136" i="2"/>
  <c r="F136" i="2"/>
  <c r="G136" i="2"/>
  <c r="H136" i="2"/>
  <c r="I136" i="2"/>
  <c r="L46" i="2"/>
  <c r="U49" i="18" s="1"/>
  <c r="M46" i="2"/>
  <c r="J46" i="2"/>
  <c r="O49" i="18" s="1"/>
  <c r="K46" i="2"/>
  <c r="F46" i="2"/>
  <c r="G46" i="2"/>
  <c r="H46" i="2"/>
  <c r="I46" i="2"/>
  <c r="L36" i="2"/>
  <c r="U39" i="18" s="1"/>
  <c r="M36" i="2"/>
  <c r="J36" i="2"/>
  <c r="O39" i="18" s="1"/>
  <c r="K36" i="2"/>
  <c r="F36" i="2"/>
  <c r="G36" i="2"/>
  <c r="H36" i="2"/>
  <c r="I36" i="2"/>
  <c r="L54" i="2"/>
  <c r="U55" i="18" s="1"/>
  <c r="M54" i="2"/>
  <c r="S55" i="18" s="1"/>
  <c r="J54" i="2"/>
  <c r="O55" i="18" s="1"/>
  <c r="K54" i="2"/>
  <c r="F54" i="2"/>
  <c r="G54" i="2"/>
  <c r="F55" i="18" s="1"/>
  <c r="H54" i="2"/>
  <c r="Y55" i="18" s="1"/>
  <c r="I54" i="2"/>
  <c r="AA55" i="18" s="1"/>
  <c r="L71" i="2"/>
  <c r="U74" i="18" s="1"/>
  <c r="M71" i="2"/>
  <c r="J71" i="2"/>
  <c r="O74" i="18" s="1"/>
  <c r="AY74" i="18" s="1"/>
  <c r="K71" i="2"/>
  <c r="F71" i="2"/>
  <c r="G71" i="2"/>
  <c r="H71" i="2"/>
  <c r="I71" i="2"/>
  <c r="L49" i="2"/>
  <c r="U50" i="18" s="1"/>
  <c r="M49" i="2"/>
  <c r="J49" i="2"/>
  <c r="O50" i="18" s="1"/>
  <c r="K49" i="2"/>
  <c r="F49" i="2"/>
  <c r="G49" i="2"/>
  <c r="H49" i="2"/>
  <c r="I49" i="2"/>
  <c r="L148" i="2"/>
  <c r="U151" i="18" s="1"/>
  <c r="M148" i="2"/>
  <c r="J148" i="2"/>
  <c r="O151" i="18" s="1"/>
  <c r="K148" i="2"/>
  <c r="F148" i="2"/>
  <c r="G148" i="2"/>
  <c r="H148" i="2"/>
  <c r="I148" i="2"/>
  <c r="L62" i="2"/>
  <c r="U65" i="18" s="1"/>
  <c r="M62" i="2"/>
  <c r="J62" i="2"/>
  <c r="O65" i="18" s="1"/>
  <c r="K62" i="2"/>
  <c r="F62" i="2"/>
  <c r="G62" i="2"/>
  <c r="H62" i="2"/>
  <c r="I62" i="2"/>
  <c r="U66" i="18"/>
  <c r="O66" i="18"/>
  <c r="L123" i="2"/>
  <c r="U126" i="18" s="1"/>
  <c r="M123" i="2"/>
  <c r="J123" i="2"/>
  <c r="O126" i="18" s="1"/>
  <c r="K123" i="2"/>
  <c r="F123" i="2"/>
  <c r="G123" i="2"/>
  <c r="H123" i="2"/>
  <c r="I123" i="2"/>
  <c r="L161" i="2"/>
  <c r="U171" i="18" s="1"/>
  <c r="M161" i="2"/>
  <c r="J161" i="2"/>
  <c r="O171" i="18" s="1"/>
  <c r="K161" i="2"/>
  <c r="F161" i="2"/>
  <c r="G161" i="2"/>
  <c r="H161" i="2"/>
  <c r="I161" i="2"/>
  <c r="L149" i="2"/>
  <c r="U152" i="18" s="1"/>
  <c r="M149" i="2"/>
  <c r="J149" i="2"/>
  <c r="O152" i="18" s="1"/>
  <c r="K149" i="2"/>
  <c r="F149" i="2"/>
  <c r="G149" i="2"/>
  <c r="H149" i="2"/>
  <c r="I149" i="2"/>
  <c r="L162" i="2"/>
  <c r="U163" i="18" s="1"/>
  <c r="M162" i="2"/>
  <c r="J162" i="2"/>
  <c r="O163" i="18" s="1"/>
  <c r="K162" i="2"/>
  <c r="F162" i="2"/>
  <c r="G162" i="2"/>
  <c r="H162" i="2"/>
  <c r="I162" i="2"/>
  <c r="L124" i="2"/>
  <c r="U127" i="18" s="1"/>
  <c r="M124" i="2"/>
  <c r="J124" i="2"/>
  <c r="O127" i="18" s="1"/>
  <c r="K124" i="2"/>
  <c r="F124" i="2"/>
  <c r="G124" i="2"/>
  <c r="H124" i="2"/>
  <c r="I124" i="2"/>
  <c r="L150" i="2"/>
  <c r="U153" i="18" s="1"/>
  <c r="M150" i="2"/>
  <c r="J150" i="2"/>
  <c r="O153" i="18" s="1"/>
  <c r="K150" i="2"/>
  <c r="F150" i="2"/>
  <c r="G150" i="2"/>
  <c r="H150" i="2"/>
  <c r="I150" i="2"/>
  <c r="L110" i="2"/>
  <c r="U113" i="18" s="1"/>
  <c r="M110" i="2"/>
  <c r="J110" i="2"/>
  <c r="O113" i="18" s="1"/>
  <c r="K110" i="2"/>
  <c r="F110" i="2"/>
  <c r="G110" i="2"/>
  <c r="H110" i="2"/>
  <c r="I110" i="2"/>
  <c r="L163" i="2"/>
  <c r="U164" i="18" s="1"/>
  <c r="M163" i="2"/>
  <c r="J163" i="2"/>
  <c r="O164" i="18" s="1"/>
  <c r="K163" i="2"/>
  <c r="F163" i="2"/>
  <c r="G163" i="2"/>
  <c r="H163" i="2"/>
  <c r="I163" i="2"/>
  <c r="L85" i="2"/>
  <c r="U88" i="18" s="1"/>
  <c r="M85" i="2"/>
  <c r="J85" i="2"/>
  <c r="O88" i="18" s="1"/>
  <c r="K85" i="2"/>
  <c r="F85" i="2"/>
  <c r="G85" i="2"/>
  <c r="H85" i="2"/>
  <c r="I85" i="2"/>
  <c r="L50" i="2"/>
  <c r="U51" i="18" s="1"/>
  <c r="M50" i="2"/>
  <c r="J50" i="2"/>
  <c r="O51" i="18" s="1"/>
  <c r="K50" i="2"/>
  <c r="F50" i="2"/>
  <c r="G50" i="2"/>
  <c r="H50" i="2"/>
  <c r="I50" i="2"/>
  <c r="U25" i="18"/>
  <c r="O25" i="18"/>
  <c r="L51" i="2"/>
  <c r="U52" i="18" s="1"/>
  <c r="M51" i="2"/>
  <c r="J51" i="2"/>
  <c r="O52" i="18" s="1"/>
  <c r="K51" i="2"/>
  <c r="F51" i="2"/>
  <c r="G51" i="2"/>
  <c r="H51" i="2"/>
  <c r="I51" i="2"/>
  <c r="L111" i="2"/>
  <c r="U114" i="18" s="1"/>
  <c r="M111" i="2"/>
  <c r="J111" i="2"/>
  <c r="O114" i="18" s="1"/>
  <c r="AY114" i="18" s="1"/>
  <c r="K111" i="2"/>
  <c r="F111" i="2"/>
  <c r="G111" i="2"/>
  <c r="H111" i="2"/>
  <c r="I111" i="2"/>
  <c r="L164" i="2"/>
  <c r="U165" i="18" s="1"/>
  <c r="M164" i="2"/>
  <c r="J164" i="2"/>
  <c r="O165" i="18" s="1"/>
  <c r="K164" i="2"/>
  <c r="F164" i="2"/>
  <c r="G164" i="2"/>
  <c r="H164" i="2"/>
  <c r="I164" i="2"/>
  <c r="L86" i="2"/>
  <c r="U89" i="18" s="1"/>
  <c r="M86" i="2"/>
  <c r="J86" i="2"/>
  <c r="O89" i="18" s="1"/>
  <c r="K86" i="2"/>
  <c r="F86" i="2"/>
  <c r="G86" i="2"/>
  <c r="H86" i="2"/>
  <c r="I86" i="2"/>
  <c r="L165" i="2"/>
  <c r="U166" i="18" s="1"/>
  <c r="M165" i="2"/>
  <c r="J165" i="2"/>
  <c r="O166" i="18" s="1"/>
  <c r="K165" i="2"/>
  <c r="F165" i="2"/>
  <c r="G165" i="2"/>
  <c r="H165" i="2"/>
  <c r="I165" i="2"/>
  <c r="L138" i="2"/>
  <c r="U141" i="18" s="1"/>
  <c r="M138" i="2"/>
  <c r="J138" i="2"/>
  <c r="O141" i="18" s="1"/>
  <c r="K138" i="2"/>
  <c r="F138" i="2"/>
  <c r="G138" i="2"/>
  <c r="H138" i="2"/>
  <c r="I138" i="2"/>
  <c r="L12" i="2"/>
  <c r="U14" i="18" s="1"/>
  <c r="M12" i="2"/>
  <c r="J12" i="2"/>
  <c r="K12" i="2"/>
  <c r="F12" i="2"/>
  <c r="G12" i="2"/>
  <c r="F14" i="18" s="1"/>
  <c r="H12" i="2"/>
  <c r="I12" i="2"/>
  <c r="L125" i="2"/>
  <c r="U128" i="18" s="1"/>
  <c r="M125" i="2"/>
  <c r="S128" i="18" s="1"/>
  <c r="J125" i="2"/>
  <c r="K125" i="2"/>
  <c r="L128" i="18" s="1"/>
  <c r="F125" i="2"/>
  <c r="G125" i="2"/>
  <c r="F128" i="18" s="1"/>
  <c r="H125" i="2"/>
  <c r="Y128" i="18" s="1"/>
  <c r="I125" i="2"/>
  <c r="AA128" i="18" s="1"/>
  <c r="L38" i="2"/>
  <c r="U42" i="18" s="1"/>
  <c r="M38" i="2"/>
  <c r="J38" i="2"/>
  <c r="O42" i="18" s="1"/>
  <c r="K38" i="2"/>
  <c r="F38" i="2"/>
  <c r="G38" i="2"/>
  <c r="H38" i="2"/>
  <c r="I38" i="2"/>
  <c r="L166" i="2"/>
  <c r="U167" i="18" s="1"/>
  <c r="M166" i="2"/>
  <c r="J166" i="2"/>
  <c r="O167" i="18" s="1"/>
  <c r="K166" i="2"/>
  <c r="F166" i="2"/>
  <c r="G166" i="2"/>
  <c r="H166" i="2"/>
  <c r="I166" i="2"/>
  <c r="L100" i="2"/>
  <c r="U103" i="18" s="1"/>
  <c r="M100" i="2"/>
  <c r="J100" i="2"/>
  <c r="O103" i="18" s="1"/>
  <c r="K100" i="2"/>
  <c r="F100" i="2"/>
  <c r="G100" i="2"/>
  <c r="H100" i="2"/>
  <c r="I100" i="2"/>
  <c r="L13" i="2"/>
  <c r="U15" i="18" s="1"/>
  <c r="M13" i="2"/>
  <c r="J13" i="2"/>
  <c r="K13" i="2"/>
  <c r="F13" i="2"/>
  <c r="G13" i="2"/>
  <c r="H13" i="2"/>
  <c r="I13" i="2"/>
  <c r="L151" i="2"/>
  <c r="U154" i="18" s="1"/>
  <c r="M151" i="2"/>
  <c r="J151" i="2"/>
  <c r="O154" i="18" s="1"/>
  <c r="K151" i="2"/>
  <c r="F151" i="2"/>
  <c r="G151" i="2"/>
  <c r="H151" i="2"/>
  <c r="I151" i="2"/>
  <c r="L39" i="2"/>
  <c r="U41" i="18" s="1"/>
  <c r="M39" i="2"/>
  <c r="J39" i="2"/>
  <c r="O41" i="18" s="1"/>
  <c r="K39" i="2"/>
  <c r="F39" i="2"/>
  <c r="G39" i="2"/>
  <c r="H39" i="2"/>
  <c r="I39" i="2"/>
  <c r="L126" i="2"/>
  <c r="U129" i="18" s="1"/>
  <c r="M126" i="2"/>
  <c r="J126" i="2"/>
  <c r="O129" i="18" s="1"/>
  <c r="K126" i="2"/>
  <c r="F126" i="2"/>
  <c r="G126" i="2"/>
  <c r="H126" i="2"/>
  <c r="I126" i="2"/>
  <c r="L87" i="2"/>
  <c r="U91" i="18" s="1"/>
  <c r="M87" i="2"/>
  <c r="J87" i="2"/>
  <c r="O91" i="18" s="1"/>
  <c r="AY91" i="18" s="1"/>
  <c r="K87" i="2"/>
  <c r="F87" i="2"/>
  <c r="G87" i="2"/>
  <c r="H87" i="2"/>
  <c r="I87" i="2"/>
  <c r="L52" i="2"/>
  <c r="U53" i="18" s="1"/>
  <c r="M52" i="2"/>
  <c r="J52" i="2"/>
  <c r="O53" i="18" s="1"/>
  <c r="K52" i="2"/>
  <c r="F52" i="2"/>
  <c r="G52" i="2"/>
  <c r="H52" i="2"/>
  <c r="I52" i="2"/>
  <c r="L31" i="2"/>
  <c r="U34" i="18" s="1"/>
  <c r="M31" i="2"/>
  <c r="J31" i="2"/>
  <c r="O34" i="18" s="1"/>
  <c r="K31" i="2"/>
  <c r="F31" i="2"/>
  <c r="G31" i="2"/>
  <c r="H31" i="2"/>
  <c r="I31" i="2"/>
  <c r="L20" i="2"/>
  <c r="U26" i="18" s="1"/>
  <c r="M20" i="2"/>
  <c r="J20" i="2"/>
  <c r="O26" i="18" s="1"/>
  <c r="K20" i="2"/>
  <c r="F20" i="2"/>
  <c r="G20" i="2"/>
  <c r="H20" i="2"/>
  <c r="I20" i="2"/>
  <c r="L167" i="2"/>
  <c r="U168" i="18" s="1"/>
  <c r="M167" i="2"/>
  <c r="J167" i="2"/>
  <c r="O168" i="18" s="1"/>
  <c r="AY168" i="18" s="1"/>
  <c r="K167" i="2"/>
  <c r="F167" i="2"/>
  <c r="G167" i="2"/>
  <c r="H167" i="2"/>
  <c r="I167" i="2"/>
  <c r="L127" i="2"/>
  <c r="U130" i="18" s="1"/>
  <c r="M127" i="2"/>
  <c r="J127" i="2"/>
  <c r="O130" i="18" s="1"/>
  <c r="K127" i="2"/>
  <c r="F127" i="2"/>
  <c r="G127" i="2"/>
  <c r="H127" i="2"/>
  <c r="I127" i="2"/>
  <c r="L53" i="2"/>
  <c r="U54" i="18" s="1"/>
  <c r="M53" i="2"/>
  <c r="J53" i="2"/>
  <c r="O54" i="18" s="1"/>
  <c r="K53" i="2"/>
  <c r="F53" i="2"/>
  <c r="G53" i="2"/>
  <c r="H53" i="2"/>
  <c r="I53" i="2"/>
  <c r="L88" i="2"/>
  <c r="U90" i="18" s="1"/>
  <c r="M88" i="2"/>
  <c r="J88" i="2"/>
  <c r="O90" i="18" s="1"/>
  <c r="K88" i="2"/>
  <c r="F88" i="2"/>
  <c r="G88" i="2"/>
  <c r="H88" i="2"/>
  <c r="I88" i="2"/>
  <c r="L102" i="2"/>
  <c r="U105" i="18" s="1"/>
  <c r="M102" i="2"/>
  <c r="J102" i="2"/>
  <c r="O105" i="18" s="1"/>
  <c r="K102" i="2"/>
  <c r="F102" i="2"/>
  <c r="G102" i="2"/>
  <c r="H102" i="2"/>
  <c r="I102" i="2"/>
  <c r="L168" i="2"/>
  <c r="U169" i="18" s="1"/>
  <c r="M168" i="2"/>
  <c r="J168" i="2"/>
  <c r="O169" i="18" s="1"/>
  <c r="K168" i="2"/>
  <c r="F168" i="2"/>
  <c r="G168" i="2"/>
  <c r="H168" i="2"/>
  <c r="I168" i="2"/>
  <c r="L89" i="2"/>
  <c r="U92" i="18" s="1"/>
  <c r="M89" i="2"/>
  <c r="J89" i="2"/>
  <c r="O92" i="18" s="1"/>
  <c r="K89" i="2"/>
  <c r="F89" i="2"/>
  <c r="G89" i="2"/>
  <c r="H89" i="2"/>
  <c r="I89" i="2"/>
  <c r="L113" i="2"/>
  <c r="U116" i="18" s="1"/>
  <c r="M113" i="2"/>
  <c r="J113" i="2"/>
  <c r="O116" i="18" s="1"/>
  <c r="K113" i="2"/>
  <c r="F113" i="2"/>
  <c r="G113" i="2"/>
  <c r="H113" i="2"/>
  <c r="I113" i="2"/>
  <c r="L72" i="2"/>
  <c r="U78" i="18" s="1"/>
  <c r="M72" i="2"/>
  <c r="J72" i="2"/>
  <c r="O78" i="18" s="1"/>
  <c r="K72" i="2"/>
  <c r="F72" i="2"/>
  <c r="G72" i="2"/>
  <c r="H72" i="2"/>
  <c r="I72" i="2"/>
  <c r="L74" i="2"/>
  <c r="U80" i="18" s="1"/>
  <c r="M74" i="2"/>
  <c r="J74" i="2"/>
  <c r="O80" i="18" s="1"/>
  <c r="K74" i="2"/>
  <c r="F74" i="2"/>
  <c r="G74" i="2"/>
  <c r="H74" i="2"/>
  <c r="I74" i="2"/>
  <c r="L139" i="2"/>
  <c r="U143" i="18" s="1"/>
  <c r="M139" i="2"/>
  <c r="J139" i="2"/>
  <c r="O143" i="18" s="1"/>
  <c r="K139" i="2"/>
  <c r="F139" i="2"/>
  <c r="G139" i="2"/>
  <c r="H139" i="2"/>
  <c r="I139" i="2"/>
  <c r="L55" i="2"/>
  <c r="U56" i="18" s="1"/>
  <c r="M55" i="2"/>
  <c r="J55" i="2"/>
  <c r="O56" i="18" s="1"/>
  <c r="K55" i="2"/>
  <c r="F55" i="2"/>
  <c r="G55" i="2"/>
  <c r="H55" i="2"/>
  <c r="I55" i="2"/>
  <c r="L75" i="2"/>
  <c r="U76" i="18" s="1"/>
  <c r="M75" i="2"/>
  <c r="J75" i="2"/>
  <c r="O76" i="18" s="1"/>
  <c r="K75" i="2"/>
  <c r="F75" i="2"/>
  <c r="G75" i="2"/>
  <c r="H75" i="2"/>
  <c r="I75" i="2"/>
  <c r="L21" i="2"/>
  <c r="U27" i="18" s="1"/>
  <c r="M21" i="2"/>
  <c r="J21" i="2"/>
  <c r="O27" i="18" s="1"/>
  <c r="K21" i="2"/>
  <c r="F21" i="2"/>
  <c r="G21" i="2"/>
  <c r="H21" i="2"/>
  <c r="I21" i="2"/>
  <c r="L56" i="2"/>
  <c r="U57" i="18" s="1"/>
  <c r="M56" i="2"/>
  <c r="J56" i="2"/>
  <c r="O57" i="18" s="1"/>
  <c r="K56" i="2"/>
  <c r="F56" i="2"/>
  <c r="G56" i="2"/>
  <c r="H56" i="2"/>
  <c r="I56" i="2"/>
  <c r="L140" i="2"/>
  <c r="U142" i="18" s="1"/>
  <c r="M140" i="2"/>
  <c r="J140" i="2"/>
  <c r="O142" i="18" s="1"/>
  <c r="K140" i="2"/>
  <c r="F140" i="2"/>
  <c r="G140" i="2"/>
  <c r="H140" i="2"/>
  <c r="I140" i="2"/>
  <c r="L76" i="2"/>
  <c r="U81" i="18" s="1"/>
  <c r="M76" i="2"/>
  <c r="J76" i="2"/>
  <c r="O81" i="18" s="1"/>
  <c r="K76" i="2"/>
  <c r="F76" i="2"/>
  <c r="G76" i="2"/>
  <c r="H76" i="2"/>
  <c r="I76" i="2"/>
  <c r="L114" i="2"/>
  <c r="U118" i="18" s="1"/>
  <c r="M114" i="2"/>
  <c r="J114" i="2"/>
  <c r="O118" i="18" s="1"/>
  <c r="K114" i="2"/>
  <c r="F114" i="2"/>
  <c r="G114" i="2"/>
  <c r="H114" i="2"/>
  <c r="I114" i="2"/>
  <c r="L32" i="2"/>
  <c r="U35" i="18" s="1"/>
  <c r="M32" i="2"/>
  <c r="J32" i="2"/>
  <c r="O35" i="18" s="1"/>
  <c r="K32" i="2"/>
  <c r="F32" i="2"/>
  <c r="G32" i="2"/>
  <c r="H32" i="2"/>
  <c r="I32" i="2"/>
  <c r="L77" i="2"/>
  <c r="U82" i="18" s="1"/>
  <c r="M77" i="2"/>
  <c r="J77" i="2"/>
  <c r="O82" i="18" s="1"/>
  <c r="K77" i="2"/>
  <c r="F77" i="2"/>
  <c r="G77" i="2"/>
  <c r="H77" i="2"/>
  <c r="I77" i="2"/>
  <c r="L78" i="2"/>
  <c r="U75" i="18" s="1"/>
  <c r="M78" i="2"/>
  <c r="J78" i="2"/>
  <c r="O75" i="18" s="1"/>
  <c r="K78" i="2"/>
  <c r="F78" i="2"/>
  <c r="G78" i="2"/>
  <c r="H78" i="2"/>
  <c r="I78" i="2"/>
  <c r="L103" i="2"/>
  <c r="U106" i="18" s="1"/>
  <c r="M103" i="2"/>
  <c r="J103" i="2"/>
  <c r="O106" i="18" s="1"/>
  <c r="K103" i="2"/>
  <c r="F103" i="2"/>
  <c r="G103" i="2"/>
  <c r="H103" i="2"/>
  <c r="I103" i="2"/>
  <c r="L63" i="2"/>
  <c r="U67" i="18" s="1"/>
  <c r="M63" i="2"/>
  <c r="J63" i="2"/>
  <c r="O67" i="18" s="1"/>
  <c r="K63" i="2"/>
  <c r="F63" i="2"/>
  <c r="G63" i="2"/>
  <c r="H63" i="2"/>
  <c r="I63" i="2"/>
  <c r="L79" i="2"/>
  <c r="U73" i="18" s="1"/>
  <c r="M79" i="2"/>
  <c r="J79" i="2"/>
  <c r="O73" i="18" s="1"/>
  <c r="K79" i="2"/>
  <c r="F79" i="2"/>
  <c r="G79" i="2"/>
  <c r="H79" i="2"/>
  <c r="I79" i="2"/>
  <c r="L104" i="2"/>
  <c r="U107" i="18" s="1"/>
  <c r="M104" i="2"/>
  <c r="J104" i="2"/>
  <c r="O107" i="18" s="1"/>
  <c r="K104" i="2"/>
  <c r="F104" i="2"/>
  <c r="G104" i="2"/>
  <c r="H104" i="2"/>
  <c r="I104" i="2"/>
  <c r="L57" i="2"/>
  <c r="U58" i="18" s="1"/>
  <c r="M57" i="2"/>
  <c r="J57" i="2"/>
  <c r="O58" i="18" s="1"/>
  <c r="K57" i="2"/>
  <c r="F57" i="2"/>
  <c r="G57" i="2"/>
  <c r="H57" i="2"/>
  <c r="I57" i="2"/>
  <c r="L22" i="2"/>
  <c r="U24" i="18" s="1"/>
  <c r="M22" i="2"/>
  <c r="J22" i="2"/>
  <c r="O24" i="18" s="1"/>
  <c r="K22" i="2"/>
  <c r="F22" i="2"/>
  <c r="G22" i="2"/>
  <c r="H22" i="2"/>
  <c r="I22" i="2"/>
  <c r="L91" i="2"/>
  <c r="U94" i="18" s="1"/>
  <c r="M91" i="2"/>
  <c r="J91" i="2"/>
  <c r="O94" i="18" s="1"/>
  <c r="K91" i="2"/>
  <c r="F91" i="2"/>
  <c r="G91" i="2"/>
  <c r="H91" i="2"/>
  <c r="I91" i="2"/>
  <c r="L156" i="2"/>
  <c r="U159" i="18" s="1"/>
  <c r="M156" i="2"/>
  <c r="J156" i="2"/>
  <c r="O159" i="18" s="1"/>
  <c r="K156" i="2"/>
  <c r="F156" i="2"/>
  <c r="G156" i="2"/>
  <c r="H156" i="2"/>
  <c r="I156" i="2"/>
  <c r="L23" i="2"/>
  <c r="U28" i="18" s="1"/>
  <c r="M23" i="2"/>
  <c r="J23" i="2"/>
  <c r="O28" i="18" s="1"/>
  <c r="K23" i="2"/>
  <c r="F23" i="2"/>
  <c r="G23" i="2"/>
  <c r="H23" i="2"/>
  <c r="I23" i="2"/>
  <c r="L92" i="2"/>
  <c r="U96" i="18" s="1"/>
  <c r="M92" i="2"/>
  <c r="J92" i="2"/>
  <c r="O96" i="18" s="1"/>
  <c r="K92" i="2"/>
  <c r="F92" i="2"/>
  <c r="G92" i="2"/>
  <c r="H92" i="2"/>
  <c r="I92" i="2"/>
  <c r="L141" i="2"/>
  <c r="U144" i="18" s="1"/>
  <c r="M141" i="2"/>
  <c r="J141" i="2"/>
  <c r="O144" i="18" s="1"/>
  <c r="K141" i="2"/>
  <c r="F141" i="2"/>
  <c r="G141" i="2"/>
  <c r="H141" i="2"/>
  <c r="I141" i="2"/>
  <c r="L80" i="2"/>
  <c r="U83" i="18" s="1"/>
  <c r="M80" i="2"/>
  <c r="J80" i="2"/>
  <c r="O83" i="18" s="1"/>
  <c r="K80" i="2"/>
  <c r="F80" i="2"/>
  <c r="G80" i="2"/>
  <c r="H80" i="2"/>
  <c r="I80" i="2"/>
  <c r="L33" i="2"/>
  <c r="U36" i="18" s="1"/>
  <c r="M33" i="2"/>
  <c r="J33" i="2"/>
  <c r="O36" i="18" s="1"/>
  <c r="K33" i="2"/>
  <c r="F33" i="2"/>
  <c r="G33" i="2"/>
  <c r="H33" i="2"/>
  <c r="I33" i="2"/>
  <c r="L93" i="2"/>
  <c r="U95" i="18" s="1"/>
  <c r="M93" i="2"/>
  <c r="J93" i="2"/>
  <c r="O95" i="18" s="1"/>
  <c r="K93" i="2"/>
  <c r="F93" i="2"/>
  <c r="G93" i="2"/>
  <c r="H93" i="2"/>
  <c r="I93" i="2"/>
  <c r="L129" i="2"/>
  <c r="U132" i="18" s="1"/>
  <c r="M129" i="2"/>
  <c r="J129" i="2"/>
  <c r="O132" i="18" s="1"/>
  <c r="K129" i="2"/>
  <c r="F129" i="2"/>
  <c r="G129" i="2"/>
  <c r="H129" i="2"/>
  <c r="I129" i="2"/>
  <c r="L59" i="2"/>
  <c r="U61" i="18" s="1"/>
  <c r="M59" i="2"/>
  <c r="J59" i="2"/>
  <c r="O61" i="18" s="1"/>
  <c r="K59" i="2"/>
  <c r="F59" i="2"/>
  <c r="G59" i="2"/>
  <c r="H59" i="2"/>
  <c r="I59" i="2"/>
  <c r="L81" i="2"/>
  <c r="U84" i="18" s="1"/>
  <c r="M81" i="2"/>
  <c r="J81" i="2"/>
  <c r="O84" i="18" s="1"/>
  <c r="K81" i="2"/>
  <c r="F81" i="2"/>
  <c r="G81" i="2"/>
  <c r="H81" i="2"/>
  <c r="I81" i="2"/>
  <c r="L40" i="2"/>
  <c r="U43" i="18" s="1"/>
  <c r="M40" i="2"/>
  <c r="J40" i="2"/>
  <c r="O43" i="18" s="1"/>
  <c r="AY43" i="18" s="1"/>
  <c r="K40" i="2"/>
  <c r="F40" i="2"/>
  <c r="G40" i="2"/>
  <c r="H40" i="2"/>
  <c r="I40" i="2"/>
  <c r="L41" i="2"/>
  <c r="U44" i="18" s="1"/>
  <c r="M41" i="2"/>
  <c r="J41" i="2"/>
  <c r="O44" i="18" s="1"/>
  <c r="K41" i="2"/>
  <c r="F41" i="2"/>
  <c r="G41" i="2"/>
  <c r="H41" i="2"/>
  <c r="I41" i="2"/>
  <c r="L106" i="2"/>
  <c r="U109" i="18" s="1"/>
  <c r="M106" i="2"/>
  <c r="J106" i="2"/>
  <c r="O109" i="18" s="1"/>
  <c r="K106" i="2"/>
  <c r="F106" i="2"/>
  <c r="G106" i="2"/>
  <c r="H106" i="2"/>
  <c r="I106" i="2"/>
  <c r="L157" i="2"/>
  <c r="U160" i="18" s="1"/>
  <c r="M157" i="2"/>
  <c r="J157" i="2"/>
  <c r="O160" i="18" s="1"/>
  <c r="K157" i="2"/>
  <c r="F157" i="2"/>
  <c r="G157" i="2"/>
  <c r="H157" i="2"/>
  <c r="I157" i="2"/>
  <c r="L25" i="2"/>
  <c r="U30" i="18" s="1"/>
  <c r="M25" i="2"/>
  <c r="J25" i="2"/>
  <c r="O30" i="18" s="1"/>
  <c r="K25" i="2"/>
  <c r="F25" i="2"/>
  <c r="G25" i="2"/>
  <c r="H25" i="2"/>
  <c r="I25" i="2"/>
  <c r="L170" i="2"/>
  <c r="U172" i="18" s="1"/>
  <c r="M170" i="2"/>
  <c r="J170" i="2"/>
  <c r="O172" i="18" s="1"/>
  <c r="AY172" i="18" s="1"/>
  <c r="K170" i="2"/>
  <c r="F170" i="2"/>
  <c r="G170" i="2"/>
  <c r="H170" i="2"/>
  <c r="I170" i="2"/>
  <c r="L107" i="2"/>
  <c r="U110" i="18" s="1"/>
  <c r="M107" i="2"/>
  <c r="J107" i="2"/>
  <c r="O110" i="18" s="1"/>
  <c r="K107" i="2"/>
  <c r="F107" i="2"/>
  <c r="G107" i="2"/>
  <c r="H107" i="2"/>
  <c r="I107" i="2"/>
  <c r="L130" i="2"/>
  <c r="U133" i="18" s="1"/>
  <c r="M130" i="2"/>
  <c r="J130" i="2"/>
  <c r="O133" i="18" s="1"/>
  <c r="K130" i="2"/>
  <c r="F130" i="2"/>
  <c r="G130" i="2"/>
  <c r="H130" i="2"/>
  <c r="I130" i="2"/>
  <c r="L108" i="2"/>
  <c r="U111" i="18" s="1"/>
  <c r="M108" i="2"/>
  <c r="J108" i="2"/>
  <c r="O111" i="18" s="1"/>
  <c r="K108" i="2"/>
  <c r="F108" i="2"/>
  <c r="G108" i="2"/>
  <c r="H108" i="2"/>
  <c r="I108" i="2"/>
  <c r="L94" i="2"/>
  <c r="U97" i="18" s="1"/>
  <c r="M94" i="2"/>
  <c r="J94" i="2"/>
  <c r="O97" i="18" s="1"/>
  <c r="K94" i="2"/>
  <c r="F94" i="2"/>
  <c r="G94" i="2"/>
  <c r="H94" i="2"/>
  <c r="I94" i="2"/>
  <c r="L66" i="2"/>
  <c r="U70" i="18" s="1"/>
  <c r="M66" i="2"/>
  <c r="J66" i="2"/>
  <c r="O70" i="18" s="1"/>
  <c r="K66" i="2"/>
  <c r="F66" i="2"/>
  <c r="G66" i="2"/>
  <c r="H66" i="2"/>
  <c r="I66" i="2"/>
  <c r="L67" i="2"/>
  <c r="U64" i="18" s="1"/>
  <c r="M67" i="2"/>
  <c r="J67" i="2"/>
  <c r="O64" i="18" s="1"/>
  <c r="K67" i="2"/>
  <c r="F67" i="2"/>
  <c r="G67" i="2"/>
  <c r="H67" i="2"/>
  <c r="I67" i="2"/>
  <c r="L42" i="2"/>
  <c r="U45" i="18" s="1"/>
  <c r="M42" i="2"/>
  <c r="J42" i="2"/>
  <c r="O45" i="18" s="1"/>
  <c r="K42" i="2"/>
  <c r="F42" i="2"/>
  <c r="G42" i="2"/>
  <c r="H42" i="2"/>
  <c r="I42" i="2"/>
  <c r="L60" i="2"/>
  <c r="U62" i="18" s="1"/>
  <c r="M60" i="2"/>
  <c r="J60" i="2"/>
  <c r="O62" i="18" s="1"/>
  <c r="K60" i="2"/>
  <c r="F60" i="2"/>
  <c r="G60" i="2"/>
  <c r="H60" i="2"/>
  <c r="I60" i="2"/>
  <c r="L131" i="2"/>
  <c r="U134" i="18" s="1"/>
  <c r="M131" i="2"/>
  <c r="J131" i="2"/>
  <c r="O134" i="18" s="1"/>
  <c r="K131" i="2"/>
  <c r="F131" i="2"/>
  <c r="G131" i="2"/>
  <c r="H131" i="2"/>
  <c r="I131" i="2"/>
  <c r="L26" i="2"/>
  <c r="U31" i="18" s="1"/>
  <c r="M26" i="2"/>
  <c r="J26" i="2"/>
  <c r="O31" i="18" s="1"/>
  <c r="K26" i="2"/>
  <c r="F26" i="2"/>
  <c r="G26" i="2"/>
  <c r="H26" i="2"/>
  <c r="I26" i="2"/>
  <c r="L142" i="2"/>
  <c r="U145" i="18" s="1"/>
  <c r="M142" i="2"/>
  <c r="J142" i="2"/>
  <c r="O145" i="18" s="1"/>
  <c r="K142" i="2"/>
  <c r="F142" i="2"/>
  <c r="G142" i="2"/>
  <c r="H142" i="2"/>
  <c r="I142" i="2"/>
  <c r="L143" i="2"/>
  <c r="U146" i="18" s="1"/>
  <c r="M143" i="2"/>
  <c r="J143" i="2"/>
  <c r="O146" i="18" s="1"/>
  <c r="K143" i="2"/>
  <c r="F143" i="2"/>
  <c r="G143" i="2"/>
  <c r="H143" i="2"/>
  <c r="I143" i="2"/>
  <c r="AB20" i="18" l="1"/>
  <c r="AI20" i="18" s="1"/>
  <c r="Z20" i="18"/>
  <c r="O20" i="18"/>
  <c r="Q20" i="18" s="1"/>
  <c r="R20" i="18"/>
  <c r="T20" i="18" s="1"/>
  <c r="I20" i="18"/>
  <c r="W20" i="18"/>
  <c r="R128" i="18"/>
  <c r="T128" i="18" s="1"/>
  <c r="O128" i="18"/>
  <c r="Z128" i="18"/>
  <c r="W128" i="18"/>
  <c r="I128" i="18"/>
  <c r="AB128" i="18"/>
  <c r="Z55" i="18"/>
  <c r="AB55" i="18"/>
  <c r="L55" i="18"/>
  <c r="I55" i="18"/>
  <c r="W55" i="18"/>
  <c r="R55" i="18"/>
  <c r="T55" i="18" s="1"/>
  <c r="I34" i="2"/>
  <c r="H34" i="2"/>
  <c r="G34" i="2"/>
  <c r="J34" i="2"/>
  <c r="O37" i="18" s="1"/>
  <c r="F34" i="2"/>
  <c r="K34" i="2"/>
  <c r="M34" i="2"/>
  <c r="L34" i="2"/>
  <c r="U37" i="18" s="1"/>
  <c r="V20" i="18" l="1"/>
  <c r="AZ20" i="18"/>
  <c r="AI128" i="18"/>
  <c r="AN128" i="18"/>
  <c r="V128" i="18"/>
  <c r="AN55" i="18"/>
  <c r="AI55" i="18"/>
  <c r="V55" i="18"/>
  <c r="AB14" i="25"/>
  <c r="B51" i="18" l="1"/>
  <c r="C51" i="18"/>
  <c r="D51" i="18"/>
  <c r="E51" i="18"/>
  <c r="B52" i="18"/>
  <c r="C52" i="18"/>
  <c r="D52" i="18"/>
  <c r="E52" i="18"/>
  <c r="B53" i="18"/>
  <c r="C53" i="18"/>
  <c r="D53" i="18"/>
  <c r="E53" i="18"/>
  <c r="B54" i="18"/>
  <c r="C54" i="18"/>
  <c r="D54" i="18"/>
  <c r="E54" i="18"/>
  <c r="B57" i="18"/>
  <c r="C57" i="18"/>
  <c r="D57" i="18"/>
  <c r="E57" i="18"/>
  <c r="B58" i="18"/>
  <c r="C58" i="18"/>
  <c r="D58" i="18"/>
  <c r="E58" i="18"/>
  <c r="B61" i="18"/>
  <c r="C61" i="18"/>
  <c r="D61" i="18"/>
  <c r="E61" i="18"/>
  <c r="B62" i="18"/>
  <c r="C62" i="18"/>
  <c r="D62" i="18"/>
  <c r="E62" i="18"/>
  <c r="M58" i="18" l="1"/>
  <c r="J58" i="18"/>
  <c r="P58" i="18"/>
  <c r="M54" i="18"/>
  <c r="P54" i="18"/>
  <c r="M52" i="18"/>
  <c r="P52" i="18"/>
  <c r="M62" i="18"/>
  <c r="P62" i="18"/>
  <c r="M61" i="18"/>
  <c r="P61" i="18"/>
  <c r="P57" i="18"/>
  <c r="M53" i="18"/>
  <c r="P53" i="18"/>
  <c r="M51" i="18"/>
  <c r="P51" i="18"/>
  <c r="J51" i="18"/>
  <c r="G58" i="18"/>
  <c r="G51" i="18"/>
  <c r="BC98" i="18" l="1"/>
  <c r="BC119" i="18"/>
  <c r="BC85" i="18"/>
  <c r="BC135" i="18"/>
  <c r="BC21" i="18"/>
  <c r="BC147" i="18"/>
  <c r="BC13" i="18"/>
  <c r="BC46" i="18"/>
  <c r="BC7" i="18"/>
  <c r="BC155" i="18"/>
  <c r="BC136" i="18"/>
  <c r="BC120" i="18"/>
  <c r="BC137" i="18"/>
  <c r="BC99" i="18"/>
  <c r="BC100" i="18"/>
  <c r="BC121" i="18"/>
  <c r="BC148" i="18"/>
  <c r="BC156" i="18"/>
  <c r="BC8" i="18"/>
  <c r="BC9" i="18"/>
  <c r="BC32" i="18"/>
  <c r="BC10" i="18"/>
  <c r="BC86" i="18"/>
  <c r="BC77" i="18"/>
  <c r="BC11" i="18"/>
  <c r="BC87" i="18"/>
  <c r="BC71" i="18"/>
  <c r="BC161" i="18"/>
  <c r="BC162" i="18"/>
  <c r="BC48" i="18"/>
  <c r="BC122" i="18"/>
  <c r="BC101" i="18"/>
  <c r="BC123" i="18"/>
  <c r="BC149" i="18"/>
  <c r="BC102" i="18"/>
  <c r="BC72" i="18"/>
  <c r="BC124" i="18"/>
  <c r="BC38" i="18"/>
  <c r="BC157" i="18"/>
  <c r="BC33" i="18"/>
  <c r="BC150" i="18"/>
  <c r="BC23" i="18"/>
  <c r="BC112" i="18"/>
  <c r="BC158" i="18"/>
  <c r="BC125" i="18"/>
  <c r="BC139" i="18"/>
  <c r="BC49" i="18"/>
  <c r="BC39" i="18"/>
  <c r="BC74" i="18"/>
  <c r="BC50" i="18"/>
  <c r="BC151" i="18"/>
  <c r="BC65" i="18"/>
  <c r="BC66" i="18"/>
  <c r="BC126" i="18"/>
  <c r="BC171" i="18"/>
  <c r="BC152" i="18"/>
  <c r="BC163" i="18"/>
  <c r="BC127" i="18"/>
  <c r="BC153" i="18"/>
  <c r="BC113" i="18"/>
  <c r="BC164" i="18"/>
  <c r="BC88" i="18"/>
  <c r="BC51" i="18"/>
  <c r="BC25" i="18"/>
  <c r="BC52" i="18"/>
  <c r="BC114" i="18"/>
  <c r="BC165" i="18"/>
  <c r="BC89" i="18"/>
  <c r="BC166" i="18"/>
  <c r="BC141" i="18"/>
  <c r="BC14" i="18"/>
  <c r="BC42" i="18"/>
  <c r="BC167" i="18"/>
  <c r="BC103" i="18"/>
  <c r="BC15" i="18"/>
  <c r="BC154" i="18"/>
  <c r="BC41" i="18"/>
  <c r="BC129" i="18"/>
  <c r="BC91" i="18"/>
  <c r="BC53" i="18"/>
  <c r="BC34" i="18"/>
  <c r="BC26" i="18"/>
  <c r="BC168" i="18"/>
  <c r="BC130" i="18"/>
  <c r="BC54" i="18"/>
  <c r="BC90" i="18"/>
  <c r="BC105" i="18"/>
  <c r="BC169" i="18"/>
  <c r="BC92" i="18"/>
  <c r="BC116" i="18"/>
  <c r="BC78" i="18"/>
  <c r="BC80" i="18"/>
  <c r="BC143" i="18"/>
  <c r="BC56" i="18"/>
  <c r="BC76" i="18"/>
  <c r="BC27" i="18"/>
  <c r="BC57" i="18"/>
  <c r="BC142" i="18"/>
  <c r="BC81" i="18"/>
  <c r="BC118" i="18"/>
  <c r="BC35" i="18"/>
  <c r="BC82" i="18"/>
  <c r="BC75" i="18"/>
  <c r="BC106" i="18"/>
  <c r="BC67" i="18"/>
  <c r="BC73" i="18"/>
  <c r="BC107" i="18"/>
  <c r="BC58" i="18"/>
  <c r="BC24" i="18"/>
  <c r="BC94" i="18"/>
  <c r="BC159" i="18"/>
  <c r="BC28" i="18"/>
  <c r="BC96" i="18"/>
  <c r="BC144" i="18"/>
  <c r="BC83" i="18"/>
  <c r="BC36" i="18"/>
  <c r="BC95" i="18"/>
  <c r="BC132" i="18"/>
  <c r="BC61" i="18"/>
  <c r="BC17" i="18"/>
  <c r="BC84" i="18"/>
  <c r="BC43" i="18"/>
  <c r="BC44" i="18"/>
  <c r="BC109" i="18"/>
  <c r="BC160" i="18"/>
  <c r="BC30" i="18"/>
  <c r="BC172" i="18"/>
  <c r="BC110" i="18"/>
  <c r="BC133" i="18"/>
  <c r="BC111" i="18"/>
  <c r="BC97" i="18"/>
  <c r="BC70" i="18"/>
  <c r="BC64" i="18"/>
  <c r="BC45" i="18"/>
  <c r="BC62" i="18"/>
  <c r="BC134" i="18"/>
  <c r="BC31" i="18"/>
  <c r="BC145" i="18"/>
  <c r="BC146" i="18"/>
  <c r="BC37" i="18"/>
  <c r="BA98" i="18" l="1"/>
  <c r="BA5" i="18" l="1"/>
  <c r="AS110" i="18" l="1"/>
  <c r="AR110" i="18"/>
  <c r="AT110" i="18" l="1"/>
  <c r="AS36" i="18"/>
  <c r="AR36" i="18"/>
  <c r="AT36" i="18" l="1"/>
  <c r="AS14" i="18"/>
  <c r="AS10" i="18"/>
  <c r="AS8" i="18"/>
  <c r="AS7" i="18"/>
  <c r="AR8" i="18"/>
  <c r="AT8" i="18" l="1"/>
  <c r="B111" i="18" l="1"/>
  <c r="C111" i="18"/>
  <c r="B91" i="18"/>
  <c r="C91" i="18"/>
  <c r="D91" i="18"/>
  <c r="E91" i="18"/>
  <c r="D34" i="18"/>
  <c r="B168" i="18"/>
  <c r="C168" i="18"/>
  <c r="D168" i="18"/>
  <c r="E168" i="18"/>
  <c r="M168" i="18" l="1"/>
  <c r="P168" i="18"/>
  <c r="P91" i="18"/>
  <c r="P111" i="18"/>
  <c r="C86" i="18"/>
  <c r="B8" i="18" l="1"/>
  <c r="C8" i="18"/>
  <c r="D8" i="18"/>
  <c r="E8" i="18"/>
  <c r="S8" i="18"/>
  <c r="O8" i="18"/>
  <c r="L8" i="18"/>
  <c r="F8" i="18"/>
  <c r="Y8" i="18"/>
  <c r="AA8" i="18"/>
  <c r="M8" i="18" l="1"/>
  <c r="P8" i="18"/>
  <c r="AB8" i="18"/>
  <c r="Z8" i="18"/>
  <c r="W8" i="18"/>
  <c r="I8" i="18"/>
  <c r="AZ8" i="18" s="1"/>
  <c r="R8" i="18"/>
  <c r="V8" i="18" s="1"/>
  <c r="AR57" i="18"/>
  <c r="AS57" i="18"/>
  <c r="S57" i="18"/>
  <c r="L57" i="18"/>
  <c r="F57" i="18"/>
  <c r="Y57" i="18"/>
  <c r="AA57" i="18"/>
  <c r="AB57" i="18" l="1"/>
  <c r="Z57" i="18"/>
  <c r="T8" i="18"/>
  <c r="AI8" i="18"/>
  <c r="W57" i="18"/>
  <c r="I57" i="18"/>
  <c r="R57" i="18"/>
  <c r="V57" i="18" s="1"/>
  <c r="AT57" i="18"/>
  <c r="AO12" i="19"/>
  <c r="AZ57" i="18" l="1"/>
  <c r="AI57" i="18"/>
  <c r="T57" i="18"/>
  <c r="B70" i="18"/>
  <c r="C70" i="18"/>
  <c r="D70" i="18"/>
  <c r="E70" i="18"/>
  <c r="S70" i="18"/>
  <c r="L70" i="18"/>
  <c r="I70" i="18"/>
  <c r="F70" i="18"/>
  <c r="Y70" i="18"/>
  <c r="AA70" i="18"/>
  <c r="S51" i="18"/>
  <c r="L51" i="18"/>
  <c r="F51" i="18"/>
  <c r="Y51" i="18"/>
  <c r="AA51" i="18"/>
  <c r="M70" i="18" l="1"/>
  <c r="J70" i="18"/>
  <c r="P70" i="18"/>
  <c r="G70" i="18"/>
  <c r="Z51" i="18"/>
  <c r="AB70" i="18"/>
  <c r="AN70" i="18" s="1"/>
  <c r="AB51" i="18"/>
  <c r="AN51" i="18" s="1"/>
  <c r="Z70" i="18"/>
  <c r="R70" i="18"/>
  <c r="T70" i="18" s="1"/>
  <c r="W70" i="18"/>
  <c r="W51" i="18"/>
  <c r="I51" i="18"/>
  <c r="R51" i="18"/>
  <c r="T51" i="18" s="1"/>
  <c r="S139" i="18"/>
  <c r="L139" i="18"/>
  <c r="F139" i="18"/>
  <c r="Y139" i="18"/>
  <c r="AA139" i="18"/>
  <c r="AB139" i="18" l="1"/>
  <c r="Z139" i="18"/>
  <c r="AI51" i="18"/>
  <c r="AI70" i="18"/>
  <c r="V70" i="18"/>
  <c r="V51" i="18"/>
  <c r="I139" i="18"/>
  <c r="W139" i="18"/>
  <c r="R139" i="18"/>
  <c r="T139" i="18" s="1"/>
  <c r="J194" i="18"/>
  <c r="AZ139" i="18" l="1"/>
  <c r="AI139" i="18"/>
  <c r="Q139" i="18"/>
  <c r="V139" i="18"/>
  <c r="E110" i="18" l="1"/>
  <c r="D110" i="18"/>
  <c r="C110" i="18"/>
  <c r="E36" i="18"/>
  <c r="D36" i="18"/>
  <c r="C36" i="18"/>
  <c r="E78" i="18"/>
  <c r="D78" i="18"/>
  <c r="C78" i="18"/>
  <c r="E105" i="18"/>
  <c r="D105" i="18"/>
  <c r="C105" i="18"/>
  <c r="E154" i="18"/>
  <c r="D154" i="18"/>
  <c r="C154" i="18"/>
  <c r="E15" i="18"/>
  <c r="D15" i="18"/>
  <c r="C15" i="18"/>
  <c r="E103" i="18"/>
  <c r="D103" i="18"/>
  <c r="C103" i="18"/>
  <c r="E89" i="18"/>
  <c r="D89" i="18"/>
  <c r="C89" i="18"/>
  <c r="E88" i="18"/>
  <c r="D88" i="18"/>
  <c r="C88" i="18"/>
  <c r="E153" i="18"/>
  <c r="D153" i="18"/>
  <c r="C153" i="18"/>
  <c r="E152" i="18"/>
  <c r="D152" i="18"/>
  <c r="C152" i="18"/>
  <c r="E151" i="18"/>
  <c r="D151" i="18"/>
  <c r="C151" i="18"/>
  <c r="E125" i="18"/>
  <c r="D125" i="18"/>
  <c r="C125" i="18"/>
  <c r="E158" i="18"/>
  <c r="D158" i="18"/>
  <c r="C158" i="18"/>
  <c r="E150" i="18"/>
  <c r="D150" i="18"/>
  <c r="C150" i="18"/>
  <c r="E33" i="18"/>
  <c r="D33" i="18"/>
  <c r="E157" i="18"/>
  <c r="D157" i="18"/>
  <c r="C157" i="18"/>
  <c r="E149" i="18"/>
  <c r="D149" i="18"/>
  <c r="C149" i="18"/>
  <c r="E162" i="18"/>
  <c r="D162" i="18"/>
  <c r="C162" i="18"/>
  <c r="E161" i="18"/>
  <c r="D161" i="18"/>
  <c r="C161" i="18"/>
  <c r="E71" i="18"/>
  <c r="D71" i="18"/>
  <c r="C71" i="18"/>
  <c r="E148" i="18"/>
  <c r="D148" i="18"/>
  <c r="C148" i="18"/>
  <c r="E120" i="18"/>
  <c r="D120" i="18"/>
  <c r="C120" i="18"/>
  <c r="E136" i="18"/>
  <c r="D136" i="18"/>
  <c r="C136" i="18"/>
  <c r="E147" i="18"/>
  <c r="D147" i="18"/>
  <c r="C147" i="18"/>
  <c r="E135" i="18"/>
  <c r="D135" i="18"/>
  <c r="C135" i="18"/>
  <c r="B110" i="18"/>
  <c r="B36" i="18"/>
  <c r="B78" i="18"/>
  <c r="B105" i="18"/>
  <c r="B154" i="18"/>
  <c r="B15" i="18"/>
  <c r="B103" i="18"/>
  <c r="B89" i="18"/>
  <c r="B88" i="18"/>
  <c r="B153" i="18"/>
  <c r="B152" i="18"/>
  <c r="B151" i="18"/>
  <c r="B125" i="18"/>
  <c r="B158" i="18"/>
  <c r="B150" i="18"/>
  <c r="B33" i="18"/>
  <c r="B157" i="18"/>
  <c r="B149" i="18"/>
  <c r="B162" i="18"/>
  <c r="B161" i="18"/>
  <c r="B71" i="18"/>
  <c r="B148" i="18"/>
  <c r="B120" i="18"/>
  <c r="B136" i="18"/>
  <c r="B147" i="18"/>
  <c r="B135" i="18"/>
  <c r="D119" i="18"/>
  <c r="C119" i="18"/>
  <c r="B119" i="18"/>
  <c r="E119" i="18"/>
  <c r="E98" i="18"/>
  <c r="E21" i="18"/>
  <c r="E46" i="18"/>
  <c r="E155" i="18"/>
  <c r="E137" i="18"/>
  <c r="E99" i="18"/>
  <c r="E100" i="18"/>
  <c r="E121" i="18"/>
  <c r="E156" i="18"/>
  <c r="E9" i="18"/>
  <c r="E10" i="18"/>
  <c r="E86" i="18"/>
  <c r="E11" i="18"/>
  <c r="E87" i="18"/>
  <c r="E48" i="18"/>
  <c r="E122" i="18"/>
  <c r="E123" i="18"/>
  <c r="E102" i="18"/>
  <c r="E124" i="18"/>
  <c r="E23" i="18"/>
  <c r="E39" i="18"/>
  <c r="E74" i="18"/>
  <c r="E163" i="18"/>
  <c r="E164" i="18"/>
  <c r="E114" i="18"/>
  <c r="E165" i="18"/>
  <c r="E166" i="18"/>
  <c r="E141" i="18"/>
  <c r="E14" i="18"/>
  <c r="E41" i="18"/>
  <c r="E130" i="18"/>
  <c r="E169" i="18"/>
  <c r="E116" i="18"/>
  <c r="E80" i="18"/>
  <c r="E27" i="18"/>
  <c r="E81" i="18"/>
  <c r="E118" i="18"/>
  <c r="E82" i="18"/>
  <c r="E106" i="18"/>
  <c r="E67" i="18"/>
  <c r="E107" i="18"/>
  <c r="E94" i="18"/>
  <c r="E159" i="18"/>
  <c r="E28" i="18"/>
  <c r="E83" i="18"/>
  <c r="E132" i="18"/>
  <c r="E17" i="18"/>
  <c r="E84" i="18"/>
  <c r="E43" i="18"/>
  <c r="E160" i="18"/>
  <c r="E172" i="18"/>
  <c r="E133" i="18"/>
  <c r="E111" i="18"/>
  <c r="E97" i="18"/>
  <c r="E146" i="18"/>
  <c r="M162" i="18" l="1"/>
  <c r="J162" i="18"/>
  <c r="P162" i="18"/>
  <c r="M152" i="18"/>
  <c r="P152" i="18"/>
  <c r="J152" i="18"/>
  <c r="M78" i="18"/>
  <c r="J78" i="18"/>
  <c r="P78" i="18"/>
  <c r="M135" i="18"/>
  <c r="P135" i="18"/>
  <c r="J135" i="18"/>
  <c r="M147" i="18"/>
  <c r="J147" i="18"/>
  <c r="P147" i="18"/>
  <c r="P157" i="18"/>
  <c r="M88" i="18"/>
  <c r="J88" i="18"/>
  <c r="P88" i="18"/>
  <c r="P110" i="18"/>
  <c r="M149" i="18"/>
  <c r="P149" i="18"/>
  <c r="J149" i="18"/>
  <c r="M136" i="18"/>
  <c r="P136" i="18"/>
  <c r="J136" i="18"/>
  <c r="M33" i="18"/>
  <c r="J33" i="18"/>
  <c r="P33" i="18"/>
  <c r="M89" i="18"/>
  <c r="J89" i="18"/>
  <c r="P89" i="18"/>
  <c r="M153" i="18"/>
  <c r="P153" i="18"/>
  <c r="J153" i="18"/>
  <c r="M120" i="18"/>
  <c r="J120" i="18"/>
  <c r="P120" i="18"/>
  <c r="M150" i="18"/>
  <c r="J150" i="18"/>
  <c r="P150" i="18"/>
  <c r="M103" i="18"/>
  <c r="P103" i="18"/>
  <c r="J103" i="18"/>
  <c r="M148" i="18"/>
  <c r="J148" i="18"/>
  <c r="P148" i="18"/>
  <c r="M158" i="18"/>
  <c r="J158" i="18"/>
  <c r="P158" i="18"/>
  <c r="M15" i="18"/>
  <c r="P15" i="18"/>
  <c r="J15" i="18"/>
  <c r="M119" i="18"/>
  <c r="P119" i="18"/>
  <c r="J119" i="18"/>
  <c r="M71" i="18"/>
  <c r="P71" i="18"/>
  <c r="J71" i="18"/>
  <c r="M125" i="18"/>
  <c r="P125" i="18"/>
  <c r="J125" i="18"/>
  <c r="M154" i="18"/>
  <c r="J154" i="18"/>
  <c r="P154" i="18"/>
  <c r="M36" i="18"/>
  <c r="P36" i="18"/>
  <c r="J36" i="18"/>
  <c r="M161" i="18"/>
  <c r="P161" i="18"/>
  <c r="M151" i="18"/>
  <c r="J151" i="18"/>
  <c r="P151" i="18"/>
  <c r="M105" i="18"/>
  <c r="J105" i="18"/>
  <c r="P105" i="18"/>
  <c r="G119" i="18"/>
  <c r="G71" i="18"/>
  <c r="G150" i="18"/>
  <c r="G33" i="18"/>
  <c r="G161" i="18"/>
  <c r="G158" i="18"/>
  <c r="G103" i="18"/>
  <c r="G148" i="18"/>
  <c r="G162" i="18"/>
  <c r="G125" i="18"/>
  <c r="G15" i="18"/>
  <c r="G135" i="18"/>
  <c r="G151" i="18"/>
  <c r="G154" i="18"/>
  <c r="G89" i="18"/>
  <c r="G147" i="18"/>
  <c r="G152" i="18"/>
  <c r="G136" i="18"/>
  <c r="G149" i="18"/>
  <c r="G153" i="18"/>
  <c r="G105" i="18"/>
  <c r="G120" i="18"/>
  <c r="G88" i="18"/>
  <c r="G78" i="18"/>
  <c r="S109" i="18"/>
  <c r="L109" i="18"/>
  <c r="I109" i="18"/>
  <c r="F109" i="18"/>
  <c r="Y109" i="18"/>
  <c r="AA109" i="18"/>
  <c r="I36" i="18"/>
  <c r="S101" i="18"/>
  <c r="L101" i="18"/>
  <c r="I101" i="18"/>
  <c r="F101" i="18"/>
  <c r="Y101" i="18"/>
  <c r="AA101" i="18"/>
  <c r="AB101" i="18" l="1"/>
  <c r="Z101" i="18"/>
  <c r="AB109" i="18"/>
  <c r="Z109" i="18"/>
  <c r="W109" i="18"/>
  <c r="R101" i="18"/>
  <c r="V101" i="18" s="1"/>
  <c r="R109" i="18"/>
  <c r="T109" i="18" s="1"/>
  <c r="W101" i="18"/>
  <c r="F36" i="18"/>
  <c r="Y36" i="18"/>
  <c r="AA36" i="18"/>
  <c r="L36" i="18"/>
  <c r="S36" i="18"/>
  <c r="AB36" i="18" l="1"/>
  <c r="AN36" i="18" s="1"/>
  <c r="Z36" i="18"/>
  <c r="AZ109" i="18"/>
  <c r="Q101" i="18"/>
  <c r="AZ101" i="18"/>
  <c r="Q109" i="18"/>
  <c r="AI109" i="18"/>
  <c r="AI101" i="18"/>
  <c r="V109" i="18"/>
  <c r="T101" i="18"/>
  <c r="R36" i="18"/>
  <c r="V36" i="18" s="1"/>
  <c r="W36" i="18"/>
  <c r="AI36" i="18" l="1"/>
  <c r="T36" i="18"/>
  <c r="AL19" i="13"/>
  <c r="AM19" i="13"/>
  <c r="C17" i="18"/>
  <c r="I146" i="18" l="1"/>
  <c r="I145" i="18"/>
  <c r="I31" i="18"/>
  <c r="I134" i="18"/>
  <c r="I62" i="18"/>
  <c r="I45" i="18"/>
  <c r="I64" i="18"/>
  <c r="I97" i="18"/>
  <c r="I111" i="18"/>
  <c r="I133" i="18"/>
  <c r="I110" i="18"/>
  <c r="I172" i="18"/>
  <c r="I30" i="18"/>
  <c r="I160" i="18"/>
  <c r="I44" i="18"/>
  <c r="I43" i="18"/>
  <c r="I84" i="18"/>
  <c r="I17" i="18"/>
  <c r="I61" i="18"/>
  <c r="I132" i="18"/>
  <c r="I95" i="18"/>
  <c r="I83" i="18"/>
  <c r="I144" i="18"/>
  <c r="I96" i="18"/>
  <c r="I28" i="18"/>
  <c r="I159" i="18"/>
  <c r="I94" i="18"/>
  <c r="I24" i="18"/>
  <c r="I58" i="18"/>
  <c r="I107" i="18"/>
  <c r="I67" i="18"/>
  <c r="I106" i="18"/>
  <c r="I75" i="18"/>
  <c r="I82" i="18"/>
  <c r="I35" i="18"/>
  <c r="I118" i="18"/>
  <c r="I81" i="18"/>
  <c r="I142" i="18"/>
  <c r="I27" i="18"/>
  <c r="I76" i="18"/>
  <c r="I56" i="18"/>
  <c r="I143" i="18"/>
  <c r="I80" i="18"/>
  <c r="I78" i="18"/>
  <c r="I116" i="18"/>
  <c r="I92" i="18"/>
  <c r="I169" i="18"/>
  <c r="I105" i="18"/>
  <c r="I90" i="18"/>
  <c r="I54" i="18"/>
  <c r="I130" i="18"/>
  <c r="I168" i="18"/>
  <c r="I26" i="18"/>
  <c r="I34" i="18"/>
  <c r="I53" i="18"/>
  <c r="I91" i="18"/>
  <c r="I129" i="18"/>
  <c r="I41" i="18"/>
  <c r="I154" i="18"/>
  <c r="I15" i="18"/>
  <c r="I103" i="18"/>
  <c r="I167" i="18"/>
  <c r="I42" i="18"/>
  <c r="I14" i="18"/>
  <c r="I141" i="18"/>
  <c r="I166" i="18"/>
  <c r="I89" i="18"/>
  <c r="I165" i="18"/>
  <c r="I114" i="18"/>
  <c r="I52" i="18"/>
  <c r="I25" i="18"/>
  <c r="I88" i="18"/>
  <c r="I164" i="18"/>
  <c r="I113" i="18"/>
  <c r="I153" i="18"/>
  <c r="I127" i="18"/>
  <c r="I163" i="18"/>
  <c r="I152" i="18"/>
  <c r="I171" i="18"/>
  <c r="I126" i="18"/>
  <c r="I66" i="18"/>
  <c r="I65" i="18"/>
  <c r="I151" i="18"/>
  <c r="I50" i="18"/>
  <c r="I74" i="18"/>
  <c r="I39" i="18"/>
  <c r="I49" i="18"/>
  <c r="I125" i="18"/>
  <c r="I158" i="18"/>
  <c r="I112" i="18"/>
  <c r="I23" i="18"/>
  <c r="I150" i="18"/>
  <c r="I33" i="18"/>
  <c r="I157" i="18"/>
  <c r="I38" i="18"/>
  <c r="I124" i="18"/>
  <c r="I72" i="18"/>
  <c r="I102" i="18"/>
  <c r="I149" i="18"/>
  <c r="I123" i="18"/>
  <c r="I122" i="18"/>
  <c r="I48" i="18"/>
  <c r="I162" i="18"/>
  <c r="I161" i="18"/>
  <c r="I71" i="18"/>
  <c r="I87" i="18"/>
  <c r="I11" i="18"/>
  <c r="I77" i="18"/>
  <c r="I86" i="18"/>
  <c r="I10" i="18"/>
  <c r="I32" i="18"/>
  <c r="I9" i="18"/>
  <c r="I156" i="18"/>
  <c r="I148" i="18"/>
  <c r="I121" i="18"/>
  <c r="I100" i="18"/>
  <c r="I99" i="18"/>
  <c r="I137" i="18"/>
  <c r="I120" i="18"/>
  <c r="I136" i="18"/>
  <c r="I155" i="18"/>
  <c r="I7" i="18"/>
  <c r="I46" i="18"/>
  <c r="F5" i="2"/>
  <c r="I13" i="18" s="1"/>
  <c r="I147" i="18"/>
  <c r="I21" i="18"/>
  <c r="I135" i="18"/>
  <c r="I85" i="18"/>
  <c r="I119" i="18"/>
  <c r="I98" i="18"/>
  <c r="I37" i="18"/>
  <c r="W73" i="18" l="1"/>
  <c r="I73" i="18"/>
  <c r="I10" i="16" s="1"/>
  <c r="W44" i="18"/>
  <c r="C11" i="16"/>
  <c r="AN4" i="13"/>
  <c r="AM24" i="13"/>
  <c r="AM21" i="13"/>
  <c r="AM13" i="13"/>
  <c r="AM26" i="13"/>
  <c r="AM27" i="13"/>
  <c r="AM8" i="13"/>
  <c r="AM25" i="13"/>
  <c r="AM22" i="13"/>
  <c r="AM11" i="13"/>
  <c r="AM16" i="13"/>
  <c r="AM10" i="13"/>
  <c r="AM9" i="13"/>
  <c r="AM17" i="13"/>
  <c r="AM14" i="13"/>
  <c r="AM18" i="13"/>
  <c r="AM12" i="13"/>
  <c r="AM20" i="13"/>
  <c r="AQ5" i="18"/>
  <c r="AP5" i="18"/>
  <c r="AO5" i="18"/>
  <c r="AN28" i="13" l="1"/>
  <c r="AN23" i="13"/>
  <c r="AN7" i="13"/>
  <c r="AN6" i="13"/>
  <c r="AN19" i="13"/>
  <c r="AN15" i="13"/>
  <c r="AM29" i="13"/>
  <c r="S17" i="18" l="1"/>
  <c r="F17" i="18"/>
  <c r="F158" i="18"/>
  <c r="L17" i="18" l="1"/>
  <c r="Y158" i="18"/>
  <c r="Z158" i="18" s="1"/>
  <c r="AA158" i="18"/>
  <c r="AB158" i="18" s="1"/>
  <c r="L158" i="18"/>
  <c r="AA17" i="18"/>
  <c r="AB17" i="18" s="1"/>
  <c r="Y17" i="18"/>
  <c r="Z17" i="18" s="1"/>
  <c r="S158" i="18"/>
  <c r="O17" i="18"/>
  <c r="R17" i="18"/>
  <c r="R158" i="18"/>
  <c r="W17" i="18"/>
  <c r="W158" i="18"/>
  <c r="AN17" i="18" l="1"/>
  <c r="AN158" i="18"/>
  <c r="AI17" i="18"/>
  <c r="AI158" i="18"/>
  <c r="V158" i="18"/>
  <c r="V17" i="18"/>
  <c r="T158" i="18"/>
  <c r="T17" i="18"/>
  <c r="AR72" i="18" l="1"/>
  <c r="AS72" i="18"/>
  <c r="S105" i="18" l="1"/>
  <c r="AA110" i="18"/>
  <c r="F110" i="18"/>
  <c r="AA72" i="18"/>
  <c r="F72" i="18"/>
  <c r="AA105" i="18"/>
  <c r="F105" i="18"/>
  <c r="L110" i="18"/>
  <c r="L72" i="18"/>
  <c r="Y110" i="18"/>
  <c r="Y72" i="18"/>
  <c r="L105" i="18"/>
  <c r="Y105" i="18"/>
  <c r="S110" i="18"/>
  <c r="S72" i="18"/>
  <c r="AT72" i="18"/>
  <c r="W110" i="18"/>
  <c r="W72" i="18"/>
  <c r="W105" i="18"/>
  <c r="R110" i="18"/>
  <c r="AZ110" i="18"/>
  <c r="R72" i="18"/>
  <c r="AZ72" i="18"/>
  <c r="R105" i="18"/>
  <c r="Z110" i="18" l="1"/>
  <c r="Z105" i="18"/>
  <c r="Z72" i="18"/>
  <c r="AB72" i="18"/>
  <c r="AB105" i="18"/>
  <c r="AN105" i="18" s="1"/>
  <c r="AB110" i="18"/>
  <c r="V72" i="18"/>
  <c r="T105" i="18"/>
  <c r="V110" i="18"/>
  <c r="T72" i="18"/>
  <c r="V105" i="18"/>
  <c r="T110" i="18"/>
  <c r="AI110" i="18" l="1"/>
  <c r="AI72" i="18"/>
  <c r="AI105" i="18"/>
  <c r="AD11" i="16"/>
  <c r="X11" i="16"/>
  <c r="I5" i="2"/>
  <c r="AA73" i="18"/>
  <c r="AA44" i="18"/>
  <c r="P11" i="16"/>
  <c r="H5" i="2"/>
  <c r="Y73" i="18"/>
  <c r="Y44" i="18"/>
  <c r="G5" i="2"/>
  <c r="F73" i="18"/>
  <c r="F44" i="18"/>
  <c r="K5" i="2"/>
  <c r="L73" i="18"/>
  <c r="L44" i="18"/>
  <c r="M5" i="2"/>
  <c r="S73" i="18"/>
  <c r="S44" i="18"/>
  <c r="L5" i="2"/>
  <c r="U13" i="18" s="1"/>
  <c r="Z73" i="18" l="1"/>
  <c r="Z44" i="18"/>
  <c r="AB44" i="18"/>
  <c r="AB73" i="18"/>
  <c r="R73" i="18"/>
  <c r="T73" i="18" s="1"/>
  <c r="AZ44" i="18"/>
  <c r="R44" i="18"/>
  <c r="V44" i="18" s="1"/>
  <c r="D11" i="16"/>
  <c r="L11" i="16"/>
  <c r="T11" i="16"/>
  <c r="AB11" i="16"/>
  <c r="E11" i="16"/>
  <c r="M11" i="16"/>
  <c r="U11" i="16"/>
  <c r="AC11" i="16"/>
  <c r="F11" i="16"/>
  <c r="N11" i="16"/>
  <c r="V11" i="16"/>
  <c r="O11" i="16"/>
  <c r="W11" i="16"/>
  <c r="AE11" i="16"/>
  <c r="AF11" i="16"/>
  <c r="I11" i="16"/>
  <c r="Q11" i="16"/>
  <c r="Y11" i="16"/>
  <c r="AG11" i="16"/>
  <c r="R11" i="16"/>
  <c r="Z11" i="16"/>
  <c r="K11" i="16"/>
  <c r="S11" i="16"/>
  <c r="AA11" i="16"/>
  <c r="AA135" i="18"/>
  <c r="F135" i="18"/>
  <c r="L136" i="18"/>
  <c r="Y162" i="18"/>
  <c r="S71" i="18"/>
  <c r="AA125" i="18"/>
  <c r="F125" i="18"/>
  <c r="L89" i="18"/>
  <c r="Y15" i="18"/>
  <c r="S78" i="18"/>
  <c r="AA119" i="18"/>
  <c r="F119" i="18"/>
  <c r="L120" i="18"/>
  <c r="Y136" i="18"/>
  <c r="S161" i="18"/>
  <c r="L88" i="18"/>
  <c r="Y89" i="18"/>
  <c r="F103" i="18"/>
  <c r="AA103" i="18"/>
  <c r="Y120" i="18"/>
  <c r="S162" i="18"/>
  <c r="AA71" i="18"/>
  <c r="F71" i="18"/>
  <c r="Y88" i="18"/>
  <c r="S15" i="18"/>
  <c r="AA78" i="18"/>
  <c r="F78" i="18"/>
  <c r="L135" i="18"/>
  <c r="S136" i="18"/>
  <c r="AA161" i="18"/>
  <c r="F161" i="18"/>
  <c r="L125" i="18"/>
  <c r="S89" i="18"/>
  <c r="S103" i="18"/>
  <c r="L119" i="18"/>
  <c r="Y135" i="18"/>
  <c r="S120" i="18"/>
  <c r="AA162" i="18"/>
  <c r="F162" i="18"/>
  <c r="Y125" i="18"/>
  <c r="S88" i="18"/>
  <c r="AA15" i="18"/>
  <c r="F15" i="18"/>
  <c r="Y119" i="18"/>
  <c r="AA136" i="18"/>
  <c r="F136" i="18"/>
  <c r="L71" i="18"/>
  <c r="AA89" i="18"/>
  <c r="F89" i="18"/>
  <c r="L78" i="18"/>
  <c r="Y103" i="18"/>
  <c r="S135" i="18"/>
  <c r="AA120" i="18"/>
  <c r="F120" i="18"/>
  <c r="L161" i="18"/>
  <c r="Y71" i="18"/>
  <c r="S125" i="18"/>
  <c r="AA88" i="18"/>
  <c r="F88" i="18"/>
  <c r="Y78" i="18"/>
  <c r="S119" i="18"/>
  <c r="L162" i="18"/>
  <c r="Y161" i="18"/>
  <c r="L15" i="18"/>
  <c r="W103" i="18"/>
  <c r="W135" i="18"/>
  <c r="R162" i="18"/>
  <c r="W125" i="18"/>
  <c r="O15" i="18"/>
  <c r="R15" i="18"/>
  <c r="W119" i="18"/>
  <c r="R136" i="18"/>
  <c r="R89" i="18"/>
  <c r="R120" i="18"/>
  <c r="W71" i="18"/>
  <c r="R88" i="18"/>
  <c r="W78" i="18"/>
  <c r="R161" i="18"/>
  <c r="W161" i="18"/>
  <c r="R103" i="18"/>
  <c r="R135" i="18"/>
  <c r="W162" i="18"/>
  <c r="R125" i="18"/>
  <c r="W15" i="18"/>
  <c r="R119" i="18"/>
  <c r="W136" i="18"/>
  <c r="W89" i="18"/>
  <c r="L103" i="18"/>
  <c r="W120" i="18"/>
  <c r="R71" i="18"/>
  <c r="W88" i="18"/>
  <c r="R78" i="18"/>
  <c r="AR157" i="18"/>
  <c r="AS157" i="18"/>
  <c r="F157" i="18"/>
  <c r="Y157" i="18"/>
  <c r="AA157" i="18"/>
  <c r="L157" i="18"/>
  <c r="S157" i="18"/>
  <c r="Z135" i="18" l="1"/>
  <c r="Z125" i="18"/>
  <c r="Z103" i="18"/>
  <c r="Z71" i="18"/>
  <c r="AB103" i="18"/>
  <c r="AN103" i="18" s="1"/>
  <c r="Z161" i="18"/>
  <c r="Z119" i="18"/>
  <c r="AB89" i="18"/>
  <c r="AN89" i="18" s="1"/>
  <c r="Z88" i="18"/>
  <c r="AB125" i="18"/>
  <c r="AN125" i="18" s="1"/>
  <c r="AB88" i="18"/>
  <c r="AN88" i="18" s="1"/>
  <c r="AB71" i="18"/>
  <c r="AN71" i="18" s="1"/>
  <c r="AB135" i="18"/>
  <c r="AN135" i="18" s="1"/>
  <c r="AB120" i="18"/>
  <c r="AN120" i="18" s="1"/>
  <c r="AB157" i="18"/>
  <c r="AN157" i="18" s="1"/>
  <c r="AB136" i="18"/>
  <c r="AN136" i="18" s="1"/>
  <c r="AB15" i="18"/>
  <c r="AN15" i="18" s="1"/>
  <c r="AB78" i="18"/>
  <c r="AN78" i="18" s="1"/>
  <c r="Z120" i="18"/>
  <c r="Z15" i="18"/>
  <c r="Z136" i="18"/>
  <c r="Z157" i="18"/>
  <c r="Z89" i="18"/>
  <c r="Z78" i="18"/>
  <c r="AB162" i="18"/>
  <c r="AN162" i="18" s="1"/>
  <c r="AB161" i="18"/>
  <c r="AN161" i="18" s="1"/>
  <c r="AB119" i="18"/>
  <c r="AN119" i="18" s="1"/>
  <c r="Z162" i="18"/>
  <c r="AI44" i="18"/>
  <c r="AZ73" i="18"/>
  <c r="V73" i="18"/>
  <c r="T44" i="18"/>
  <c r="T103" i="18"/>
  <c r="V119" i="18"/>
  <c r="T71" i="18"/>
  <c r="T162" i="18"/>
  <c r="T89" i="18"/>
  <c r="T125" i="18"/>
  <c r="T135" i="18"/>
  <c r="T161" i="18"/>
  <c r="V120" i="18"/>
  <c r="T136" i="18"/>
  <c r="T78" i="18"/>
  <c r="T88" i="18"/>
  <c r="T15" i="18"/>
  <c r="V88" i="18"/>
  <c r="V135" i="18"/>
  <c r="T119" i="18"/>
  <c r="V125" i="18"/>
  <c r="V103" i="18"/>
  <c r="V15" i="18"/>
  <c r="V78" i="18"/>
  <c r="T120" i="18"/>
  <c r="V162" i="18"/>
  <c r="V136" i="18"/>
  <c r="V89" i="18"/>
  <c r="R157" i="18"/>
  <c r="T157" i="18" s="1"/>
  <c r="V161" i="18"/>
  <c r="V71" i="18"/>
  <c r="W157" i="18"/>
  <c r="AT157" i="18"/>
  <c r="AI125" i="18" l="1"/>
  <c r="AI89" i="18"/>
  <c r="AI136" i="18"/>
  <c r="AI88" i="18"/>
  <c r="AI120" i="18"/>
  <c r="AI162" i="18"/>
  <c r="AI161" i="18"/>
  <c r="AI78" i="18"/>
  <c r="AI15" i="18"/>
  <c r="AI135" i="18"/>
  <c r="AI71" i="18"/>
  <c r="AI157" i="18"/>
  <c r="AI119" i="18"/>
  <c r="AI103" i="18"/>
  <c r="V157" i="18"/>
  <c r="AR73" i="18" l="1"/>
  <c r="AS73" i="18"/>
  <c r="AT73" i="18" l="1"/>
  <c r="AI73" i="18" l="1"/>
  <c r="AU172" i="18" l="1"/>
  <c r="BD172" i="18" s="1"/>
  <c r="AU168" i="18"/>
  <c r="BD168" i="18" s="1"/>
  <c r="AU123" i="18"/>
  <c r="BD123" i="18" s="1"/>
  <c r="AU121" i="18"/>
  <c r="BD121" i="18" s="1"/>
  <c r="AU102" i="18"/>
  <c r="BD102" i="18" s="1"/>
  <c r="AU91" i="18"/>
  <c r="BD91" i="18" s="1"/>
  <c r="AU74" i="18"/>
  <c r="BD74" i="18" s="1"/>
  <c r="AU99" i="18"/>
  <c r="BD99" i="18" s="1"/>
  <c r="AU46" i="18"/>
  <c r="BD46" i="18" s="1"/>
  <c r="AU43" i="18"/>
  <c r="BD43" i="18" s="1"/>
  <c r="AU11" i="18"/>
  <c r="AU9" i="18"/>
  <c r="AS13" i="18" l="1"/>
  <c r="E4" i="26" l="1"/>
  <c r="AS134" i="18" l="1"/>
  <c r="AS107" i="18"/>
  <c r="AS159" i="18"/>
  <c r="AS42" i="18"/>
  <c r="AS114" i="18"/>
  <c r="AS124" i="18"/>
  <c r="AS30" i="18"/>
  <c r="AS133" i="18"/>
  <c r="AS52" i="18"/>
  <c r="AS169" i="18"/>
  <c r="AS92" i="18"/>
  <c r="AS39" i="18"/>
  <c r="AS90" i="18"/>
  <c r="AS165" i="18"/>
  <c r="AS100" i="18"/>
  <c r="AS37" i="18"/>
  <c r="AS129" i="18"/>
  <c r="AS61" i="18"/>
  <c r="AS171" i="18"/>
  <c r="AS66" i="18"/>
  <c r="AS137" i="18"/>
  <c r="AS97" i="18"/>
  <c r="AS67" i="18"/>
  <c r="AS87" i="18"/>
  <c r="AS76" i="18"/>
  <c r="AS23" i="18"/>
  <c r="AS116" i="18"/>
  <c r="AS38" i="18"/>
  <c r="AS21" i="18"/>
  <c r="AS130" i="18"/>
  <c r="AS24" i="18"/>
  <c r="AS44" i="18"/>
  <c r="AS94" i="18"/>
  <c r="AS41" i="18"/>
  <c r="AS65" i="18"/>
  <c r="AS112" i="18"/>
  <c r="AS95" i="18"/>
  <c r="AS48" i="18"/>
  <c r="AS54" i="18"/>
  <c r="AS85" i="18"/>
  <c r="AS163" i="18"/>
  <c r="AS167" i="18"/>
  <c r="AS75" i="18"/>
  <c r="AS142" i="18"/>
  <c r="AS122" i="18"/>
  <c r="AS166" i="18"/>
  <c r="AS80" i="18"/>
  <c r="AS132" i="18"/>
  <c r="AS144" i="18"/>
  <c r="AS156" i="18"/>
  <c r="AS77" i="18"/>
  <c r="AS49" i="18"/>
  <c r="AS127" i="18"/>
  <c r="AS113" i="18"/>
  <c r="AS25" i="18"/>
  <c r="AS26" i="18"/>
  <c r="AS82" i="18"/>
  <c r="AS106" i="18"/>
  <c r="AS31" i="18"/>
  <c r="AS146" i="18"/>
  <c r="AS143" i="18"/>
  <c r="AS81" i="18"/>
  <c r="AS118" i="18"/>
  <c r="AS53" i="18"/>
  <c r="AS126" i="18"/>
  <c r="AS50" i="18"/>
  <c r="AS145" i="18"/>
  <c r="AS62" i="18"/>
  <c r="AS83" i="18"/>
  <c r="AS164" i="18"/>
  <c r="AS45" i="18"/>
  <c r="AS84" i="18"/>
  <c r="AS160" i="18"/>
  <c r="AS155" i="18"/>
  <c r="AS147" i="18"/>
  <c r="AU147" i="18" s="1"/>
  <c r="AS46" i="18"/>
  <c r="AS99" i="18"/>
  <c r="AS121" i="18"/>
  <c r="AS148" i="18"/>
  <c r="AU148" i="18" s="1"/>
  <c r="AS9" i="18"/>
  <c r="AS86" i="18"/>
  <c r="AS11" i="18"/>
  <c r="AS123" i="18"/>
  <c r="AS149" i="18"/>
  <c r="AU149" i="18" s="1"/>
  <c r="AS102" i="18"/>
  <c r="AS150" i="18"/>
  <c r="AU150" i="18" s="1"/>
  <c r="AS74" i="18"/>
  <c r="AS151" i="18"/>
  <c r="AU151" i="18" s="1"/>
  <c r="AS152" i="18"/>
  <c r="AU152" i="18" s="1"/>
  <c r="AS153" i="18"/>
  <c r="AU153" i="18" s="1"/>
  <c r="AS141" i="18"/>
  <c r="AS154" i="18"/>
  <c r="AU154" i="18" s="1"/>
  <c r="AS91" i="18"/>
  <c r="AS168" i="18"/>
  <c r="AS56" i="18"/>
  <c r="AS27" i="18"/>
  <c r="AS96" i="18"/>
  <c r="AS43" i="18"/>
  <c r="AS172" i="18"/>
  <c r="AS64" i="18"/>
  <c r="AS28" i="18"/>
  <c r="AR96" i="18"/>
  <c r="AS5" i="18" l="1"/>
  <c r="AT96" i="18"/>
  <c r="BB33" i="18" l="1"/>
  <c r="F111" i="18" l="1"/>
  <c r="Y111" i="18"/>
  <c r="AA111" i="18"/>
  <c r="L111" i="18"/>
  <c r="S111" i="18"/>
  <c r="F96" i="18"/>
  <c r="Y96" i="18"/>
  <c r="AA96" i="18"/>
  <c r="L96" i="18"/>
  <c r="S96" i="18"/>
  <c r="AB111" i="18" l="1"/>
  <c r="Z111" i="18"/>
  <c r="AB96" i="18"/>
  <c r="Z96" i="18"/>
  <c r="AZ96" i="18"/>
  <c r="R96" i="18"/>
  <c r="T96" i="18" s="1"/>
  <c r="W96" i="18"/>
  <c r="R111" i="18"/>
  <c r="V111" i="18" s="1"/>
  <c r="W111" i="18"/>
  <c r="AI111" i="18" l="1"/>
  <c r="AI96" i="18"/>
  <c r="T111" i="18"/>
  <c r="V96" i="18"/>
  <c r="AD4" i="18"/>
  <c r="AN5" i="19"/>
  <c r="AL4" i="18" l="1"/>
  <c r="AK4" i="18"/>
  <c r="AJ4" i="18"/>
  <c r="AH4" i="18"/>
  <c r="AG4" i="18"/>
  <c r="AE4" i="18"/>
  <c r="AK19" i="18" l="1"/>
  <c r="AK18" i="18"/>
  <c r="AK20" i="18"/>
  <c r="AH18" i="18"/>
  <c r="AH19" i="18"/>
  <c r="AH20" i="18"/>
  <c r="AG18" i="18"/>
  <c r="AG19" i="18"/>
  <c r="AG20" i="18"/>
  <c r="AL18" i="18"/>
  <c r="AL19" i="18"/>
  <c r="AL20" i="18"/>
  <c r="AG69" i="18"/>
  <c r="AH69" i="18"/>
  <c r="AK69" i="18"/>
  <c r="AL69" i="18"/>
  <c r="AG47" i="18"/>
  <c r="AG68" i="18"/>
  <c r="AH47" i="18"/>
  <c r="AH68" i="18"/>
  <c r="AK47" i="18"/>
  <c r="AK68" i="18"/>
  <c r="AL47" i="18"/>
  <c r="AL68" i="18"/>
  <c r="AK173" i="18"/>
  <c r="AK128" i="18"/>
  <c r="AL173" i="18"/>
  <c r="AL128" i="18"/>
  <c r="AH173" i="18"/>
  <c r="AH128" i="18"/>
  <c r="AG170" i="18"/>
  <c r="AH22" i="18"/>
  <c r="AH131" i="18"/>
  <c r="AH29" i="18"/>
  <c r="AH79" i="18"/>
  <c r="AH115" i="18"/>
  <c r="AH138" i="18"/>
  <c r="AH170" i="18"/>
  <c r="AH104" i="18"/>
  <c r="AH40" i="18"/>
  <c r="AH140" i="18"/>
  <c r="AK22" i="18"/>
  <c r="AK140" i="18"/>
  <c r="AK104" i="18"/>
  <c r="AK79" i="18"/>
  <c r="AK115" i="18"/>
  <c r="AK138" i="18"/>
  <c r="AK40" i="18"/>
  <c r="AK29" i="18"/>
  <c r="AK131" i="18"/>
  <c r="AK170" i="18"/>
  <c r="AL22" i="18"/>
  <c r="AL170" i="18"/>
  <c r="AL131" i="18"/>
  <c r="AL40" i="18"/>
  <c r="AL138" i="18"/>
  <c r="AL29" i="18"/>
  <c r="AL140" i="18"/>
  <c r="AL79" i="18"/>
  <c r="AL104" i="18"/>
  <c r="AL115" i="18"/>
  <c r="AG16" i="18"/>
  <c r="AH55" i="18"/>
  <c r="AH16" i="18"/>
  <c r="AK55" i="18"/>
  <c r="AK16" i="18"/>
  <c r="AL55" i="18"/>
  <c r="AL16" i="18"/>
  <c r="AL63" i="18"/>
  <c r="AL60" i="18"/>
  <c r="AL117" i="18"/>
  <c r="AL59" i="18"/>
  <c r="AH63" i="18"/>
  <c r="AH117" i="18"/>
  <c r="AH60" i="18"/>
  <c r="AH59" i="18"/>
  <c r="AK117" i="18"/>
  <c r="AK60" i="18"/>
  <c r="AK63" i="18"/>
  <c r="AK59" i="18"/>
  <c r="AL96" i="18"/>
  <c r="AU36" i="18"/>
  <c r="AY36" i="18" s="1"/>
  <c r="AK8" i="18"/>
  <c r="AK57" i="18"/>
  <c r="AK70" i="18"/>
  <c r="AK51" i="18"/>
  <c r="AK139" i="18"/>
  <c r="AK109" i="18"/>
  <c r="AK101" i="18"/>
  <c r="AK36" i="18"/>
  <c r="AK158" i="18"/>
  <c r="AK17" i="18"/>
  <c r="AK72" i="18"/>
  <c r="AK110" i="18"/>
  <c r="AK105" i="18"/>
  <c r="AK44" i="18"/>
  <c r="AK103" i="18"/>
  <c r="AK120" i="18"/>
  <c r="AK157" i="18"/>
  <c r="AK15" i="18"/>
  <c r="AK88" i="18"/>
  <c r="AK161" i="18"/>
  <c r="AK78" i="18"/>
  <c r="AK136" i="18"/>
  <c r="AK89" i="18"/>
  <c r="AK119" i="18"/>
  <c r="AK135" i="18"/>
  <c r="AK125" i="18"/>
  <c r="AK162" i="18"/>
  <c r="AK71" i="18"/>
  <c r="AK73" i="18"/>
  <c r="AK96" i="18"/>
  <c r="AL8" i="18"/>
  <c r="AL57" i="18"/>
  <c r="AL70" i="18"/>
  <c r="AL51" i="18"/>
  <c r="AL139" i="18"/>
  <c r="AL101" i="18"/>
  <c r="AL109" i="18"/>
  <c r="AL36" i="18"/>
  <c r="AL158" i="18"/>
  <c r="AL17" i="18"/>
  <c r="AL110" i="18"/>
  <c r="AL105" i="18"/>
  <c r="AL72" i="18"/>
  <c r="AL44" i="18"/>
  <c r="AL15" i="18"/>
  <c r="AL89" i="18"/>
  <c r="AL71" i="18"/>
  <c r="AL135" i="18"/>
  <c r="AL88" i="18"/>
  <c r="AL136" i="18"/>
  <c r="AL125" i="18"/>
  <c r="AL162" i="18"/>
  <c r="AL161" i="18"/>
  <c r="AL78" i="18"/>
  <c r="AL119" i="18"/>
  <c r="AL120" i="18"/>
  <c r="AL103" i="18"/>
  <c r="AL157" i="18"/>
  <c r="AL73" i="18"/>
  <c r="AL111" i="18"/>
  <c r="AG139" i="18"/>
  <c r="AG101" i="18"/>
  <c r="AG109" i="18"/>
  <c r="AH8" i="18"/>
  <c r="AH57" i="18"/>
  <c r="AH70" i="18"/>
  <c r="AH51" i="18"/>
  <c r="AH139" i="18"/>
  <c r="AH109" i="18"/>
  <c r="AH101" i="18"/>
  <c r="AH36" i="18"/>
  <c r="AH17" i="18"/>
  <c r="AH158" i="18"/>
  <c r="AH72" i="18"/>
  <c r="AH110" i="18"/>
  <c r="AH105" i="18"/>
  <c r="AH44" i="18"/>
  <c r="AH135" i="18"/>
  <c r="AH157" i="18"/>
  <c r="AH162" i="18"/>
  <c r="AH88" i="18"/>
  <c r="AH78" i="18"/>
  <c r="AH89" i="18"/>
  <c r="AH136" i="18"/>
  <c r="AH119" i="18"/>
  <c r="AH71" i="18"/>
  <c r="AH125" i="18"/>
  <c r="AH15" i="18"/>
  <c r="AH103" i="18"/>
  <c r="AH161" i="18"/>
  <c r="AH120" i="18"/>
  <c r="AH73" i="18"/>
  <c r="AH96" i="18"/>
  <c r="AH111" i="18"/>
  <c r="AK111" i="18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Q10" i="16"/>
  <c r="P10" i="16"/>
  <c r="O10" i="16"/>
  <c r="M10" i="16"/>
  <c r="L10" i="16"/>
  <c r="K10" i="16"/>
  <c r="BB17" i="18" l="1"/>
  <c r="AV36" i="18"/>
  <c r="BD36" i="18"/>
  <c r="B146" i="18"/>
  <c r="C146" i="18"/>
  <c r="D146" i="18"/>
  <c r="B98" i="18"/>
  <c r="C98" i="18"/>
  <c r="D98" i="18"/>
  <c r="B21" i="18"/>
  <c r="C21" i="18"/>
  <c r="D21" i="18"/>
  <c r="B46" i="18"/>
  <c r="C46" i="18"/>
  <c r="D46" i="18"/>
  <c r="B7" i="18"/>
  <c r="C7" i="18"/>
  <c r="D7" i="18"/>
  <c r="B155" i="18"/>
  <c r="C155" i="18"/>
  <c r="D155" i="18"/>
  <c r="B137" i="18"/>
  <c r="C137" i="18"/>
  <c r="D137" i="18"/>
  <c r="B99" i="18"/>
  <c r="C99" i="18"/>
  <c r="B100" i="18"/>
  <c r="C100" i="18"/>
  <c r="D100" i="18"/>
  <c r="B121" i="18"/>
  <c r="C121" i="18"/>
  <c r="D121" i="18"/>
  <c r="B156" i="18"/>
  <c r="C156" i="18"/>
  <c r="D156" i="18"/>
  <c r="B9" i="18"/>
  <c r="C9" i="18"/>
  <c r="D9" i="18"/>
  <c r="D32" i="18"/>
  <c r="C10" i="18"/>
  <c r="D10" i="18"/>
  <c r="B86" i="18"/>
  <c r="D86" i="18"/>
  <c r="B11" i="18"/>
  <c r="C11" i="18"/>
  <c r="D11" i="18"/>
  <c r="B87" i="18"/>
  <c r="C87" i="18"/>
  <c r="D87" i="18"/>
  <c r="B48" i="18"/>
  <c r="C48" i="18"/>
  <c r="D48" i="18"/>
  <c r="B122" i="18"/>
  <c r="C122" i="18"/>
  <c r="D122" i="18"/>
  <c r="B123" i="18"/>
  <c r="C123" i="18"/>
  <c r="D123" i="18"/>
  <c r="B102" i="18"/>
  <c r="C102" i="18"/>
  <c r="D102" i="18"/>
  <c r="B124" i="18"/>
  <c r="C124" i="18"/>
  <c r="D124" i="18"/>
  <c r="B23" i="18"/>
  <c r="C23" i="18"/>
  <c r="D23" i="18"/>
  <c r="B39" i="18"/>
  <c r="C39" i="18"/>
  <c r="D39" i="18"/>
  <c r="B74" i="18"/>
  <c r="C74" i="18"/>
  <c r="D74" i="18"/>
  <c r="B163" i="18"/>
  <c r="C163" i="18"/>
  <c r="D163" i="18"/>
  <c r="B164" i="18"/>
  <c r="C164" i="18"/>
  <c r="D164" i="18"/>
  <c r="B114" i="18"/>
  <c r="C114" i="18"/>
  <c r="D114" i="18"/>
  <c r="B165" i="18"/>
  <c r="C165" i="18"/>
  <c r="D165" i="18"/>
  <c r="B166" i="18"/>
  <c r="C166" i="18"/>
  <c r="D166" i="18"/>
  <c r="B141" i="18"/>
  <c r="C141" i="18"/>
  <c r="D141" i="18"/>
  <c r="C14" i="18"/>
  <c r="D14" i="18"/>
  <c r="B41" i="18"/>
  <c r="C41" i="18"/>
  <c r="D41" i="18"/>
  <c r="B130" i="18"/>
  <c r="C130" i="18"/>
  <c r="D130" i="18"/>
  <c r="B169" i="18"/>
  <c r="C169" i="18"/>
  <c r="D169" i="18"/>
  <c r="B116" i="18"/>
  <c r="C116" i="18"/>
  <c r="D116" i="18"/>
  <c r="B80" i="18"/>
  <c r="C80" i="18"/>
  <c r="D80" i="18"/>
  <c r="B27" i="18"/>
  <c r="C27" i="18"/>
  <c r="D27" i="18"/>
  <c r="B81" i="18"/>
  <c r="C81" i="18"/>
  <c r="D81" i="18"/>
  <c r="B118" i="18"/>
  <c r="C118" i="18"/>
  <c r="D118" i="18"/>
  <c r="D35" i="18"/>
  <c r="B82" i="18"/>
  <c r="C82" i="18"/>
  <c r="D82" i="18"/>
  <c r="B106" i="18"/>
  <c r="C106" i="18"/>
  <c r="D106" i="18"/>
  <c r="B67" i="18"/>
  <c r="C67" i="18"/>
  <c r="D67" i="18"/>
  <c r="B107" i="18"/>
  <c r="C107" i="18"/>
  <c r="D107" i="18"/>
  <c r="B94" i="18"/>
  <c r="C94" i="18"/>
  <c r="D94" i="18"/>
  <c r="B159" i="18"/>
  <c r="C159" i="18"/>
  <c r="D159" i="18"/>
  <c r="B28" i="18"/>
  <c r="C28" i="18"/>
  <c r="D28" i="18"/>
  <c r="B83" i="18"/>
  <c r="D83" i="18"/>
  <c r="B132" i="18"/>
  <c r="C132" i="18"/>
  <c r="D132" i="18"/>
  <c r="B84" i="18"/>
  <c r="C84" i="18"/>
  <c r="D84" i="18"/>
  <c r="B43" i="18"/>
  <c r="C43" i="18"/>
  <c r="D43" i="18"/>
  <c r="B160" i="18"/>
  <c r="C160" i="18"/>
  <c r="D160" i="18"/>
  <c r="B172" i="18"/>
  <c r="C172" i="18"/>
  <c r="D172" i="18"/>
  <c r="B133" i="18"/>
  <c r="C133" i="18"/>
  <c r="D133" i="18"/>
  <c r="B97" i="18"/>
  <c r="C97" i="18"/>
  <c r="D97" i="18"/>
  <c r="L64" i="18"/>
  <c r="F64" i="18"/>
  <c r="Y64" i="18"/>
  <c r="AA64" i="18"/>
  <c r="L45" i="18"/>
  <c r="F45" i="18"/>
  <c r="Y45" i="18"/>
  <c r="AA45" i="18"/>
  <c r="L62" i="18"/>
  <c r="F62" i="18"/>
  <c r="Y62" i="18"/>
  <c r="AA62" i="18"/>
  <c r="L134" i="18"/>
  <c r="F134" i="18"/>
  <c r="Y134" i="18"/>
  <c r="AA134" i="18"/>
  <c r="L31" i="18"/>
  <c r="F31" i="18"/>
  <c r="Y31" i="18"/>
  <c r="AA31" i="18"/>
  <c r="L145" i="18"/>
  <c r="F145" i="18"/>
  <c r="Y145" i="18"/>
  <c r="AA145" i="18"/>
  <c r="L146" i="18"/>
  <c r="F146" i="18"/>
  <c r="Y146" i="18"/>
  <c r="AA146" i="18"/>
  <c r="S64" i="18"/>
  <c r="S45" i="18"/>
  <c r="S62" i="18"/>
  <c r="S134" i="18"/>
  <c r="S31" i="18"/>
  <c r="S145" i="18"/>
  <c r="S146" i="18"/>
  <c r="X22" i="25"/>
  <c r="Z22" i="25" s="1"/>
  <c r="AC22" i="25" s="1"/>
  <c r="X21" i="25"/>
  <c r="Z21" i="25" s="1"/>
  <c r="AC21" i="25" s="1"/>
  <c r="X20" i="25"/>
  <c r="Z20" i="25" s="1"/>
  <c r="AC20" i="25" s="1"/>
  <c r="X19" i="25"/>
  <c r="Z19" i="25" s="1"/>
  <c r="AC19" i="25" s="1"/>
  <c r="X18" i="25"/>
  <c r="Z18" i="25" s="1"/>
  <c r="AC18" i="25" s="1"/>
  <c r="Z17" i="25"/>
  <c r="AC17" i="25" s="1"/>
  <c r="X16" i="25"/>
  <c r="Z16" i="25" s="1"/>
  <c r="AC16" i="25" s="1"/>
  <c r="X15" i="25"/>
  <c r="Z15" i="25" s="1"/>
  <c r="AC15" i="25" s="1"/>
  <c r="Z14" i="25"/>
  <c r="AC14" i="25" s="1"/>
  <c r="X13" i="25"/>
  <c r="Z13" i="25" s="1"/>
  <c r="AC13" i="25" s="1"/>
  <c r="X12" i="25"/>
  <c r="Z12" i="25" s="1"/>
  <c r="AC12" i="25" s="1"/>
  <c r="X11" i="25"/>
  <c r="Z11" i="25" s="1"/>
  <c r="AC11" i="25" s="1"/>
  <c r="X10" i="25"/>
  <c r="Z10" i="25" s="1"/>
  <c r="AC10" i="25" s="1"/>
  <c r="X9" i="25"/>
  <c r="Z9" i="25" s="1"/>
  <c r="AC9" i="25" s="1"/>
  <c r="X8" i="25"/>
  <c r="D9" i="25"/>
  <c r="F9" i="25" s="1"/>
  <c r="I9" i="25" s="1"/>
  <c r="F10" i="25"/>
  <c r="I10" i="25" s="1"/>
  <c r="D11" i="25"/>
  <c r="F11" i="25" s="1"/>
  <c r="I11" i="25" s="1"/>
  <c r="D12" i="25"/>
  <c r="F12" i="25" s="1"/>
  <c r="I12" i="25" s="1"/>
  <c r="D13" i="25"/>
  <c r="F13" i="25" s="1"/>
  <c r="I13" i="25" s="1"/>
  <c r="F14" i="25"/>
  <c r="I14" i="25" s="1"/>
  <c r="D15" i="25"/>
  <c r="F15" i="25" s="1"/>
  <c r="I15" i="25" s="1"/>
  <c r="D16" i="25"/>
  <c r="F16" i="25" s="1"/>
  <c r="I16" i="25" s="1"/>
  <c r="F17" i="25"/>
  <c r="I17" i="25" s="1"/>
  <c r="D18" i="25"/>
  <c r="F18" i="25" s="1"/>
  <c r="I18" i="25" s="1"/>
  <c r="D19" i="25"/>
  <c r="F19" i="25" s="1"/>
  <c r="I19" i="25" s="1"/>
  <c r="D20" i="25"/>
  <c r="F20" i="25" s="1"/>
  <c r="I20" i="25" s="1"/>
  <c r="D21" i="25"/>
  <c r="F21" i="25" s="1"/>
  <c r="I21" i="25" s="1"/>
  <c r="D22" i="25"/>
  <c r="F22" i="25" s="1"/>
  <c r="I22" i="25" s="1"/>
  <c r="V23" i="25"/>
  <c r="B23" i="25"/>
  <c r="AB22" i="25"/>
  <c r="H22" i="25"/>
  <c r="AB21" i="25"/>
  <c r="H21" i="25"/>
  <c r="AB20" i="25"/>
  <c r="H20" i="25"/>
  <c r="AB19" i="25"/>
  <c r="H19" i="25"/>
  <c r="AB18" i="25"/>
  <c r="H18" i="25"/>
  <c r="AB17" i="25"/>
  <c r="H17" i="25"/>
  <c r="AB16" i="25"/>
  <c r="H16" i="25"/>
  <c r="AB15" i="25"/>
  <c r="H15" i="25"/>
  <c r="H14" i="25"/>
  <c r="AB13" i="25"/>
  <c r="H13" i="25"/>
  <c r="AB12" i="25"/>
  <c r="H12" i="25"/>
  <c r="AB11" i="25"/>
  <c r="H11" i="25"/>
  <c r="AB10" i="25"/>
  <c r="H10" i="25"/>
  <c r="AB9" i="25"/>
  <c r="H9" i="25"/>
  <c r="H8" i="25"/>
  <c r="AA5" i="25"/>
  <c r="K2" i="18" s="1"/>
  <c r="M20" i="18" s="1"/>
  <c r="N20" i="18" s="1"/>
  <c r="AF20" i="18" s="1"/>
  <c r="K1" i="18"/>
  <c r="B1" i="25"/>
  <c r="C1" i="25" s="1"/>
  <c r="D1" i="25" s="1"/>
  <c r="E1" i="25" s="1"/>
  <c r="M188" i="18" l="1"/>
  <c r="N188" i="18" s="1"/>
  <c r="M190" i="18"/>
  <c r="N190" i="18" s="1"/>
  <c r="M186" i="18"/>
  <c r="N186" i="18" s="1"/>
  <c r="M184" i="18"/>
  <c r="N184" i="18" s="1"/>
  <c r="M185" i="18"/>
  <c r="N185" i="18" s="1"/>
  <c r="M176" i="18"/>
  <c r="N176" i="18" s="1"/>
  <c r="M175" i="18"/>
  <c r="N175" i="18" s="1"/>
  <c r="M69" i="18"/>
  <c r="N69" i="18" s="1"/>
  <c r="AF69" i="18" s="1"/>
  <c r="M191" i="18"/>
  <c r="N191" i="18" s="1"/>
  <c r="M192" i="18"/>
  <c r="N192" i="18" s="1"/>
  <c r="M181" i="18"/>
  <c r="N181" i="18" s="1"/>
  <c r="M180" i="18"/>
  <c r="N180" i="18" s="1"/>
  <c r="M182" i="18"/>
  <c r="N182" i="18" s="1"/>
  <c r="M179" i="18"/>
  <c r="N179" i="18" s="1"/>
  <c r="M183" i="18"/>
  <c r="N183" i="18" s="1"/>
  <c r="M178" i="18"/>
  <c r="N178" i="18" s="1"/>
  <c r="M177" i="18"/>
  <c r="N177" i="18" s="1"/>
  <c r="M157" i="18"/>
  <c r="M19" i="18"/>
  <c r="N19" i="18" s="1"/>
  <c r="AF19" i="18" s="1"/>
  <c r="M18" i="18"/>
  <c r="N18" i="18" s="1"/>
  <c r="AF18" i="18" s="1"/>
  <c r="M133" i="18"/>
  <c r="P133" i="18"/>
  <c r="M67" i="18"/>
  <c r="P67" i="18"/>
  <c r="M27" i="18"/>
  <c r="P27" i="18"/>
  <c r="M141" i="18"/>
  <c r="P141" i="18"/>
  <c r="M39" i="18"/>
  <c r="P39" i="18"/>
  <c r="M11" i="18"/>
  <c r="P11" i="18"/>
  <c r="J11" i="18"/>
  <c r="P46" i="18"/>
  <c r="P43" i="18"/>
  <c r="M83" i="18"/>
  <c r="P83" i="18"/>
  <c r="M165" i="18"/>
  <c r="P165" i="18"/>
  <c r="P102" i="18"/>
  <c r="P9" i="18"/>
  <c r="M94" i="18"/>
  <c r="P94" i="18"/>
  <c r="P118" i="18"/>
  <c r="M41" i="18"/>
  <c r="P41" i="18"/>
  <c r="M163" i="18"/>
  <c r="P163" i="18"/>
  <c r="M48" i="18"/>
  <c r="P48" i="18"/>
  <c r="M86" i="18"/>
  <c r="P86" i="18"/>
  <c r="M100" i="18"/>
  <c r="P100" i="18"/>
  <c r="P155" i="18"/>
  <c r="M172" i="18"/>
  <c r="P172" i="18"/>
  <c r="M106" i="18"/>
  <c r="P106" i="18"/>
  <c r="M80" i="18"/>
  <c r="P80" i="18"/>
  <c r="M166" i="18"/>
  <c r="P166" i="18"/>
  <c r="M23" i="18"/>
  <c r="P23" i="18"/>
  <c r="M21" i="18"/>
  <c r="P21" i="18"/>
  <c r="M84" i="18"/>
  <c r="P84" i="18"/>
  <c r="M28" i="18"/>
  <c r="P28" i="18"/>
  <c r="M169" i="18"/>
  <c r="P169" i="18"/>
  <c r="P114" i="18"/>
  <c r="P123" i="18"/>
  <c r="P156" i="18"/>
  <c r="P99" i="18"/>
  <c r="M146" i="18"/>
  <c r="P146" i="18"/>
  <c r="P97" i="18"/>
  <c r="P107" i="18"/>
  <c r="M81" i="18"/>
  <c r="P81" i="18"/>
  <c r="P14" i="18"/>
  <c r="P74" i="18"/>
  <c r="M87" i="18"/>
  <c r="P87" i="18"/>
  <c r="J87" i="18"/>
  <c r="M10" i="18"/>
  <c r="P10" i="18"/>
  <c r="M7" i="18"/>
  <c r="P7" i="18"/>
  <c r="P160" i="18"/>
  <c r="M82" i="18"/>
  <c r="P82" i="18"/>
  <c r="P116" i="18"/>
  <c r="M124" i="18"/>
  <c r="P124" i="18"/>
  <c r="M98" i="18"/>
  <c r="P98" i="18"/>
  <c r="J98" i="18"/>
  <c r="M132" i="18"/>
  <c r="P132" i="18"/>
  <c r="P159" i="18"/>
  <c r="M130" i="18"/>
  <c r="P130" i="18"/>
  <c r="M164" i="18"/>
  <c r="P164" i="18"/>
  <c r="M122" i="18"/>
  <c r="P122" i="18"/>
  <c r="P121" i="18"/>
  <c r="M137" i="18"/>
  <c r="P137" i="18"/>
  <c r="M160" i="18"/>
  <c r="M155" i="18"/>
  <c r="M159" i="18"/>
  <c r="M156" i="18"/>
  <c r="M49" i="18"/>
  <c r="M68" i="18"/>
  <c r="N68" i="18" s="1"/>
  <c r="AF68" i="18" s="1"/>
  <c r="M46" i="18"/>
  <c r="M114" i="18"/>
  <c r="M102" i="18"/>
  <c r="M9" i="18"/>
  <c r="M97" i="18"/>
  <c r="M107" i="18"/>
  <c r="M14" i="18"/>
  <c r="M108" i="18"/>
  <c r="N108" i="18" s="1"/>
  <c r="M30" i="18"/>
  <c r="M72" i="18"/>
  <c r="M64" i="18"/>
  <c r="M112" i="18"/>
  <c r="M37" i="18"/>
  <c r="M75" i="18"/>
  <c r="M127" i="18"/>
  <c r="M25" i="18"/>
  <c r="M66" i="18"/>
  <c r="M117" i="18"/>
  <c r="M42" i="18"/>
  <c r="M129" i="18"/>
  <c r="M26" i="18"/>
  <c r="M45" i="18"/>
  <c r="M139" i="18"/>
  <c r="M31" i="18"/>
  <c r="M76" i="18"/>
  <c r="M126" i="18"/>
  <c r="M50" i="18"/>
  <c r="M92" i="18"/>
  <c r="M143" i="18"/>
  <c r="M38" i="18"/>
  <c r="M85" i="18"/>
  <c r="M134" i="18"/>
  <c r="M59" i="18"/>
  <c r="M96" i="18"/>
  <c r="M145" i="18"/>
  <c r="M44" i="18"/>
  <c r="M90" i="18"/>
  <c r="M142" i="18"/>
  <c r="M24" i="18"/>
  <c r="M63" i="18"/>
  <c r="M109" i="18"/>
  <c r="M171" i="18"/>
  <c r="M56" i="18"/>
  <c r="M95" i="18"/>
  <c r="M144" i="18"/>
  <c r="M65" i="18"/>
  <c r="M113" i="18"/>
  <c r="M60" i="18"/>
  <c r="M101" i="18"/>
  <c r="M167" i="18"/>
  <c r="M77" i="18"/>
  <c r="M73" i="18"/>
  <c r="M57" i="18"/>
  <c r="M91" i="18"/>
  <c r="M111" i="18"/>
  <c r="M110" i="18"/>
  <c r="M116" i="18"/>
  <c r="M123" i="18"/>
  <c r="M99" i="18"/>
  <c r="M74" i="18"/>
  <c r="M43" i="18"/>
  <c r="M118" i="18"/>
  <c r="M121" i="18"/>
  <c r="Q93" i="18"/>
  <c r="Q174" i="18"/>
  <c r="Q128" i="18"/>
  <c r="AG128" i="18" s="1"/>
  <c r="N128" i="18"/>
  <c r="AF128" i="18" s="1"/>
  <c r="G98" i="18"/>
  <c r="R29" i="25"/>
  <c r="T29" i="25" s="1"/>
  <c r="R33" i="25"/>
  <c r="T33" i="25" s="1"/>
  <c r="Q173" i="18"/>
  <c r="AG173" i="18" s="1"/>
  <c r="Q115" i="18"/>
  <c r="AG115" i="18" s="1"/>
  <c r="Q40" i="18"/>
  <c r="AG40" i="18" s="1"/>
  <c r="Q104" i="18"/>
  <c r="AG104" i="18" s="1"/>
  <c r="Q29" i="18"/>
  <c r="AG29" i="18" s="1"/>
  <c r="Q140" i="18"/>
  <c r="AG140" i="18" s="1"/>
  <c r="Q22" i="18"/>
  <c r="AG22" i="18" s="1"/>
  <c r="Q138" i="18"/>
  <c r="AG138" i="18" s="1"/>
  <c r="Q131" i="18"/>
  <c r="AG131" i="18" s="1"/>
  <c r="Q79" i="18"/>
  <c r="AG79" i="18" s="1"/>
  <c r="Q55" i="18"/>
  <c r="AG55" i="18" s="1"/>
  <c r="Q51" i="18"/>
  <c r="AG51" i="18" s="1"/>
  <c r="Q70" i="18"/>
  <c r="AG70" i="18" s="1"/>
  <c r="Q119" i="18"/>
  <c r="AG119" i="18" s="1"/>
  <c r="Q158" i="18"/>
  <c r="AG158" i="18" s="1"/>
  <c r="Q71" i="18"/>
  <c r="AG71" i="18" s="1"/>
  <c r="Q135" i="18"/>
  <c r="AG135" i="18" s="1"/>
  <c r="Q125" i="18"/>
  <c r="AG125" i="18" s="1"/>
  <c r="Q105" i="18"/>
  <c r="AG105" i="18" s="1"/>
  <c r="Q136" i="18"/>
  <c r="AG136" i="18" s="1"/>
  <c r="Q88" i="18"/>
  <c r="AG88" i="18" s="1"/>
  <c r="Q78" i="18"/>
  <c r="AG78" i="18" s="1"/>
  <c r="Q89" i="18"/>
  <c r="AG89" i="18" s="1"/>
  <c r="Q120" i="18"/>
  <c r="AG120" i="18" s="1"/>
  <c r="Q161" i="18"/>
  <c r="AG161" i="18" s="1"/>
  <c r="Q103" i="18"/>
  <c r="AG103" i="18" s="1"/>
  <c r="Q162" i="18"/>
  <c r="AG162" i="18" s="1"/>
  <c r="Q15" i="18"/>
  <c r="AG15" i="18" s="1"/>
  <c r="C4" i="18"/>
  <c r="E4" i="18" s="1"/>
  <c r="Z146" i="18"/>
  <c r="AH146" i="18" s="1"/>
  <c r="Z31" i="18"/>
  <c r="AH31" i="18" s="1"/>
  <c r="Z134" i="18"/>
  <c r="AH134" i="18" s="1"/>
  <c r="Z145" i="18"/>
  <c r="AH145" i="18" s="1"/>
  <c r="Z62" i="18"/>
  <c r="AH62" i="18" s="1"/>
  <c r="Z45" i="18"/>
  <c r="AH45" i="18" s="1"/>
  <c r="AB146" i="18"/>
  <c r="AB145" i="18"/>
  <c r="AB31" i="18"/>
  <c r="AB134" i="18"/>
  <c r="AB62" i="18"/>
  <c r="AB45" i="18"/>
  <c r="Z64" i="18"/>
  <c r="AH64" i="18" s="1"/>
  <c r="AB64" i="18"/>
  <c r="Q63" i="18"/>
  <c r="AG63" i="18" s="1"/>
  <c r="Q117" i="18"/>
  <c r="AG117" i="18" s="1"/>
  <c r="Q60" i="18"/>
  <c r="AG60" i="18" s="1"/>
  <c r="Q59" i="18"/>
  <c r="AG59" i="18" s="1"/>
  <c r="Q73" i="18"/>
  <c r="AG73" i="18" s="1"/>
  <c r="Q8" i="18"/>
  <c r="AG8" i="18" s="1"/>
  <c r="Q57" i="18"/>
  <c r="AG57" i="18" s="1"/>
  <c r="Q36" i="18"/>
  <c r="AG36" i="18" s="1"/>
  <c r="AX36" i="18"/>
  <c r="AW36" i="18"/>
  <c r="Q17" i="18"/>
  <c r="AG17" i="18" s="1"/>
  <c r="Q72" i="18"/>
  <c r="AG72" i="18" s="1"/>
  <c r="Q110" i="18"/>
  <c r="AG110" i="18" s="1"/>
  <c r="Q157" i="18"/>
  <c r="AG157" i="18" s="1"/>
  <c r="Q44" i="18"/>
  <c r="AG44" i="18" s="1"/>
  <c r="F2" i="19"/>
  <c r="F1" i="19"/>
  <c r="C3" i="13"/>
  <c r="C2" i="13"/>
  <c r="C3" i="18"/>
  <c r="C2" i="18"/>
  <c r="C1" i="18"/>
  <c r="H23" i="25"/>
  <c r="Q111" i="18"/>
  <c r="AG111" i="18" s="1"/>
  <c r="Q96" i="18"/>
  <c r="AG96" i="18" s="1"/>
  <c r="W31" i="18"/>
  <c r="AZ45" i="18"/>
  <c r="R45" i="18"/>
  <c r="V45" i="18" s="1"/>
  <c r="AL45" i="18" s="1"/>
  <c r="W145" i="18"/>
  <c r="AZ31" i="18"/>
  <c r="R31" i="18"/>
  <c r="V31" i="18" s="1"/>
  <c r="AL31" i="18" s="1"/>
  <c r="W62" i="18"/>
  <c r="AZ145" i="18"/>
  <c r="R145" i="18"/>
  <c r="V145" i="18" s="1"/>
  <c r="AL145" i="18" s="1"/>
  <c r="W64" i="18"/>
  <c r="AZ146" i="18"/>
  <c r="R146" i="18"/>
  <c r="T146" i="18" s="1"/>
  <c r="AK146" i="18" s="1"/>
  <c r="AZ134" i="18"/>
  <c r="R134" i="18"/>
  <c r="T134" i="18" s="1"/>
  <c r="AK134" i="18" s="1"/>
  <c r="W146" i="18"/>
  <c r="W134" i="18"/>
  <c r="AZ62" i="18"/>
  <c r="R62" i="18"/>
  <c r="V62" i="18" s="1"/>
  <c r="AL62" i="18" s="1"/>
  <c r="W45" i="18"/>
  <c r="AZ64" i="18"/>
  <c r="R64" i="18"/>
  <c r="T64" i="18" s="1"/>
  <c r="AK64" i="18" s="1"/>
  <c r="AA19" i="25"/>
  <c r="AD19" i="25" s="1"/>
  <c r="AE19" i="25" s="1"/>
  <c r="F1" i="25"/>
  <c r="G1" i="25" s="1"/>
  <c r="H1" i="25" s="1"/>
  <c r="I1" i="25" s="1"/>
  <c r="J1" i="25" s="1"/>
  <c r="K1" i="25" s="1"/>
  <c r="AB23" i="25"/>
  <c r="X23" i="25"/>
  <c r="D23" i="25"/>
  <c r="G20" i="25"/>
  <c r="J20" i="25" s="1"/>
  <c r="G8" i="25"/>
  <c r="AA10" i="25"/>
  <c r="AD10" i="25" s="1"/>
  <c r="G11" i="25"/>
  <c r="J11" i="25" s="1"/>
  <c r="AA14" i="25"/>
  <c r="AD14" i="25" s="1"/>
  <c r="AE14" i="25" s="1"/>
  <c r="G15" i="25"/>
  <c r="J15" i="25" s="1"/>
  <c r="AA18" i="25"/>
  <c r="AD18" i="25" s="1"/>
  <c r="AE18" i="25" s="1"/>
  <c r="G19" i="25"/>
  <c r="J19" i="25" s="1"/>
  <c r="AA22" i="25"/>
  <c r="AD22" i="25" s="1"/>
  <c r="AE22" i="25" s="1"/>
  <c r="Z8" i="25"/>
  <c r="AC8" i="25" s="1"/>
  <c r="AA9" i="25"/>
  <c r="AD9" i="25" s="1"/>
  <c r="AE9" i="25" s="1"/>
  <c r="G10" i="25"/>
  <c r="J10" i="25" s="1"/>
  <c r="I29" i="25" s="1"/>
  <c r="AA13" i="25"/>
  <c r="AD13" i="25" s="1"/>
  <c r="AE13" i="25" s="1"/>
  <c r="G14" i="25"/>
  <c r="J14" i="25" s="1"/>
  <c r="AA17" i="25"/>
  <c r="G18" i="25"/>
  <c r="J18" i="25" s="1"/>
  <c r="AA21" i="25"/>
  <c r="AD21" i="25" s="1"/>
  <c r="AE21" i="25" s="1"/>
  <c r="G22" i="25"/>
  <c r="J22" i="25" s="1"/>
  <c r="F8" i="25"/>
  <c r="I8" i="25" s="1"/>
  <c r="I23" i="25" s="1"/>
  <c r="AA8" i="25"/>
  <c r="G9" i="25"/>
  <c r="J9" i="25" s="1"/>
  <c r="AA12" i="25"/>
  <c r="AD12" i="25" s="1"/>
  <c r="AE12" i="25" s="1"/>
  <c r="G13" i="25"/>
  <c r="J13" i="25" s="1"/>
  <c r="AA16" i="25"/>
  <c r="AD16" i="25" s="1"/>
  <c r="AE16" i="25" s="1"/>
  <c r="G17" i="25"/>
  <c r="J17" i="25" s="1"/>
  <c r="AA20" i="25"/>
  <c r="AD20" i="25" s="1"/>
  <c r="AE20" i="25" s="1"/>
  <c r="G21" i="25"/>
  <c r="J21" i="25" s="1"/>
  <c r="AA11" i="25"/>
  <c r="AD11" i="25" s="1"/>
  <c r="AE11" i="25" s="1"/>
  <c r="G12" i="25"/>
  <c r="J12" i="25" s="1"/>
  <c r="AA15" i="25"/>
  <c r="AD15" i="25" s="1"/>
  <c r="AE15" i="25" s="1"/>
  <c r="G16" i="25"/>
  <c r="J16" i="25" s="1"/>
  <c r="J186" i="18" l="1"/>
  <c r="K186" i="18" s="1"/>
  <c r="N23" i="13"/>
  <c r="M23" i="13"/>
  <c r="C23" i="13"/>
  <c r="S23" i="13"/>
  <c r="K23" i="13"/>
  <c r="G23" i="13"/>
  <c r="J184" i="18"/>
  <c r="K184" i="18" s="1"/>
  <c r="J185" i="18"/>
  <c r="K185" i="18" s="1"/>
  <c r="J176" i="18"/>
  <c r="K176" i="18" s="1"/>
  <c r="J190" i="18"/>
  <c r="K190" i="18" s="1"/>
  <c r="J188" i="18"/>
  <c r="K188" i="18" s="1"/>
  <c r="J175" i="18"/>
  <c r="K175" i="18" s="1"/>
  <c r="C6" i="13"/>
  <c r="G28" i="13"/>
  <c r="N28" i="13"/>
  <c r="C28" i="13"/>
  <c r="S28" i="13"/>
  <c r="M28" i="13"/>
  <c r="K28" i="13"/>
  <c r="J183" i="18"/>
  <c r="K183" i="18" s="1"/>
  <c r="J161" i="18"/>
  <c r="K161" i="18" s="1"/>
  <c r="AE161" i="18" s="1"/>
  <c r="J192" i="18"/>
  <c r="K192" i="18" s="1"/>
  <c r="J182" i="18"/>
  <c r="K182" i="18" s="1"/>
  <c r="J181" i="18"/>
  <c r="K181" i="18" s="1"/>
  <c r="J191" i="18"/>
  <c r="K191" i="18" s="1"/>
  <c r="J179" i="18"/>
  <c r="K179" i="18" s="1"/>
  <c r="J180" i="18"/>
  <c r="K180" i="18" s="1"/>
  <c r="J177" i="18"/>
  <c r="K177" i="18" s="1"/>
  <c r="J178" i="18"/>
  <c r="K178" i="18" s="1"/>
  <c r="J114" i="18"/>
  <c r="J18" i="18"/>
  <c r="K18" i="18" s="1"/>
  <c r="AE18" i="18" s="1"/>
  <c r="J69" i="18"/>
  <c r="K69" i="18" s="1"/>
  <c r="AE69" i="18" s="1"/>
  <c r="J57" i="18"/>
  <c r="K57" i="18" s="1"/>
  <c r="AE57" i="18" s="1"/>
  <c r="J19" i="18"/>
  <c r="K19" i="18" s="1"/>
  <c r="AE19" i="18" s="1"/>
  <c r="J118" i="18"/>
  <c r="K7" i="13"/>
  <c r="G7" i="13"/>
  <c r="N7" i="13"/>
  <c r="C7" i="13"/>
  <c r="J99" i="18"/>
  <c r="J160" i="18"/>
  <c r="J102" i="18"/>
  <c r="J107" i="18"/>
  <c r="J43" i="18"/>
  <c r="J121" i="18"/>
  <c r="J74" i="18"/>
  <c r="J116" i="18"/>
  <c r="J156" i="18"/>
  <c r="J155" i="18"/>
  <c r="J46" i="18"/>
  <c r="J14" i="18"/>
  <c r="J97" i="18"/>
  <c r="J123" i="18"/>
  <c r="J9" i="18"/>
  <c r="J159" i="18"/>
  <c r="J68" i="18"/>
  <c r="K68" i="18" s="1"/>
  <c r="AE68" i="18" s="1"/>
  <c r="J108" i="18"/>
  <c r="K108" i="18" s="1"/>
  <c r="J73" i="18"/>
  <c r="K73" i="18" s="1"/>
  <c r="AE73" i="18" s="1"/>
  <c r="J142" i="18"/>
  <c r="J101" i="18"/>
  <c r="K101" i="18" s="1"/>
  <c r="AE101" i="18" s="1"/>
  <c r="J127" i="18"/>
  <c r="J49" i="18"/>
  <c r="J113" i="18"/>
  <c r="J25" i="18"/>
  <c r="J171" i="18"/>
  <c r="J42" i="18"/>
  <c r="J167" i="18"/>
  <c r="J96" i="18"/>
  <c r="K96" i="18" s="1"/>
  <c r="AE96" i="18" s="1"/>
  <c r="J75" i="18"/>
  <c r="J145" i="18"/>
  <c r="K145" i="18" s="1"/>
  <c r="AE145" i="18" s="1"/>
  <c r="J126" i="18"/>
  <c r="J45" i="18"/>
  <c r="K45" i="18" s="1"/>
  <c r="AE45" i="18" s="1"/>
  <c r="J129" i="18"/>
  <c r="J60" i="18"/>
  <c r="K60" i="18" s="1"/>
  <c r="AE60" i="18" s="1"/>
  <c r="J117" i="18"/>
  <c r="K117" i="18" s="1"/>
  <c r="AE117" i="18" s="1"/>
  <c r="J85" i="18"/>
  <c r="J31" i="18"/>
  <c r="K31" i="18" s="1"/>
  <c r="AE31" i="18" s="1"/>
  <c r="J92" i="18"/>
  <c r="J77" i="18"/>
  <c r="J112" i="18"/>
  <c r="J30" i="18"/>
  <c r="J38" i="18"/>
  <c r="J63" i="18"/>
  <c r="K63" i="18" s="1"/>
  <c r="AE63" i="18" s="1"/>
  <c r="J64" i="18"/>
  <c r="K64" i="18" s="1"/>
  <c r="AE64" i="18" s="1"/>
  <c r="J50" i="18"/>
  <c r="J56" i="18"/>
  <c r="J95" i="18"/>
  <c r="J26" i="18"/>
  <c r="J24" i="18"/>
  <c r="J59" i="18"/>
  <c r="K59" i="18" s="1"/>
  <c r="AE59" i="18" s="1"/>
  <c r="J44" i="18"/>
  <c r="K44" i="18" s="1"/>
  <c r="AE44" i="18" s="1"/>
  <c r="J109" i="18"/>
  <c r="K109" i="18" s="1"/>
  <c r="AE109" i="18" s="1"/>
  <c r="J90" i="18"/>
  <c r="J139" i="18"/>
  <c r="K139" i="18" s="1"/>
  <c r="AE139" i="18" s="1"/>
  <c r="J66" i="18"/>
  <c r="J76" i="18"/>
  <c r="J134" i="18"/>
  <c r="K134" i="18" s="1"/>
  <c r="AE134" i="18" s="1"/>
  <c r="J72" i="18"/>
  <c r="K72" i="18" s="1"/>
  <c r="AE72" i="18" s="1"/>
  <c r="J143" i="18"/>
  <c r="J37" i="18"/>
  <c r="J91" i="18"/>
  <c r="J111" i="18"/>
  <c r="K111" i="18" s="1"/>
  <c r="AE111" i="18" s="1"/>
  <c r="J157" i="18"/>
  <c r="K157" i="18" s="1"/>
  <c r="AE157" i="18" s="1"/>
  <c r="J110" i="18"/>
  <c r="K110" i="18" s="1"/>
  <c r="AE110" i="18" s="1"/>
  <c r="C15" i="13"/>
  <c r="K15" i="13"/>
  <c r="N15" i="13"/>
  <c r="S15" i="13"/>
  <c r="M15" i="13"/>
  <c r="G15" i="13"/>
  <c r="K12" i="18"/>
  <c r="I36" i="25"/>
  <c r="K93" i="18"/>
  <c r="K6" i="13"/>
  <c r="K8" i="13"/>
  <c r="C8" i="13"/>
  <c r="G8" i="13"/>
  <c r="G6" i="13"/>
  <c r="K174" i="18"/>
  <c r="K173" i="18"/>
  <c r="AE173" i="18" s="1"/>
  <c r="K128" i="18"/>
  <c r="AE128" i="18" s="1"/>
  <c r="AF20" i="25"/>
  <c r="I35" i="25"/>
  <c r="AF16" i="25"/>
  <c r="I30" i="25"/>
  <c r="AF11" i="25"/>
  <c r="AE10" i="25"/>
  <c r="AF10" i="25"/>
  <c r="I41" i="25"/>
  <c r="AF22" i="25"/>
  <c r="I34" i="25"/>
  <c r="AF15" i="25"/>
  <c r="I32" i="25"/>
  <c r="AF13" i="25"/>
  <c r="I31" i="25"/>
  <c r="AF12" i="25"/>
  <c r="I28" i="25"/>
  <c r="AF9" i="25"/>
  <c r="I37" i="25"/>
  <c r="AF18" i="25"/>
  <c r="I38" i="25"/>
  <c r="AF19" i="25"/>
  <c r="I40" i="25"/>
  <c r="AF21" i="25"/>
  <c r="I33" i="25"/>
  <c r="AF14" i="25"/>
  <c r="V1" i="25"/>
  <c r="W1" i="25" s="1"/>
  <c r="X1" i="25" s="1"/>
  <c r="Y1" i="25" s="1"/>
  <c r="Z1" i="25" s="1"/>
  <c r="AA1" i="25" s="1"/>
  <c r="AB1" i="25" s="1"/>
  <c r="AC1" i="25" s="1"/>
  <c r="AD1" i="25" s="1"/>
  <c r="AE1" i="25" s="1"/>
  <c r="AF1" i="25" s="1"/>
  <c r="L1" i="25"/>
  <c r="M1" i="25" s="1"/>
  <c r="N1" i="25" s="1"/>
  <c r="O1" i="25" s="1"/>
  <c r="P1" i="25" s="1"/>
  <c r="Q1" i="25" s="1"/>
  <c r="R1" i="25" s="1"/>
  <c r="S1" i="25" s="1"/>
  <c r="T1" i="25" s="1"/>
  <c r="U1" i="25" s="1"/>
  <c r="N105" i="18"/>
  <c r="AF105" i="18" s="1"/>
  <c r="H173" i="18"/>
  <c r="AD173" i="18" s="1"/>
  <c r="K79" i="18"/>
  <c r="AE79" i="18" s="1"/>
  <c r="H79" i="18"/>
  <c r="AD79" i="18" s="1"/>
  <c r="K104" i="18"/>
  <c r="AE104" i="18" s="1"/>
  <c r="K22" i="18"/>
  <c r="AE22" i="18" s="1"/>
  <c r="K138" i="18"/>
  <c r="AE138" i="18" s="1"/>
  <c r="H140" i="18"/>
  <c r="AD140" i="18" s="1"/>
  <c r="K115" i="18"/>
  <c r="AE115" i="18" s="1"/>
  <c r="H29" i="18"/>
  <c r="AD29" i="18" s="1"/>
  <c r="H131" i="18"/>
  <c r="AD131" i="18" s="1"/>
  <c r="K170" i="18"/>
  <c r="AE170" i="18" s="1"/>
  <c r="H104" i="18"/>
  <c r="AD104" i="18" s="1"/>
  <c r="K140" i="18"/>
  <c r="AE140" i="18" s="1"/>
  <c r="H138" i="18"/>
  <c r="AD138" i="18" s="1"/>
  <c r="K40" i="18"/>
  <c r="AE40" i="18" s="1"/>
  <c r="H115" i="18"/>
  <c r="AD115" i="18" s="1"/>
  <c r="K131" i="18"/>
  <c r="AE131" i="18" s="1"/>
  <c r="H22" i="18"/>
  <c r="AD22" i="18" s="1"/>
  <c r="H40" i="18"/>
  <c r="AD40" i="18" s="1"/>
  <c r="K29" i="18"/>
  <c r="AE29" i="18" s="1"/>
  <c r="H170" i="18"/>
  <c r="AD170" i="18" s="1"/>
  <c r="H16" i="18"/>
  <c r="AD16" i="18" s="1"/>
  <c r="K16" i="18"/>
  <c r="AE16" i="18" s="1"/>
  <c r="K55" i="18"/>
  <c r="AE55" i="18" s="1"/>
  <c r="H55" i="18"/>
  <c r="AD55" i="18" s="1"/>
  <c r="H51" i="18"/>
  <c r="AD51" i="18" s="1"/>
  <c r="H70" i="18"/>
  <c r="AD70" i="18" s="1"/>
  <c r="K51" i="18"/>
  <c r="AE51" i="18" s="1"/>
  <c r="K70" i="18"/>
  <c r="AE70" i="18" s="1"/>
  <c r="H119" i="18"/>
  <c r="AD119" i="18" s="1"/>
  <c r="H136" i="18"/>
  <c r="AD136" i="18" s="1"/>
  <c r="H71" i="18"/>
  <c r="AD71" i="18" s="1"/>
  <c r="H162" i="18"/>
  <c r="AD162" i="18" s="1"/>
  <c r="H158" i="18"/>
  <c r="AD158" i="18" s="1"/>
  <c r="H88" i="18"/>
  <c r="AD88" i="18" s="1"/>
  <c r="H103" i="18"/>
  <c r="AD103" i="18" s="1"/>
  <c r="H78" i="18"/>
  <c r="AD78" i="18" s="1"/>
  <c r="K88" i="18"/>
  <c r="AE88" i="18" s="1"/>
  <c r="K78" i="18"/>
  <c r="AE78" i="18" s="1"/>
  <c r="K119" i="18"/>
  <c r="AE119" i="18" s="1"/>
  <c r="K136" i="18"/>
  <c r="AE136" i="18" s="1"/>
  <c r="K71" i="18"/>
  <c r="AE71" i="18" s="1"/>
  <c r="K162" i="18"/>
  <c r="AE162" i="18" s="1"/>
  <c r="K158" i="18"/>
  <c r="AE158" i="18" s="1"/>
  <c r="K103" i="18"/>
  <c r="AE103" i="18" s="1"/>
  <c r="H135" i="18"/>
  <c r="AD135" i="18" s="1"/>
  <c r="H120" i="18"/>
  <c r="AD120" i="18" s="1"/>
  <c r="H161" i="18"/>
  <c r="AD161" i="18" s="1"/>
  <c r="H125" i="18"/>
  <c r="AD125" i="18" s="1"/>
  <c r="H89" i="18"/>
  <c r="AD89" i="18" s="1"/>
  <c r="H15" i="18"/>
  <c r="AD15" i="18" s="1"/>
  <c r="H105" i="18"/>
  <c r="AD105" i="18" s="1"/>
  <c r="K135" i="18"/>
  <c r="AE135" i="18" s="1"/>
  <c r="K120" i="18"/>
  <c r="AE120" i="18" s="1"/>
  <c r="K125" i="18"/>
  <c r="AE125" i="18" s="1"/>
  <c r="K89" i="18"/>
  <c r="AE89" i="18" s="1"/>
  <c r="K15" i="18"/>
  <c r="AE15" i="18" s="1"/>
  <c r="K105" i="18"/>
  <c r="AE105" i="18" s="1"/>
  <c r="AI134" i="18"/>
  <c r="AI62" i="18"/>
  <c r="AD17" i="25"/>
  <c r="AE17" i="25" s="1"/>
  <c r="K36" i="18"/>
  <c r="AE36" i="18" s="1"/>
  <c r="AI31" i="18"/>
  <c r="AI146" i="18"/>
  <c r="AI45" i="18"/>
  <c r="AI145" i="18"/>
  <c r="AI64" i="18"/>
  <c r="H17" i="18"/>
  <c r="AD17" i="18" s="1"/>
  <c r="K17" i="18"/>
  <c r="AE17" i="18" s="1"/>
  <c r="C19" i="13"/>
  <c r="Q146" i="18"/>
  <c r="AG146" i="18" s="1"/>
  <c r="N8" i="13"/>
  <c r="Q31" i="18"/>
  <c r="AG31" i="18" s="1"/>
  <c r="Q145" i="18"/>
  <c r="AG145" i="18" s="1"/>
  <c r="Q134" i="18"/>
  <c r="AG134" i="18" s="1"/>
  <c r="Q64" i="18"/>
  <c r="AG64" i="18" s="1"/>
  <c r="Q62" i="18"/>
  <c r="AG62" i="18" s="1"/>
  <c r="Q45" i="18"/>
  <c r="AG45" i="18" s="1"/>
  <c r="T45" i="18"/>
  <c r="AK45" i="18" s="1"/>
  <c r="V146" i="18"/>
  <c r="AL146" i="18" s="1"/>
  <c r="V134" i="18"/>
  <c r="AL134" i="18" s="1"/>
  <c r="T145" i="18"/>
  <c r="AK145" i="18" s="1"/>
  <c r="V64" i="18"/>
  <c r="AL64" i="18" s="1"/>
  <c r="T31" i="18"/>
  <c r="AK31" i="18" s="1"/>
  <c r="T62" i="18"/>
  <c r="AK62" i="18" s="1"/>
  <c r="K20" i="25"/>
  <c r="I39" i="25"/>
  <c r="AR85" i="18"/>
  <c r="AT85" i="18" s="1"/>
  <c r="AR52" i="18"/>
  <c r="AT52" i="18" s="1"/>
  <c r="AR165" i="18"/>
  <c r="AT165" i="18" s="1"/>
  <c r="AR154" i="18"/>
  <c r="AT154" i="18" s="1"/>
  <c r="AR80" i="18"/>
  <c r="AT80" i="18" s="1"/>
  <c r="AR31" i="18"/>
  <c r="AR7" i="18"/>
  <c r="AT7" i="18" s="1"/>
  <c r="AR100" i="18"/>
  <c r="AR148" i="18"/>
  <c r="AR151" i="18"/>
  <c r="AR114" i="18"/>
  <c r="AR26" i="18"/>
  <c r="AR90" i="18"/>
  <c r="AR56" i="18"/>
  <c r="AR142" i="18"/>
  <c r="AR75" i="18"/>
  <c r="AR28" i="18"/>
  <c r="AR133" i="18"/>
  <c r="AR64" i="18"/>
  <c r="AR21" i="18"/>
  <c r="AR137" i="18"/>
  <c r="AR9" i="18"/>
  <c r="AR10" i="18"/>
  <c r="AT10" i="18" s="1"/>
  <c r="AR77" i="18"/>
  <c r="AR122" i="18"/>
  <c r="AR123" i="18"/>
  <c r="AR38" i="18"/>
  <c r="AR112" i="18"/>
  <c r="AR49" i="18"/>
  <c r="AR50" i="18"/>
  <c r="AR166" i="18"/>
  <c r="AR91" i="18"/>
  <c r="AR130" i="18"/>
  <c r="AT130" i="18" s="1"/>
  <c r="AR54" i="18"/>
  <c r="AR116" i="18"/>
  <c r="AR143" i="18"/>
  <c r="AR27" i="18"/>
  <c r="AT27" i="18" s="1"/>
  <c r="AR82" i="18"/>
  <c r="AT82" i="18" s="1"/>
  <c r="AR24" i="18"/>
  <c r="AR159" i="18"/>
  <c r="AR144" i="18"/>
  <c r="AR132" i="18"/>
  <c r="AR160" i="18"/>
  <c r="AR145" i="18"/>
  <c r="AR13" i="18"/>
  <c r="AR87" i="18"/>
  <c r="AR150" i="18"/>
  <c r="AR141" i="18"/>
  <c r="AR42" i="18"/>
  <c r="AR41" i="18"/>
  <c r="AR168" i="18"/>
  <c r="AR84" i="18"/>
  <c r="AR45" i="18"/>
  <c r="AR134" i="18"/>
  <c r="AR147" i="18"/>
  <c r="AR46" i="18"/>
  <c r="AR86" i="18"/>
  <c r="AR11" i="18"/>
  <c r="AR102" i="18"/>
  <c r="AR124" i="18"/>
  <c r="AR74" i="18"/>
  <c r="AR66" i="18"/>
  <c r="AT66" i="18" s="1"/>
  <c r="AR171" i="18"/>
  <c r="AR163" i="18"/>
  <c r="AT163" i="18" s="1"/>
  <c r="AR153" i="18"/>
  <c r="AR169" i="18"/>
  <c r="AT169" i="18" s="1"/>
  <c r="AR92" i="18"/>
  <c r="AR107" i="18"/>
  <c r="AR43" i="18"/>
  <c r="AR172" i="18"/>
  <c r="AR62" i="18"/>
  <c r="AR146" i="18"/>
  <c r="AR155" i="18"/>
  <c r="AR99" i="18"/>
  <c r="AR121" i="18"/>
  <c r="AR156" i="18"/>
  <c r="AR48" i="18"/>
  <c r="AR149" i="18"/>
  <c r="AR23" i="18"/>
  <c r="AR39" i="18"/>
  <c r="AR65" i="18"/>
  <c r="AR126" i="18"/>
  <c r="AR152" i="18"/>
  <c r="AR127" i="18"/>
  <c r="AR113" i="18"/>
  <c r="AR164" i="18"/>
  <c r="AR25" i="18"/>
  <c r="AR14" i="18"/>
  <c r="AT14" i="18" s="1"/>
  <c r="AR167" i="18"/>
  <c r="AR129" i="18"/>
  <c r="AR53" i="18"/>
  <c r="AR76" i="18"/>
  <c r="AR81" i="18"/>
  <c r="AR118" i="18"/>
  <c r="AR106" i="18"/>
  <c r="AR67" i="18"/>
  <c r="AR94" i="18"/>
  <c r="AR83" i="18"/>
  <c r="AR95" i="18"/>
  <c r="AR61" i="18"/>
  <c r="AR44" i="18"/>
  <c r="AR30" i="18"/>
  <c r="AR97" i="18"/>
  <c r="AR37" i="18"/>
  <c r="K16" i="25"/>
  <c r="K21" i="25"/>
  <c r="K13" i="25"/>
  <c r="N70" i="18" s="1"/>
  <c r="AF70" i="18" s="1"/>
  <c r="K22" i="25"/>
  <c r="K14" i="25"/>
  <c r="Z23" i="25"/>
  <c r="AC23" i="25"/>
  <c r="K15" i="25"/>
  <c r="J8" i="25"/>
  <c r="G23" i="25"/>
  <c r="K12" i="25"/>
  <c r="N173" i="18" s="1"/>
  <c r="AF173" i="18" s="1"/>
  <c r="K17" i="25"/>
  <c r="K9" i="25"/>
  <c r="AA23" i="25"/>
  <c r="AD8" i="25"/>
  <c r="K18" i="25"/>
  <c r="N115" i="18" s="1"/>
  <c r="AF115" i="18" s="1"/>
  <c r="K10" i="25"/>
  <c r="K19" i="25"/>
  <c r="K11" i="25"/>
  <c r="O23" i="13" l="1"/>
  <c r="AD23" i="13" s="1"/>
  <c r="O28" i="13"/>
  <c r="AD28" i="13" s="1"/>
  <c r="O15" i="13"/>
  <c r="AD15" i="13" s="1"/>
  <c r="AF17" i="25"/>
  <c r="I27" i="25"/>
  <c r="AF8" i="25"/>
  <c r="AF23" i="25" s="1"/>
  <c r="M5" i="18" s="1"/>
  <c r="N117" i="18"/>
  <c r="AF117" i="18" s="1"/>
  <c r="N157" i="18"/>
  <c r="AF157" i="18" s="1"/>
  <c r="N139" i="18"/>
  <c r="AF139" i="18" s="1"/>
  <c r="N101" i="18"/>
  <c r="AF101" i="18" s="1"/>
  <c r="N110" i="18"/>
  <c r="AF110" i="18" s="1"/>
  <c r="N45" i="18"/>
  <c r="AF45" i="18" s="1"/>
  <c r="N36" i="18"/>
  <c r="AF36" i="18" s="1"/>
  <c r="N59" i="18"/>
  <c r="AF59" i="18" s="1"/>
  <c r="N96" i="18"/>
  <c r="AF96" i="18" s="1"/>
  <c r="N60" i="18"/>
  <c r="AF60" i="18" s="1"/>
  <c r="N146" i="18"/>
  <c r="AF146" i="18" s="1"/>
  <c r="N73" i="18"/>
  <c r="AF73" i="18" s="1"/>
  <c r="N72" i="18"/>
  <c r="AF72" i="18" s="1"/>
  <c r="N145" i="18"/>
  <c r="AF145" i="18" s="1"/>
  <c r="N19" i="13"/>
  <c r="N109" i="18"/>
  <c r="AF109" i="18" s="1"/>
  <c r="N44" i="18"/>
  <c r="AF44" i="18" s="1"/>
  <c r="N134" i="18"/>
  <c r="AF134" i="18" s="1"/>
  <c r="N64" i="18"/>
  <c r="AF64" i="18" s="1"/>
  <c r="N63" i="18"/>
  <c r="AF63" i="18" s="1"/>
  <c r="N62" i="18"/>
  <c r="AF62" i="18" s="1"/>
  <c r="N31" i="18"/>
  <c r="AF31" i="18" s="1"/>
  <c r="N6" i="13"/>
  <c r="N57" i="18"/>
  <c r="AF57" i="18" s="1"/>
  <c r="N103" i="18"/>
  <c r="AF103" i="18" s="1"/>
  <c r="N104" i="18"/>
  <c r="AF104" i="18" s="1"/>
  <c r="N140" i="18"/>
  <c r="AF140" i="18" s="1"/>
  <c r="N138" i="18"/>
  <c r="AF138" i="18" s="1"/>
  <c r="N135" i="18"/>
  <c r="AF135" i="18" s="1"/>
  <c r="N136" i="18"/>
  <c r="AF136" i="18" s="1"/>
  <c r="N158" i="18"/>
  <c r="AF158" i="18" s="1"/>
  <c r="N55" i="18"/>
  <c r="AF55" i="18" s="1"/>
  <c r="N51" i="18"/>
  <c r="AF51" i="18" s="1"/>
  <c r="N88" i="18"/>
  <c r="AF88" i="18" s="1"/>
  <c r="N89" i="18"/>
  <c r="AF89" i="18" s="1"/>
  <c r="N40" i="18"/>
  <c r="AF40" i="18" s="1"/>
  <c r="N170" i="18"/>
  <c r="AF170" i="18" s="1"/>
  <c r="N161" i="18"/>
  <c r="AF161" i="18" s="1"/>
  <c r="N162" i="18"/>
  <c r="AF162" i="18" s="1"/>
  <c r="N131" i="18"/>
  <c r="AF131" i="18" s="1"/>
  <c r="N119" i="18"/>
  <c r="AF119" i="18" s="1"/>
  <c r="N125" i="18"/>
  <c r="AF125" i="18" s="1"/>
  <c r="N120" i="18"/>
  <c r="AF120" i="18" s="1"/>
  <c r="N29" i="18"/>
  <c r="AF29" i="18" s="1"/>
  <c r="N22" i="18"/>
  <c r="AF22" i="18" s="1"/>
  <c r="N79" i="18"/>
  <c r="AF79" i="18" s="1"/>
  <c r="N71" i="18"/>
  <c r="AF71" i="18" s="1"/>
  <c r="N78" i="18"/>
  <c r="AF78" i="18" s="1"/>
  <c r="H19" i="13"/>
  <c r="AT37" i="18"/>
  <c r="AR5" i="18"/>
  <c r="N111" i="18"/>
  <c r="AF111" i="18" s="1"/>
  <c r="AT26" i="18"/>
  <c r="AT114" i="18"/>
  <c r="AT24" i="18"/>
  <c r="AT123" i="18"/>
  <c r="AT75" i="18"/>
  <c r="AT56" i="18"/>
  <c r="AT90" i="18"/>
  <c r="AT148" i="18"/>
  <c r="AT143" i="18"/>
  <c r="AT54" i="18"/>
  <c r="AT91" i="18"/>
  <c r="AT50" i="18"/>
  <c r="AT142" i="18"/>
  <c r="AT171" i="18"/>
  <c r="AT112" i="18"/>
  <c r="AT25" i="18"/>
  <c r="AT113" i="18"/>
  <c r="AT152" i="18"/>
  <c r="AT65" i="18"/>
  <c r="AT121" i="18"/>
  <c r="AT43" i="18"/>
  <c r="AT102" i="18"/>
  <c r="AT147" i="18"/>
  <c r="AT160" i="18"/>
  <c r="AT97" i="18"/>
  <c r="AT30" i="18"/>
  <c r="AT83" i="18"/>
  <c r="AT76" i="18"/>
  <c r="AT53" i="18"/>
  <c r="AT94" i="18"/>
  <c r="AT106" i="18"/>
  <c r="AT118" i="18"/>
  <c r="AT129" i="18"/>
  <c r="AT23" i="18"/>
  <c r="AT48" i="18"/>
  <c r="AT156" i="18"/>
  <c r="AT99" i="18"/>
  <c r="AT62" i="18"/>
  <c r="AT74" i="18"/>
  <c r="AT11" i="18"/>
  <c r="AT46" i="18"/>
  <c r="AT84" i="18"/>
  <c r="AT87" i="18"/>
  <c r="AT13" i="18"/>
  <c r="AT132" i="18"/>
  <c r="AT77" i="18"/>
  <c r="AT9" i="18"/>
  <c r="AT44" i="18"/>
  <c r="AT95" i="18"/>
  <c r="AT167" i="18"/>
  <c r="AT164" i="18"/>
  <c r="AT127" i="18"/>
  <c r="AT126" i="18"/>
  <c r="AT39" i="18"/>
  <c r="AT149" i="18"/>
  <c r="AT92" i="18"/>
  <c r="AT124" i="18"/>
  <c r="AT86" i="18"/>
  <c r="AT134" i="18"/>
  <c r="AT42" i="18"/>
  <c r="AT144" i="18"/>
  <c r="AT116" i="18"/>
  <c r="AT137" i="18"/>
  <c r="AT133" i="18"/>
  <c r="AT151" i="18"/>
  <c r="AT100" i="18"/>
  <c r="AT61" i="18"/>
  <c r="AT67" i="18"/>
  <c r="AT81" i="18"/>
  <c r="AT155" i="18"/>
  <c r="AT146" i="18"/>
  <c r="AT172" i="18"/>
  <c r="AT107" i="18"/>
  <c r="AT153" i="18"/>
  <c r="AT45" i="18"/>
  <c r="AT168" i="18"/>
  <c r="AT41" i="18"/>
  <c r="AT141" i="18"/>
  <c r="AT150" i="18"/>
  <c r="AT145" i="18"/>
  <c r="AT159" i="18"/>
  <c r="AT166" i="18"/>
  <c r="AT49" i="18"/>
  <c r="AT38" i="18"/>
  <c r="AT122" i="18"/>
  <c r="AT21" i="18"/>
  <c r="AT64" i="18"/>
  <c r="AT28" i="18"/>
  <c r="AT31" i="18"/>
  <c r="AD23" i="25"/>
  <c r="M2" i="18" s="1"/>
  <c r="AE8" i="25"/>
  <c r="J23" i="25"/>
  <c r="M1" i="18" s="1"/>
  <c r="K8" i="25"/>
  <c r="N1" i="18" l="1"/>
  <c r="N4" i="18"/>
  <c r="N3" i="18"/>
  <c r="N2" i="18"/>
  <c r="P5" i="18"/>
  <c r="N8" i="18"/>
  <c r="AF8" i="18" s="1"/>
  <c r="N16" i="18"/>
  <c r="AF16" i="18" s="1"/>
  <c r="N15" i="18"/>
  <c r="AF15" i="18" s="1"/>
  <c r="N17" i="18"/>
  <c r="AF17" i="18" s="1"/>
  <c r="K19" i="13"/>
  <c r="AT5" i="18"/>
  <c r="J3" i="18"/>
  <c r="AL24" i="13"/>
  <c r="AL16" i="13"/>
  <c r="AL18" i="13"/>
  <c r="AL13" i="13"/>
  <c r="AL22" i="13"/>
  <c r="AL25" i="13"/>
  <c r="AL11" i="13"/>
  <c r="AL17" i="13"/>
  <c r="AL8" i="13"/>
  <c r="AL10" i="13"/>
  <c r="AL20" i="13"/>
  <c r="AL14" i="13"/>
  <c r="AL27" i="13"/>
  <c r="AL26" i="13"/>
  <c r="AL21" i="13"/>
  <c r="AL12" i="13"/>
  <c r="AL9" i="13"/>
  <c r="AO13" i="19"/>
  <c r="AO8" i="19"/>
  <c r="AO11" i="19"/>
  <c r="AO7" i="19"/>
  <c r="AO10" i="19"/>
  <c r="J65" i="18" l="1"/>
  <c r="J144" i="18"/>
  <c r="J20" i="18"/>
  <c r="J10" i="18"/>
  <c r="J67" i="18"/>
  <c r="J94" i="18"/>
  <c r="H15" i="13" s="1"/>
  <c r="I15" i="13" s="1"/>
  <c r="J52" i="18"/>
  <c r="J172" i="18"/>
  <c r="J83" i="18"/>
  <c r="J141" i="18"/>
  <c r="J130" i="18"/>
  <c r="J62" i="18"/>
  <c r="K62" i="18" s="1"/>
  <c r="AE62" i="18" s="1"/>
  <c r="J28" i="18"/>
  <c r="J165" i="18"/>
  <c r="J27" i="18"/>
  <c r="J122" i="18"/>
  <c r="J164" i="18"/>
  <c r="J7" i="18"/>
  <c r="J53" i="18"/>
  <c r="J80" i="18"/>
  <c r="J82" i="18"/>
  <c r="J133" i="18"/>
  <c r="J146" i="18"/>
  <c r="K146" i="18" s="1"/>
  <c r="AE146" i="18" s="1"/>
  <c r="J132" i="18"/>
  <c r="J21" i="18"/>
  <c r="J54" i="18"/>
  <c r="J166" i="18"/>
  <c r="J106" i="18"/>
  <c r="J86" i="18"/>
  <c r="J41" i="18"/>
  <c r="J168" i="18"/>
  <c r="J48" i="18"/>
  <c r="J137" i="18"/>
  <c r="J47" i="18"/>
  <c r="K47" i="18" s="1"/>
  <c r="AE47" i="18" s="1"/>
  <c r="J8" i="18"/>
  <c r="K8" i="18" s="1"/>
  <c r="AE8" i="18" s="1"/>
  <c r="J124" i="18"/>
  <c r="J81" i="18"/>
  <c r="J84" i="18"/>
  <c r="J13" i="18"/>
  <c r="J163" i="18"/>
  <c r="J39" i="18"/>
  <c r="J61" i="18"/>
  <c r="J169" i="18"/>
  <c r="J23" i="18"/>
  <c r="J100" i="18"/>
  <c r="N5" i="18"/>
  <c r="AO5" i="19"/>
  <c r="H23" i="13" l="1"/>
  <c r="I23" i="13" s="1"/>
  <c r="K20" i="18"/>
  <c r="AE20" i="18" s="1"/>
  <c r="H28" i="13"/>
  <c r="I28" i="13" s="1"/>
  <c r="H7" i="13"/>
  <c r="I7" i="13" s="1"/>
  <c r="AB35" i="25"/>
  <c r="AB37" i="25"/>
  <c r="AB39" i="25"/>
  <c r="AB31" i="25"/>
  <c r="S98" i="18"/>
  <c r="F21" i="18"/>
  <c r="Y21" i="18"/>
  <c r="L147" i="18"/>
  <c r="N147" i="18" s="1"/>
  <c r="AF147" i="18" s="1"/>
  <c r="F13" i="18"/>
  <c r="Y13" i="18"/>
  <c r="F7" i="18"/>
  <c r="Y7" i="18"/>
  <c r="F99" i="18"/>
  <c r="Y99" i="18"/>
  <c r="AA99" i="18"/>
  <c r="L100" i="18"/>
  <c r="N100" i="18" s="1"/>
  <c r="AF100" i="18" s="1"/>
  <c r="L156" i="18"/>
  <c r="N156" i="18" s="1"/>
  <c r="AF156" i="18" s="1"/>
  <c r="F9" i="18"/>
  <c r="Y9" i="18"/>
  <c r="L32" i="18"/>
  <c r="N32" i="18" s="1"/>
  <c r="AF32" i="18" s="1"/>
  <c r="S10" i="18"/>
  <c r="F77" i="18"/>
  <c r="Y77" i="18"/>
  <c r="AA77" i="18"/>
  <c r="F11" i="18"/>
  <c r="AA11" i="18"/>
  <c r="S87" i="18"/>
  <c r="F48" i="18"/>
  <c r="Y48" i="18"/>
  <c r="L122" i="18"/>
  <c r="N122" i="18" s="1"/>
  <c r="AF122" i="18" s="1"/>
  <c r="S123" i="18"/>
  <c r="Y102" i="18"/>
  <c r="AA102" i="18"/>
  <c r="L124" i="18"/>
  <c r="N124" i="18" s="1"/>
  <c r="AF124" i="18" s="1"/>
  <c r="S38" i="18"/>
  <c r="S33" i="18"/>
  <c r="Y23" i="18"/>
  <c r="AA23" i="18"/>
  <c r="L49" i="18"/>
  <c r="F39" i="18"/>
  <c r="Y39" i="18"/>
  <c r="AA39" i="18"/>
  <c r="F151" i="18"/>
  <c r="H151" i="18" s="1"/>
  <c r="AD151" i="18" s="1"/>
  <c r="Y151" i="18"/>
  <c r="L65" i="18"/>
  <c r="S66" i="18"/>
  <c r="F126" i="18"/>
  <c r="Y126" i="18"/>
  <c r="AA126" i="18"/>
  <c r="Y163" i="18"/>
  <c r="AA163" i="18"/>
  <c r="S153" i="18"/>
  <c r="L164" i="18"/>
  <c r="N164" i="18" s="1"/>
  <c r="AF164" i="18" s="1"/>
  <c r="F52" i="18"/>
  <c r="AA52" i="18"/>
  <c r="L114" i="18"/>
  <c r="N114" i="18" s="1"/>
  <c r="AF114" i="18" s="1"/>
  <c r="F165" i="18"/>
  <c r="Y165" i="18"/>
  <c r="AA165" i="18"/>
  <c r="L141" i="18"/>
  <c r="N141" i="18" s="1"/>
  <c r="AF141" i="18" s="1"/>
  <c r="S14" i="18"/>
  <c r="L42" i="18"/>
  <c r="N42" i="18" s="1"/>
  <c r="AF42" i="18" s="1"/>
  <c r="S167" i="18"/>
  <c r="F154" i="18"/>
  <c r="Y154" i="18"/>
  <c r="AA154" i="18"/>
  <c r="L91" i="18"/>
  <c r="N91" i="18" s="1"/>
  <c r="AF91" i="18" s="1"/>
  <c r="F34" i="18"/>
  <c r="H34" i="18" s="1"/>
  <c r="AD34" i="18" s="1"/>
  <c r="Y34" i="18"/>
  <c r="AA34" i="18"/>
  <c r="L26" i="18"/>
  <c r="N26" i="18" s="1"/>
  <c r="AF26" i="18" s="1"/>
  <c r="S168" i="18"/>
  <c r="Y130" i="18"/>
  <c r="AA130" i="18"/>
  <c r="L54" i="18"/>
  <c r="N54" i="18" s="1"/>
  <c r="AF54" i="18" s="1"/>
  <c r="S90" i="18"/>
  <c r="Y169" i="18"/>
  <c r="AA169" i="18"/>
  <c r="F80" i="18"/>
  <c r="Y80" i="18"/>
  <c r="L143" i="18"/>
  <c r="N143" i="18" s="1"/>
  <c r="AF143" i="18" s="1"/>
  <c r="F27" i="18"/>
  <c r="AA27" i="18"/>
  <c r="S118" i="18"/>
  <c r="S35" i="18"/>
  <c r="F35" i="18"/>
  <c r="H35" i="18" s="1"/>
  <c r="AD35" i="18" s="1"/>
  <c r="AA35" i="18"/>
  <c r="Y82" i="18"/>
  <c r="AA82" i="18"/>
  <c r="S75" i="18"/>
  <c r="S107" i="18"/>
  <c r="S58" i="18"/>
  <c r="Y58" i="18"/>
  <c r="AA58" i="18"/>
  <c r="L24" i="18"/>
  <c r="S94" i="18"/>
  <c r="S28" i="18"/>
  <c r="F28" i="18"/>
  <c r="Y28" i="18"/>
  <c r="AA28" i="18"/>
  <c r="L144" i="18"/>
  <c r="N144" i="18" s="1"/>
  <c r="AF144" i="18" s="1"/>
  <c r="S83" i="18"/>
  <c r="AA83" i="18"/>
  <c r="L95" i="18"/>
  <c r="N95" i="18" s="1"/>
  <c r="AF95" i="18" s="1"/>
  <c r="F132" i="18"/>
  <c r="AA132" i="18"/>
  <c r="Y61" i="18"/>
  <c r="AA61" i="18"/>
  <c r="S84" i="18"/>
  <c r="S43" i="18"/>
  <c r="F43" i="18"/>
  <c r="Y43" i="18"/>
  <c r="AA43" i="18"/>
  <c r="S160" i="18"/>
  <c r="F160" i="18"/>
  <c r="AA160" i="18"/>
  <c r="L30" i="18"/>
  <c r="N30" i="18" s="1"/>
  <c r="AF30" i="18" s="1"/>
  <c r="AA30" i="18"/>
  <c r="S172" i="18"/>
  <c r="L172" i="18"/>
  <c r="N172" i="18" s="1"/>
  <c r="AF172" i="18" s="1"/>
  <c r="L133" i="18"/>
  <c r="N133" i="18" s="1"/>
  <c r="AF133" i="18" s="1"/>
  <c r="Y133" i="18"/>
  <c r="S97" i="18"/>
  <c r="F97" i="18"/>
  <c r="Y97" i="18"/>
  <c r="AA97" i="18"/>
  <c r="F98" i="18"/>
  <c r="Y98" i="18"/>
  <c r="L85" i="18"/>
  <c r="AA21" i="18"/>
  <c r="AA13" i="18"/>
  <c r="S46" i="18"/>
  <c r="AA7" i="18"/>
  <c r="F155" i="18"/>
  <c r="L137" i="18"/>
  <c r="F121" i="18"/>
  <c r="Y121" i="18"/>
  <c r="AA121" i="18"/>
  <c r="S148" i="18"/>
  <c r="L148" i="18"/>
  <c r="N148" i="18" s="1"/>
  <c r="AF148" i="18" s="1"/>
  <c r="S156" i="18"/>
  <c r="AA9" i="18"/>
  <c r="F10" i="18"/>
  <c r="Y10" i="18"/>
  <c r="AA10" i="18"/>
  <c r="S86" i="18"/>
  <c r="L86" i="18"/>
  <c r="N86" i="18" s="1"/>
  <c r="AF86" i="18" s="1"/>
  <c r="Y11" i="18"/>
  <c r="F87" i="18"/>
  <c r="Y87" i="18"/>
  <c r="AA87" i="18"/>
  <c r="AA48" i="18"/>
  <c r="F123" i="18"/>
  <c r="Y123" i="18"/>
  <c r="AA123" i="18"/>
  <c r="S149" i="18"/>
  <c r="F102" i="18"/>
  <c r="S124" i="18"/>
  <c r="Y38" i="18"/>
  <c r="AA38" i="18"/>
  <c r="F33" i="18"/>
  <c r="Y33" i="18"/>
  <c r="AA33" i="18"/>
  <c r="L150" i="18"/>
  <c r="N150" i="18" s="1"/>
  <c r="AF150" i="18" s="1"/>
  <c r="F23" i="18"/>
  <c r="S112" i="18"/>
  <c r="L112" i="18"/>
  <c r="S49" i="18"/>
  <c r="S74" i="18"/>
  <c r="L74" i="18"/>
  <c r="N74" i="18" s="1"/>
  <c r="AF74" i="18" s="1"/>
  <c r="F50" i="18"/>
  <c r="Y50" i="18"/>
  <c r="AA50" i="18"/>
  <c r="AA151" i="18"/>
  <c r="S65" i="18"/>
  <c r="F66" i="18"/>
  <c r="Y66" i="18"/>
  <c r="S171" i="18"/>
  <c r="L171" i="18"/>
  <c r="N171" i="18" s="1"/>
  <c r="AF171" i="18" s="1"/>
  <c r="S152" i="18"/>
  <c r="L152" i="18"/>
  <c r="N152" i="18" s="1"/>
  <c r="AF152" i="18" s="1"/>
  <c r="F163" i="18"/>
  <c r="S127" i="18"/>
  <c r="L127" i="18"/>
  <c r="N127" i="18" s="1"/>
  <c r="AF127" i="18" s="1"/>
  <c r="F153" i="18"/>
  <c r="H153" i="18" s="1"/>
  <c r="AD153" i="18" s="1"/>
  <c r="Y153" i="18"/>
  <c r="AA153" i="18"/>
  <c r="S113" i="18"/>
  <c r="L113" i="18"/>
  <c r="N113" i="18" s="1"/>
  <c r="AF113" i="18" s="1"/>
  <c r="S164" i="18"/>
  <c r="S25" i="18"/>
  <c r="L25" i="18"/>
  <c r="N25" i="18" s="1"/>
  <c r="AF25" i="18" s="1"/>
  <c r="Y52" i="18"/>
  <c r="Y166" i="18"/>
  <c r="AA166" i="18"/>
  <c r="F141" i="18"/>
  <c r="Y141" i="18"/>
  <c r="AA141" i="18"/>
  <c r="L14" i="18"/>
  <c r="F42" i="18"/>
  <c r="AA42" i="18"/>
  <c r="L167" i="18"/>
  <c r="N167" i="18" s="1"/>
  <c r="AF167" i="18" s="1"/>
  <c r="S154" i="18"/>
  <c r="L154" i="18"/>
  <c r="N154" i="18" s="1"/>
  <c r="AF154" i="18" s="1"/>
  <c r="F41" i="18"/>
  <c r="Y41" i="18"/>
  <c r="AA41" i="18"/>
  <c r="F91" i="18"/>
  <c r="AA91" i="18"/>
  <c r="F53" i="18"/>
  <c r="AA53" i="18"/>
  <c r="S34" i="18"/>
  <c r="L34" i="18"/>
  <c r="N34" i="18" s="1"/>
  <c r="AF34" i="18" s="1"/>
  <c r="F26" i="18"/>
  <c r="Y26" i="18"/>
  <c r="AA26" i="18"/>
  <c r="L168" i="18"/>
  <c r="N168" i="18" s="1"/>
  <c r="AF168" i="18" s="1"/>
  <c r="S130" i="18"/>
  <c r="L130" i="18"/>
  <c r="N130" i="18" s="1"/>
  <c r="AF130" i="18" s="1"/>
  <c r="F54" i="18"/>
  <c r="Y54" i="18"/>
  <c r="AA54" i="18"/>
  <c r="L90" i="18"/>
  <c r="N90" i="18" s="1"/>
  <c r="AF90" i="18" s="1"/>
  <c r="L169" i="18"/>
  <c r="N169" i="18" s="1"/>
  <c r="AF169" i="18" s="1"/>
  <c r="S92" i="18"/>
  <c r="L92" i="18"/>
  <c r="N92" i="18" s="1"/>
  <c r="AF92" i="18" s="1"/>
  <c r="F116" i="18"/>
  <c r="Y116" i="18"/>
  <c r="AA116" i="18"/>
  <c r="S80" i="18"/>
  <c r="L80" i="18"/>
  <c r="N80" i="18" s="1"/>
  <c r="AF80" i="18" s="1"/>
  <c r="F143" i="18"/>
  <c r="Y143" i="18"/>
  <c r="AA143" i="18"/>
  <c r="S56" i="18"/>
  <c r="L56" i="18"/>
  <c r="N56" i="18" s="1"/>
  <c r="AF56" i="18" s="1"/>
  <c r="F76" i="18"/>
  <c r="AA76" i="18"/>
  <c r="S27" i="18"/>
  <c r="L142" i="18"/>
  <c r="N142" i="18" s="1"/>
  <c r="AF142" i="18" s="1"/>
  <c r="F81" i="18"/>
  <c r="Y81" i="18"/>
  <c r="AA81" i="18"/>
  <c r="L118" i="18"/>
  <c r="N118" i="18" s="1"/>
  <c r="AF118" i="18" s="1"/>
  <c r="L35" i="18"/>
  <c r="N35" i="18" s="1"/>
  <c r="AF35" i="18" s="1"/>
  <c r="L75" i="18"/>
  <c r="F106" i="18"/>
  <c r="AA106" i="18"/>
  <c r="Y67" i="18"/>
  <c r="AA67" i="18"/>
  <c r="L107" i="18"/>
  <c r="N107" i="18" s="1"/>
  <c r="AF107" i="18" s="1"/>
  <c r="L58" i="18"/>
  <c r="N58" i="18" s="1"/>
  <c r="AF58" i="18" s="1"/>
  <c r="F24" i="18"/>
  <c r="AA24" i="18"/>
  <c r="L94" i="18"/>
  <c r="F159" i="18"/>
  <c r="Y159" i="18"/>
  <c r="AA159" i="18"/>
  <c r="L28" i="18"/>
  <c r="N28" i="18" s="1"/>
  <c r="AF28" i="18" s="1"/>
  <c r="F144" i="18"/>
  <c r="Y144" i="18"/>
  <c r="AA144" i="18"/>
  <c r="F95" i="18"/>
  <c r="Y95" i="18"/>
  <c r="S132" i="18"/>
  <c r="L132" i="18"/>
  <c r="N132" i="18" s="1"/>
  <c r="AF132" i="18" s="1"/>
  <c r="L61" i="18"/>
  <c r="N61" i="18" s="1"/>
  <c r="AF61" i="18" s="1"/>
  <c r="L84" i="18"/>
  <c r="N84" i="18" s="1"/>
  <c r="AF84" i="18" s="1"/>
  <c r="L43" i="18"/>
  <c r="N43" i="18" s="1"/>
  <c r="AF43" i="18" s="1"/>
  <c r="L160" i="18"/>
  <c r="N160" i="18" s="1"/>
  <c r="AF160" i="18" s="1"/>
  <c r="F30" i="18"/>
  <c r="F172" i="18"/>
  <c r="Y172" i="18"/>
  <c r="AA172" i="18"/>
  <c r="F133" i="18"/>
  <c r="AA133" i="18"/>
  <c r="L97" i="18"/>
  <c r="N97" i="18" s="1"/>
  <c r="AF97" i="18" s="1"/>
  <c r="U7" i="18"/>
  <c r="S7" i="13" s="1"/>
  <c r="S155" i="18"/>
  <c r="S121" i="18"/>
  <c r="S50" i="18"/>
  <c r="S166" i="18"/>
  <c r="Y42" i="18"/>
  <c r="L129" i="18"/>
  <c r="N129" i="18" s="1"/>
  <c r="AF129" i="18" s="1"/>
  <c r="Y91" i="18"/>
  <c r="S53" i="18"/>
  <c r="S116" i="18"/>
  <c r="S76" i="18"/>
  <c r="S106" i="18"/>
  <c r="F67" i="18"/>
  <c r="Y24" i="18"/>
  <c r="S159" i="18"/>
  <c r="L83" i="18"/>
  <c r="N83" i="18" s="1"/>
  <c r="AF83" i="18" s="1"/>
  <c r="S95" i="18"/>
  <c r="Y30" i="18"/>
  <c r="B12" i="13"/>
  <c r="B24" i="13"/>
  <c r="B21" i="13"/>
  <c r="B13" i="13"/>
  <c r="B26" i="13"/>
  <c r="B27" i="13"/>
  <c r="B8" i="13"/>
  <c r="B25" i="13"/>
  <c r="B22" i="13"/>
  <c r="B11" i="13"/>
  <c r="B16" i="13"/>
  <c r="B10" i="13"/>
  <c r="B9" i="13"/>
  <c r="B17" i="13"/>
  <c r="B14" i="13"/>
  <c r="B18" i="13"/>
  <c r="B20" i="13"/>
  <c r="AA98" i="18"/>
  <c r="L98" i="18"/>
  <c r="F85" i="18"/>
  <c r="Y85" i="18"/>
  <c r="AA85" i="18"/>
  <c r="S85" i="18"/>
  <c r="L21" i="18"/>
  <c r="N21" i="18" s="1"/>
  <c r="AF21" i="18" s="1"/>
  <c r="S21" i="18"/>
  <c r="F147" i="18"/>
  <c r="H147" i="18" s="1"/>
  <c r="AD147" i="18" s="1"/>
  <c r="Y147" i="18"/>
  <c r="AA147" i="18"/>
  <c r="S147" i="18"/>
  <c r="L13" i="18"/>
  <c r="S13" i="18"/>
  <c r="F46" i="18"/>
  <c r="Y46" i="18"/>
  <c r="AA46" i="18"/>
  <c r="L46" i="18"/>
  <c r="N46" i="18" s="1"/>
  <c r="AF46" i="18" s="1"/>
  <c r="L7" i="18"/>
  <c r="S7" i="18"/>
  <c r="Y155" i="18"/>
  <c r="AA155" i="18"/>
  <c r="L155" i="18"/>
  <c r="F137" i="18"/>
  <c r="Y137" i="18"/>
  <c r="AA137" i="18"/>
  <c r="S137" i="18"/>
  <c r="L99" i="18"/>
  <c r="N99" i="18" s="1"/>
  <c r="AF99" i="18" s="1"/>
  <c r="S99" i="18"/>
  <c r="F100" i="18"/>
  <c r="Y100" i="18"/>
  <c r="AA100" i="18"/>
  <c r="S100" i="18"/>
  <c r="L121" i="18"/>
  <c r="N121" i="18" s="1"/>
  <c r="AF121" i="18" s="1"/>
  <c r="F148" i="18"/>
  <c r="H148" i="18" s="1"/>
  <c r="AD148" i="18" s="1"/>
  <c r="Y148" i="18"/>
  <c r="AA148" i="18"/>
  <c r="F156" i="18"/>
  <c r="Y156" i="18"/>
  <c r="AA156" i="18"/>
  <c r="L9" i="18"/>
  <c r="N9" i="18" s="1"/>
  <c r="AF9" i="18" s="1"/>
  <c r="S9" i="18"/>
  <c r="F32" i="18"/>
  <c r="Y32" i="18"/>
  <c r="AA32" i="18"/>
  <c r="S32" i="18"/>
  <c r="L10" i="18"/>
  <c r="N10" i="18" s="1"/>
  <c r="AF10" i="18" s="1"/>
  <c r="F86" i="18"/>
  <c r="Y86" i="18"/>
  <c r="AA86" i="18"/>
  <c r="L77" i="18"/>
  <c r="N77" i="18" s="1"/>
  <c r="AF77" i="18" s="1"/>
  <c r="S77" i="18"/>
  <c r="L11" i="18"/>
  <c r="N11" i="18" s="1"/>
  <c r="AF11" i="18" s="1"/>
  <c r="S11" i="18"/>
  <c r="L87" i="18"/>
  <c r="N87" i="18" s="1"/>
  <c r="AF87" i="18" s="1"/>
  <c r="L48" i="18"/>
  <c r="N48" i="18" s="1"/>
  <c r="AF48" i="18" s="1"/>
  <c r="S48" i="18"/>
  <c r="F122" i="18"/>
  <c r="Y122" i="18"/>
  <c r="AA122" i="18"/>
  <c r="S122" i="18"/>
  <c r="L123" i="18"/>
  <c r="N123" i="18" s="1"/>
  <c r="AF123" i="18" s="1"/>
  <c r="F149" i="18"/>
  <c r="Y149" i="18"/>
  <c r="AA149" i="18"/>
  <c r="L149" i="18"/>
  <c r="N149" i="18" s="1"/>
  <c r="AF149" i="18" s="1"/>
  <c r="L102" i="18"/>
  <c r="N102" i="18" s="1"/>
  <c r="AF102" i="18" s="1"/>
  <c r="S102" i="18"/>
  <c r="F38" i="18"/>
  <c r="L38" i="18"/>
  <c r="N38" i="18" s="1"/>
  <c r="AF38" i="18" s="1"/>
  <c r="F124" i="18"/>
  <c r="Y124" i="18"/>
  <c r="AA124" i="18"/>
  <c r="L33" i="18"/>
  <c r="N33" i="18" s="1"/>
  <c r="AF33" i="18" s="1"/>
  <c r="F150" i="18"/>
  <c r="H150" i="18" s="1"/>
  <c r="AD150" i="18" s="1"/>
  <c r="Y150" i="18"/>
  <c r="AA150" i="18"/>
  <c r="S150" i="18"/>
  <c r="L23" i="18"/>
  <c r="N23" i="18" s="1"/>
  <c r="AF23" i="18" s="1"/>
  <c r="S23" i="18"/>
  <c r="F112" i="18"/>
  <c r="Y112" i="18"/>
  <c r="AA112" i="18"/>
  <c r="F49" i="18"/>
  <c r="Y49" i="18"/>
  <c r="AA49" i="18"/>
  <c r="L39" i="18"/>
  <c r="N39" i="18" s="1"/>
  <c r="AF39" i="18" s="1"/>
  <c r="S39" i="18"/>
  <c r="F74" i="18"/>
  <c r="Y74" i="18"/>
  <c r="AA74" i="18"/>
  <c r="L50" i="18"/>
  <c r="N50" i="18" s="1"/>
  <c r="AF50" i="18" s="1"/>
  <c r="L151" i="18"/>
  <c r="N151" i="18" s="1"/>
  <c r="AF151" i="18" s="1"/>
  <c r="S151" i="18"/>
  <c r="F65" i="18"/>
  <c r="Y65" i="18"/>
  <c r="AA65" i="18"/>
  <c r="AA66" i="18"/>
  <c r="L66" i="18"/>
  <c r="N66" i="18" s="1"/>
  <c r="AF66" i="18" s="1"/>
  <c r="L126" i="18"/>
  <c r="N126" i="18" s="1"/>
  <c r="AF126" i="18" s="1"/>
  <c r="S126" i="18"/>
  <c r="F171" i="18"/>
  <c r="Y171" i="18"/>
  <c r="AA171" i="18"/>
  <c r="F152" i="18"/>
  <c r="H152" i="18" s="1"/>
  <c r="AD152" i="18" s="1"/>
  <c r="Y152" i="18"/>
  <c r="AA152" i="18"/>
  <c r="L163" i="18"/>
  <c r="N163" i="18" s="1"/>
  <c r="AF163" i="18" s="1"/>
  <c r="S163" i="18"/>
  <c r="F127" i="18"/>
  <c r="Y127" i="18"/>
  <c r="AA127" i="18"/>
  <c r="L153" i="18"/>
  <c r="N153" i="18" s="1"/>
  <c r="AF153" i="18" s="1"/>
  <c r="F113" i="18"/>
  <c r="Y113" i="18"/>
  <c r="AA113" i="18"/>
  <c r="F164" i="18"/>
  <c r="Y164" i="18"/>
  <c r="AA164" i="18"/>
  <c r="F25" i="18"/>
  <c r="Y25" i="18"/>
  <c r="AA25" i="18"/>
  <c r="L52" i="18"/>
  <c r="N52" i="18" s="1"/>
  <c r="AF52" i="18" s="1"/>
  <c r="S52" i="18"/>
  <c r="F114" i="18"/>
  <c r="Y114" i="18"/>
  <c r="AA114" i="18"/>
  <c r="S114" i="18"/>
  <c r="L165" i="18"/>
  <c r="N165" i="18" s="1"/>
  <c r="AF165" i="18" s="1"/>
  <c r="S165" i="18"/>
  <c r="F166" i="18"/>
  <c r="L166" i="18"/>
  <c r="N166" i="18" s="1"/>
  <c r="AF166" i="18" s="1"/>
  <c r="S141" i="18"/>
  <c r="Y14" i="18"/>
  <c r="AA14" i="18"/>
  <c r="S42" i="18"/>
  <c r="F167" i="18"/>
  <c r="Y167" i="18"/>
  <c r="AA167" i="18"/>
  <c r="L41" i="18"/>
  <c r="N41" i="18" s="1"/>
  <c r="AF41" i="18" s="1"/>
  <c r="S41" i="18"/>
  <c r="F129" i="18"/>
  <c r="Y129" i="18"/>
  <c r="AA129" i="18"/>
  <c r="S129" i="18"/>
  <c r="S91" i="18"/>
  <c r="Y53" i="18"/>
  <c r="L53" i="18"/>
  <c r="N53" i="18" s="1"/>
  <c r="AF53" i="18" s="1"/>
  <c r="S26" i="18"/>
  <c r="F168" i="18"/>
  <c r="Y168" i="18"/>
  <c r="AA168" i="18"/>
  <c r="F130" i="18"/>
  <c r="S54" i="18"/>
  <c r="F90" i="18"/>
  <c r="Y90" i="18"/>
  <c r="AA90" i="18"/>
  <c r="F169" i="18"/>
  <c r="S169" i="18"/>
  <c r="F92" i="18"/>
  <c r="Y92" i="18"/>
  <c r="AA92" i="18"/>
  <c r="L116" i="18"/>
  <c r="N116" i="18" s="1"/>
  <c r="AF116" i="18" s="1"/>
  <c r="AA80" i="18"/>
  <c r="S143" i="18"/>
  <c r="F56" i="18"/>
  <c r="Y56" i="18"/>
  <c r="AA56" i="18"/>
  <c r="Y76" i="18"/>
  <c r="L76" i="18"/>
  <c r="N76" i="18" s="1"/>
  <c r="AF76" i="18" s="1"/>
  <c r="Y27" i="18"/>
  <c r="L27" i="18"/>
  <c r="N27" i="18" s="1"/>
  <c r="AF27" i="18" s="1"/>
  <c r="F142" i="18"/>
  <c r="Y142" i="18"/>
  <c r="AA142" i="18"/>
  <c r="S142" i="18"/>
  <c r="L81" i="18"/>
  <c r="N81" i="18" s="1"/>
  <c r="AF81" i="18" s="1"/>
  <c r="S81" i="18"/>
  <c r="F118" i="18"/>
  <c r="Y118" i="18"/>
  <c r="AA118" i="18"/>
  <c r="Y35" i="18"/>
  <c r="F82" i="18"/>
  <c r="L82" i="18"/>
  <c r="N82" i="18" s="1"/>
  <c r="AF82" i="18" s="1"/>
  <c r="S82" i="18"/>
  <c r="F75" i="18"/>
  <c r="Y75" i="18"/>
  <c r="AA75" i="18"/>
  <c r="Y106" i="18"/>
  <c r="L106" i="18"/>
  <c r="N106" i="18" s="1"/>
  <c r="AF106" i="18" s="1"/>
  <c r="L67" i="18"/>
  <c r="N67" i="18" s="1"/>
  <c r="AF67" i="18" s="1"/>
  <c r="S67" i="18"/>
  <c r="F107" i="18"/>
  <c r="Y107" i="18"/>
  <c r="AA107" i="18"/>
  <c r="F58" i="18"/>
  <c r="S24" i="18"/>
  <c r="F94" i="18"/>
  <c r="Y94" i="18"/>
  <c r="AA94" i="18"/>
  <c r="L159" i="18"/>
  <c r="N159" i="18" s="1"/>
  <c r="AF159" i="18" s="1"/>
  <c r="S144" i="18"/>
  <c r="F83" i="18"/>
  <c r="Y83" i="18"/>
  <c r="AA95" i="18"/>
  <c r="Y132" i="18"/>
  <c r="F61" i="18"/>
  <c r="S61" i="18"/>
  <c r="F84" i="18"/>
  <c r="Y84" i="18"/>
  <c r="AA84" i="18"/>
  <c r="Y160" i="18"/>
  <c r="S30" i="18"/>
  <c r="S133" i="18"/>
  <c r="D23" i="13" l="1"/>
  <c r="W23" i="13"/>
  <c r="Y23" i="13"/>
  <c r="Q23" i="13"/>
  <c r="N137" i="18"/>
  <c r="AF137" i="18" s="1"/>
  <c r="J23" i="13"/>
  <c r="L23" i="13" s="1"/>
  <c r="Q28" i="13"/>
  <c r="D28" i="13"/>
  <c r="Y28" i="13"/>
  <c r="W28" i="13"/>
  <c r="N24" i="18"/>
  <c r="AF24" i="18" s="1"/>
  <c r="J28" i="13"/>
  <c r="L28" i="13" s="1"/>
  <c r="W7" i="13"/>
  <c r="Q7" i="13"/>
  <c r="D7" i="13"/>
  <c r="J7" i="13"/>
  <c r="L7" i="13" s="1"/>
  <c r="Y7" i="13"/>
  <c r="Y15" i="13"/>
  <c r="D15" i="13"/>
  <c r="W15" i="13"/>
  <c r="N94" i="18"/>
  <c r="AF94" i="18" s="1"/>
  <c r="J15" i="13"/>
  <c r="L15" i="13" s="1"/>
  <c r="Q15" i="13"/>
  <c r="AB92" i="18"/>
  <c r="R37" i="25"/>
  <c r="T37" i="25" s="1"/>
  <c r="W6" i="13"/>
  <c r="Y6" i="13"/>
  <c r="Y8" i="13"/>
  <c r="W8" i="13"/>
  <c r="D8" i="13"/>
  <c r="Q6" i="13"/>
  <c r="J8" i="13"/>
  <c r="L8" i="13" s="1"/>
  <c r="E8" i="30" s="1"/>
  <c r="N14" i="18"/>
  <c r="AF14" i="18" s="1"/>
  <c r="J6" i="13"/>
  <c r="L6" i="13" s="1"/>
  <c r="S8" i="13"/>
  <c r="S6" i="13"/>
  <c r="D6" i="13"/>
  <c r="Q8" i="13"/>
  <c r="Z132" i="18"/>
  <c r="AH132" i="18" s="1"/>
  <c r="N65" i="18"/>
  <c r="AF65" i="18" s="1"/>
  <c r="R32" i="25"/>
  <c r="T32" i="25" s="1"/>
  <c r="N49" i="18"/>
  <c r="AF49" i="18" s="1"/>
  <c r="R31" i="25"/>
  <c r="T31" i="25" s="1"/>
  <c r="R28" i="25"/>
  <c r="T28" i="25" s="1"/>
  <c r="N75" i="18"/>
  <c r="AF75" i="18" s="1"/>
  <c r="R34" i="25"/>
  <c r="T34" i="25" s="1"/>
  <c r="R36" i="25"/>
  <c r="T36" i="25" s="1"/>
  <c r="N85" i="18"/>
  <c r="AF85" i="18" s="1"/>
  <c r="R35" i="25"/>
  <c r="T35" i="25" s="1"/>
  <c r="R41" i="25"/>
  <c r="T41" i="25" s="1"/>
  <c r="N155" i="18"/>
  <c r="AF155" i="18" s="1"/>
  <c r="R40" i="25"/>
  <c r="T40" i="25" s="1"/>
  <c r="R27" i="25"/>
  <c r="R39" i="25"/>
  <c r="T39" i="25" s="1"/>
  <c r="R38" i="25"/>
  <c r="T38" i="25" s="1"/>
  <c r="AB85" i="18"/>
  <c r="AB132" i="18"/>
  <c r="Z155" i="18"/>
  <c r="AH155" i="18" s="1"/>
  <c r="N7" i="18"/>
  <c r="AF7" i="18" s="1"/>
  <c r="Z91" i="18"/>
  <c r="AH91" i="18" s="1"/>
  <c r="AB7" i="18"/>
  <c r="F4" i="18"/>
  <c r="Z160" i="18"/>
  <c r="AH160" i="18" s="1"/>
  <c r="Z35" i="18"/>
  <c r="AH35" i="18" s="1"/>
  <c r="Z53" i="18"/>
  <c r="AH53" i="18" s="1"/>
  <c r="AB66" i="18"/>
  <c r="Z27" i="18"/>
  <c r="AH27" i="18" s="1"/>
  <c r="AB80" i="18"/>
  <c r="AB9" i="18"/>
  <c r="AB155" i="18"/>
  <c r="AN155" i="18" s="1"/>
  <c r="AB151" i="18"/>
  <c r="AN151" i="18" s="1"/>
  <c r="Z106" i="18"/>
  <c r="AH106" i="18" s="1"/>
  <c r="AB54" i="18"/>
  <c r="AB41" i="18"/>
  <c r="AB153" i="18"/>
  <c r="AN153" i="18" s="1"/>
  <c r="AB33" i="18"/>
  <c r="AN33" i="18" s="1"/>
  <c r="AB87" i="18"/>
  <c r="AB10" i="18"/>
  <c r="AB48" i="18"/>
  <c r="AB143" i="18"/>
  <c r="AB172" i="18"/>
  <c r="AN172" i="18" s="1"/>
  <c r="AB81" i="18"/>
  <c r="AB123" i="18"/>
  <c r="AN123" i="18" s="1"/>
  <c r="Z33" i="18"/>
  <c r="AH33" i="18" s="1"/>
  <c r="Z87" i="18"/>
  <c r="AH87" i="18" s="1"/>
  <c r="Z10" i="18"/>
  <c r="AH10" i="18" s="1"/>
  <c r="Z151" i="18"/>
  <c r="AH151" i="18" s="1"/>
  <c r="Z90" i="18"/>
  <c r="AH90" i="18" s="1"/>
  <c r="Z14" i="18"/>
  <c r="AH14" i="18" s="1"/>
  <c r="Z171" i="18"/>
  <c r="AH171" i="18" s="1"/>
  <c r="Z49" i="18"/>
  <c r="AH49" i="18" s="1"/>
  <c r="Z124" i="18"/>
  <c r="AH124" i="18" s="1"/>
  <c r="Z172" i="18"/>
  <c r="AH172" i="18" s="1"/>
  <c r="Z81" i="18"/>
  <c r="AH81" i="18" s="1"/>
  <c r="Z143" i="18"/>
  <c r="AH143" i="18" s="1"/>
  <c r="Z54" i="18"/>
  <c r="AH54" i="18" s="1"/>
  <c r="Z41" i="18"/>
  <c r="AH41" i="18" s="1"/>
  <c r="Z153" i="18"/>
  <c r="AH153" i="18" s="1"/>
  <c r="Z30" i="18"/>
  <c r="AH30" i="18" s="1"/>
  <c r="Z121" i="18"/>
  <c r="AH121" i="18" s="1"/>
  <c r="Z34" i="18"/>
  <c r="AH34" i="18" s="1"/>
  <c r="AB164" i="18"/>
  <c r="AB152" i="18"/>
  <c r="AN152" i="18" s="1"/>
  <c r="AB122" i="18"/>
  <c r="AB25" i="18"/>
  <c r="AB113" i="18"/>
  <c r="AB65" i="18"/>
  <c r="AB150" i="18"/>
  <c r="AN150" i="18" s="1"/>
  <c r="AB86" i="18"/>
  <c r="Z24" i="18"/>
  <c r="AH24" i="18" s="1"/>
  <c r="AB121" i="18"/>
  <c r="AN121" i="18" s="1"/>
  <c r="AB56" i="18"/>
  <c r="AB98" i="18"/>
  <c r="AN98" i="18" s="1"/>
  <c r="Z38" i="18"/>
  <c r="AH38" i="18" s="1"/>
  <c r="AB21" i="18"/>
  <c r="Z9" i="18"/>
  <c r="AH9" i="18" s="1"/>
  <c r="AB84" i="18"/>
  <c r="AB94" i="18"/>
  <c r="Z84" i="18"/>
  <c r="AH84" i="18" s="1"/>
  <c r="Z94" i="18"/>
  <c r="AH94" i="18" s="1"/>
  <c r="AB75" i="18"/>
  <c r="AB118" i="18"/>
  <c r="AB142" i="18"/>
  <c r="Z56" i="18"/>
  <c r="AH56" i="18" s="1"/>
  <c r="Z92" i="18"/>
  <c r="AH92" i="18" s="1"/>
  <c r="AB168" i="18"/>
  <c r="AB129" i="18"/>
  <c r="Z25" i="18"/>
  <c r="AH25" i="18" s="1"/>
  <c r="Z164" i="18"/>
  <c r="AH164" i="18" s="1"/>
  <c r="Z113" i="18"/>
  <c r="AH113" i="18" s="1"/>
  <c r="AB127" i="18"/>
  <c r="Z152" i="18"/>
  <c r="AH152" i="18" s="1"/>
  <c r="Z65" i="18"/>
  <c r="AH65" i="18" s="1"/>
  <c r="Z150" i="18"/>
  <c r="AH150" i="18" s="1"/>
  <c r="AB149" i="18"/>
  <c r="AN149" i="18" s="1"/>
  <c r="Z122" i="18"/>
  <c r="AH122" i="18" s="1"/>
  <c r="Z86" i="18"/>
  <c r="AH86" i="18" s="1"/>
  <c r="AB32" i="18"/>
  <c r="AN32" i="18" s="1"/>
  <c r="AB156" i="18"/>
  <c r="AN156" i="18" s="1"/>
  <c r="AB148" i="18"/>
  <c r="AN148" i="18" s="1"/>
  <c r="AB137" i="18"/>
  <c r="AB147" i="18"/>
  <c r="AN147" i="18" s="1"/>
  <c r="Z85" i="18"/>
  <c r="AH85" i="18" s="1"/>
  <c r="AB39" i="18"/>
  <c r="Z52" i="18"/>
  <c r="AH52" i="18" s="1"/>
  <c r="Z11" i="18"/>
  <c r="AH11" i="18" s="1"/>
  <c r="AB34" i="18"/>
  <c r="AN34" i="18" s="1"/>
  <c r="AB126" i="18"/>
  <c r="Z39" i="18"/>
  <c r="AH39" i="18" s="1"/>
  <c r="AB11" i="18"/>
  <c r="AB77" i="18"/>
  <c r="AB99" i="18"/>
  <c r="AN99" i="18" s="1"/>
  <c r="Z21" i="18"/>
  <c r="AH21" i="18" s="1"/>
  <c r="Z107" i="18"/>
  <c r="AH107" i="18" s="1"/>
  <c r="Z76" i="18"/>
  <c r="AH76" i="18" s="1"/>
  <c r="AB90" i="18"/>
  <c r="Z167" i="18"/>
  <c r="AH167" i="18" s="1"/>
  <c r="AB14" i="18"/>
  <c r="Z114" i="18"/>
  <c r="AH114" i="18" s="1"/>
  <c r="AB171" i="18"/>
  <c r="Z74" i="18"/>
  <c r="AH74" i="18" s="1"/>
  <c r="AB49" i="18"/>
  <c r="AN49" i="18" s="1"/>
  <c r="Z112" i="18"/>
  <c r="AH112" i="18" s="1"/>
  <c r="AB124" i="18"/>
  <c r="Z100" i="18"/>
  <c r="AH100" i="18" s="1"/>
  <c r="Z46" i="18"/>
  <c r="AH46" i="18" s="1"/>
  <c r="Z42" i="18"/>
  <c r="AH42" i="18" s="1"/>
  <c r="Z95" i="18"/>
  <c r="AH95" i="18" s="1"/>
  <c r="AB106" i="18"/>
  <c r="AB76" i="18"/>
  <c r="Z116" i="18"/>
  <c r="AH116" i="18" s="1"/>
  <c r="AB42" i="18"/>
  <c r="Z166" i="18"/>
  <c r="AH166" i="18" s="1"/>
  <c r="Z50" i="18"/>
  <c r="AH50" i="18" s="1"/>
  <c r="AB38" i="18"/>
  <c r="AB58" i="18"/>
  <c r="AN58" i="18" s="1"/>
  <c r="AB82" i="18"/>
  <c r="Z130" i="18"/>
  <c r="AH130" i="18" s="1"/>
  <c r="AB163" i="18"/>
  <c r="Z126" i="18"/>
  <c r="AH126" i="18" s="1"/>
  <c r="AB23" i="18"/>
  <c r="Z102" i="18"/>
  <c r="AH102" i="18" s="1"/>
  <c r="Z48" i="18"/>
  <c r="AH48" i="18" s="1"/>
  <c r="Z77" i="18"/>
  <c r="AH77" i="18" s="1"/>
  <c r="Z99" i="18"/>
  <c r="AH99" i="18" s="1"/>
  <c r="Z7" i="18"/>
  <c r="AH7" i="18" s="1"/>
  <c r="AB97" i="18"/>
  <c r="Z133" i="18"/>
  <c r="AH133" i="18" s="1"/>
  <c r="AB43" i="18"/>
  <c r="AN43" i="18" s="1"/>
  <c r="AB83" i="18"/>
  <c r="AB28" i="18"/>
  <c r="Z58" i="18"/>
  <c r="AH58" i="18" s="1"/>
  <c r="Z82" i="18"/>
  <c r="AH82" i="18" s="1"/>
  <c r="Z163" i="18"/>
  <c r="AH163" i="18" s="1"/>
  <c r="Z23" i="18"/>
  <c r="AH23" i="18" s="1"/>
  <c r="AB133" i="18"/>
  <c r="AB144" i="18"/>
  <c r="AB159" i="18"/>
  <c r="AN159" i="18" s="1"/>
  <c r="AB24" i="18"/>
  <c r="AB67" i="18"/>
  <c r="AB26" i="18"/>
  <c r="AB91" i="18"/>
  <c r="AB141" i="18"/>
  <c r="Z66" i="18"/>
  <c r="AH66" i="18" s="1"/>
  <c r="Z123" i="18"/>
  <c r="AH123" i="18" s="1"/>
  <c r="Z97" i="18"/>
  <c r="AH97" i="18" s="1"/>
  <c r="AB160" i="18"/>
  <c r="AN160" i="18" s="1"/>
  <c r="Z43" i="18"/>
  <c r="AH43" i="18" s="1"/>
  <c r="AB61" i="18"/>
  <c r="Z28" i="18"/>
  <c r="AH28" i="18" s="1"/>
  <c r="AB35" i="18"/>
  <c r="AN35" i="18" s="1"/>
  <c r="AB27" i="18"/>
  <c r="Z80" i="18"/>
  <c r="AH80" i="18" s="1"/>
  <c r="AB169" i="18"/>
  <c r="AB154" i="18"/>
  <c r="AN154" i="18" s="1"/>
  <c r="AB165" i="18"/>
  <c r="AB95" i="18"/>
  <c r="Z83" i="18"/>
  <c r="AH83" i="18" s="1"/>
  <c r="AB107" i="18"/>
  <c r="Z75" i="18"/>
  <c r="AH75" i="18" s="1"/>
  <c r="Z118" i="18"/>
  <c r="AH118" i="18" s="1"/>
  <c r="Z142" i="18"/>
  <c r="AH142" i="18" s="1"/>
  <c r="Z168" i="18"/>
  <c r="AH168" i="18" s="1"/>
  <c r="Z129" i="18"/>
  <c r="AH129" i="18" s="1"/>
  <c r="AB167" i="18"/>
  <c r="AB114" i="18"/>
  <c r="AN114" i="18" s="1"/>
  <c r="Z127" i="18"/>
  <c r="AH127" i="18" s="1"/>
  <c r="AB74" i="18"/>
  <c r="AN74" i="18" s="1"/>
  <c r="AB112" i="18"/>
  <c r="Z149" i="18"/>
  <c r="AH149" i="18" s="1"/>
  <c r="Z32" i="18"/>
  <c r="AH32" i="18" s="1"/>
  <c r="Z156" i="18"/>
  <c r="AH156" i="18" s="1"/>
  <c r="Z148" i="18"/>
  <c r="AH148" i="18" s="1"/>
  <c r="AB100" i="18"/>
  <c r="Z137" i="18"/>
  <c r="AH137" i="18" s="1"/>
  <c r="AB46" i="18"/>
  <c r="AN46" i="18" s="1"/>
  <c r="Z147" i="18"/>
  <c r="AH147" i="18" s="1"/>
  <c r="Z144" i="18"/>
  <c r="AH144" i="18" s="1"/>
  <c r="Z159" i="18"/>
  <c r="AH159" i="18" s="1"/>
  <c r="Z67" i="18"/>
  <c r="AH67" i="18" s="1"/>
  <c r="AB116" i="18"/>
  <c r="Z26" i="18"/>
  <c r="AH26" i="18" s="1"/>
  <c r="AB53" i="18"/>
  <c r="Z141" i="18"/>
  <c r="AH141" i="18" s="1"/>
  <c r="AB166" i="18"/>
  <c r="AB50" i="18"/>
  <c r="Z98" i="18"/>
  <c r="AH98" i="18" s="1"/>
  <c r="AB30" i="18"/>
  <c r="Z61" i="18"/>
  <c r="AH61" i="18" s="1"/>
  <c r="Z169" i="18"/>
  <c r="AH169" i="18" s="1"/>
  <c r="AB130" i="18"/>
  <c r="Z154" i="18"/>
  <c r="AH154" i="18" s="1"/>
  <c r="Z165" i="18"/>
  <c r="AH165" i="18" s="1"/>
  <c r="AB52" i="18"/>
  <c r="AB102" i="18"/>
  <c r="AN102" i="18" s="1"/>
  <c r="N13" i="18"/>
  <c r="AF13" i="18" s="1"/>
  <c r="Q19" i="13"/>
  <c r="W19" i="13"/>
  <c r="Y19" i="13"/>
  <c r="N112" i="18"/>
  <c r="AF112" i="18" s="1"/>
  <c r="J19" i="13"/>
  <c r="L19" i="13" s="1"/>
  <c r="E19" i="30" s="1"/>
  <c r="D19" i="13"/>
  <c r="S19" i="13"/>
  <c r="AB13" i="18"/>
  <c r="N98" i="18"/>
  <c r="AF98" i="18" s="1"/>
  <c r="L2" i="18"/>
  <c r="Z13" i="18"/>
  <c r="AH13" i="18" s="1"/>
  <c r="R85" i="18"/>
  <c r="V85" i="18" s="1"/>
  <c r="AL85" i="18" s="1"/>
  <c r="K56" i="18"/>
  <c r="AE56" i="18" s="1"/>
  <c r="W56" i="18"/>
  <c r="W159" i="18"/>
  <c r="K159" i="18"/>
  <c r="AE159" i="18" s="1"/>
  <c r="R164" i="18"/>
  <c r="T164" i="18" s="1"/>
  <c r="AK164" i="18" s="1"/>
  <c r="K52" i="18"/>
  <c r="AE52" i="18" s="1"/>
  <c r="W52" i="18"/>
  <c r="R155" i="18"/>
  <c r="V155" i="18" s="1"/>
  <c r="AL155" i="18" s="1"/>
  <c r="Q155" i="18"/>
  <c r="AG155" i="18" s="1"/>
  <c r="R143" i="18"/>
  <c r="T143" i="18" s="1"/>
  <c r="AK143" i="18" s="1"/>
  <c r="W90" i="18"/>
  <c r="K90" i="18"/>
  <c r="AE90" i="18" s="1"/>
  <c r="R81" i="18"/>
  <c r="T81" i="18" s="1"/>
  <c r="AK81" i="18" s="1"/>
  <c r="K114" i="18"/>
  <c r="AE114" i="18" s="1"/>
  <c r="W114" i="18"/>
  <c r="R61" i="18"/>
  <c r="T61" i="18" s="1"/>
  <c r="AK61" i="18" s="1"/>
  <c r="K107" i="18"/>
  <c r="AE107" i="18" s="1"/>
  <c r="W107" i="18"/>
  <c r="K39" i="18"/>
  <c r="AE39" i="18" s="1"/>
  <c r="W39" i="18"/>
  <c r="W49" i="18"/>
  <c r="K49" i="18"/>
  <c r="AE49" i="18" s="1"/>
  <c r="K23" i="18"/>
  <c r="AE23" i="18" s="1"/>
  <c r="W23" i="18"/>
  <c r="R82" i="18"/>
  <c r="T82" i="18" s="1"/>
  <c r="AK82" i="18" s="1"/>
  <c r="K152" i="18"/>
  <c r="AE152" i="18" s="1"/>
  <c r="W152" i="18"/>
  <c r="K27" i="18"/>
  <c r="AE27" i="18" s="1"/>
  <c r="W27" i="18"/>
  <c r="R74" i="18"/>
  <c r="T74" i="18" s="1"/>
  <c r="AK74" i="18" s="1"/>
  <c r="W48" i="18"/>
  <c r="K48" i="18"/>
  <c r="AE48" i="18" s="1"/>
  <c r="R97" i="18"/>
  <c r="V97" i="18" s="1"/>
  <c r="AL97" i="18" s="1"/>
  <c r="Q153" i="18"/>
  <c r="AG153" i="18" s="1"/>
  <c r="R153" i="18"/>
  <c r="T153" i="18" s="1"/>
  <c r="AK153" i="18" s="1"/>
  <c r="R30" i="18"/>
  <c r="T30" i="18" s="1"/>
  <c r="AK30" i="18" s="1"/>
  <c r="W144" i="18"/>
  <c r="K144" i="18"/>
  <c r="AE144" i="18" s="1"/>
  <c r="Q150" i="18"/>
  <c r="AG150" i="18" s="1"/>
  <c r="R150" i="18"/>
  <c r="V150" i="18" s="1"/>
  <c r="AL150" i="18" s="1"/>
  <c r="O13" i="18"/>
  <c r="Q13" i="18" s="1"/>
  <c r="AG13" i="18" s="1"/>
  <c r="R13" i="18"/>
  <c r="V13" i="18" s="1"/>
  <c r="AL13" i="18" s="1"/>
  <c r="K166" i="18"/>
  <c r="AE166" i="18" s="1"/>
  <c r="W166" i="18"/>
  <c r="W58" i="18"/>
  <c r="R42" i="18"/>
  <c r="T42" i="18" s="1"/>
  <c r="AK42" i="18" s="1"/>
  <c r="W112" i="18"/>
  <c r="W9" i="18"/>
  <c r="K133" i="18"/>
  <c r="AE133" i="18" s="1"/>
  <c r="W133" i="18"/>
  <c r="W65" i="18"/>
  <c r="K65" i="18"/>
  <c r="AE65" i="18" s="1"/>
  <c r="R122" i="18"/>
  <c r="V122" i="18" s="1"/>
  <c r="AL122" i="18" s="1"/>
  <c r="Q156" i="18"/>
  <c r="AG156" i="18" s="1"/>
  <c r="R156" i="18"/>
  <c r="V156" i="18" s="1"/>
  <c r="AL156" i="18" s="1"/>
  <c r="K150" i="18"/>
  <c r="AE150" i="18" s="1"/>
  <c r="W150" i="18"/>
  <c r="K83" i="18"/>
  <c r="AE83" i="18" s="1"/>
  <c r="W83" i="18"/>
  <c r="R75" i="18"/>
  <c r="V75" i="18" s="1"/>
  <c r="AL75" i="18" s="1"/>
  <c r="W142" i="18"/>
  <c r="K142" i="18"/>
  <c r="AE142" i="18" s="1"/>
  <c r="R76" i="18"/>
  <c r="V76" i="18" s="1"/>
  <c r="AL76" i="18" s="1"/>
  <c r="R167" i="18"/>
  <c r="T167" i="18" s="1"/>
  <c r="AK167" i="18" s="1"/>
  <c r="W14" i="18"/>
  <c r="K14" i="18"/>
  <c r="AE14" i="18" s="1"/>
  <c r="R171" i="18"/>
  <c r="T171" i="18" s="1"/>
  <c r="AK171" i="18" s="1"/>
  <c r="H149" i="18"/>
  <c r="AD149" i="18" s="1"/>
  <c r="R87" i="18"/>
  <c r="V87" i="18" s="1"/>
  <c r="AL87" i="18" s="1"/>
  <c r="K100" i="18"/>
  <c r="AE100" i="18" s="1"/>
  <c r="W100" i="18"/>
  <c r="K35" i="18"/>
  <c r="AE35" i="18" s="1"/>
  <c r="W35" i="18"/>
  <c r="K80" i="18"/>
  <c r="AE80" i="18" s="1"/>
  <c r="W80" i="18"/>
  <c r="K169" i="18"/>
  <c r="AE169" i="18" s="1"/>
  <c r="W169" i="18"/>
  <c r="W34" i="18"/>
  <c r="K34" i="18"/>
  <c r="AE34" i="18" s="1"/>
  <c r="R28" i="18"/>
  <c r="V28" i="18" s="1"/>
  <c r="AL28" i="18" s="1"/>
  <c r="R126" i="18"/>
  <c r="V126" i="18" s="1"/>
  <c r="AL126" i="18" s="1"/>
  <c r="R121" i="18"/>
  <c r="V121" i="18" s="1"/>
  <c r="AL121" i="18" s="1"/>
  <c r="R133" i="18"/>
  <c r="T133" i="18" s="1"/>
  <c r="AK133" i="18" s="1"/>
  <c r="R144" i="18"/>
  <c r="T144" i="18" s="1"/>
  <c r="AK144" i="18" s="1"/>
  <c r="R106" i="18"/>
  <c r="V106" i="18" s="1"/>
  <c r="AL106" i="18" s="1"/>
  <c r="H154" i="18"/>
  <c r="AD154" i="18" s="1"/>
  <c r="K113" i="18"/>
  <c r="AE113" i="18" s="1"/>
  <c r="W113" i="18"/>
  <c r="R86" i="18"/>
  <c r="T86" i="18" s="1"/>
  <c r="AK86" i="18" s="1"/>
  <c r="R9" i="18"/>
  <c r="V9" i="18" s="1"/>
  <c r="AL9" i="18" s="1"/>
  <c r="O9" i="18"/>
  <c r="W94" i="18"/>
  <c r="K94" i="18"/>
  <c r="AE94" i="18" s="1"/>
  <c r="R67" i="18"/>
  <c r="T67" i="18" s="1"/>
  <c r="AK67" i="18" s="1"/>
  <c r="K82" i="18"/>
  <c r="AE82" i="18" s="1"/>
  <c r="W82" i="18"/>
  <c r="R118" i="18"/>
  <c r="V118" i="18" s="1"/>
  <c r="AL118" i="18" s="1"/>
  <c r="R92" i="18"/>
  <c r="V92" i="18" s="1"/>
  <c r="AL92" i="18" s="1"/>
  <c r="W168" i="18"/>
  <c r="W129" i="18"/>
  <c r="K129" i="18"/>
  <c r="AE129" i="18" s="1"/>
  <c r="R127" i="18"/>
  <c r="V127" i="18" s="1"/>
  <c r="AL127" i="18" s="1"/>
  <c r="K163" i="18"/>
  <c r="AE163" i="18" s="1"/>
  <c r="W163" i="18"/>
  <c r="W87" i="18"/>
  <c r="K87" i="18"/>
  <c r="AE87" i="18" s="1"/>
  <c r="Q32" i="18"/>
  <c r="AG32" i="18" s="1"/>
  <c r="R32" i="18"/>
  <c r="T32" i="18" s="1"/>
  <c r="AK32" i="18" s="1"/>
  <c r="K147" i="18"/>
  <c r="AE147" i="18" s="1"/>
  <c r="W147" i="18"/>
  <c r="Q35" i="18"/>
  <c r="AG35" i="18" s="1"/>
  <c r="R35" i="18"/>
  <c r="T35" i="18" s="1"/>
  <c r="AK35" i="18" s="1"/>
  <c r="R80" i="18"/>
  <c r="T80" i="18" s="1"/>
  <c r="AK80" i="18" s="1"/>
  <c r="R169" i="18"/>
  <c r="T169" i="18" s="1"/>
  <c r="AK169" i="18" s="1"/>
  <c r="Q34" i="18"/>
  <c r="AG34" i="18" s="1"/>
  <c r="R34" i="18"/>
  <c r="V34" i="18" s="1"/>
  <c r="AL34" i="18" s="1"/>
  <c r="K154" i="18"/>
  <c r="AE154" i="18" s="1"/>
  <c r="W154" i="18"/>
  <c r="K149" i="18"/>
  <c r="AE149" i="18" s="1"/>
  <c r="W149" i="18"/>
  <c r="K54" i="18"/>
  <c r="AE54" i="18" s="1"/>
  <c r="W54" i="18"/>
  <c r="R26" i="18"/>
  <c r="T26" i="18" s="1"/>
  <c r="AK26" i="18" s="1"/>
  <c r="W91" i="18"/>
  <c r="K41" i="18"/>
  <c r="AE41" i="18" s="1"/>
  <c r="W41" i="18"/>
  <c r="R166" i="18"/>
  <c r="T166" i="18" s="1"/>
  <c r="AK166" i="18" s="1"/>
  <c r="R39" i="18"/>
  <c r="T39" i="18" s="1"/>
  <c r="AK39" i="18" s="1"/>
  <c r="W99" i="18"/>
  <c r="W7" i="18"/>
  <c r="K7" i="18"/>
  <c r="AE7" i="18" s="1"/>
  <c r="K95" i="18"/>
  <c r="AE95" i="18" s="1"/>
  <c r="W95" i="18"/>
  <c r="W24" i="18"/>
  <c r="K24" i="18"/>
  <c r="AE24" i="18" s="1"/>
  <c r="K116" i="18"/>
  <c r="AE116" i="18" s="1"/>
  <c r="W116" i="18"/>
  <c r="R113" i="18"/>
  <c r="V113" i="18" s="1"/>
  <c r="AL113" i="18" s="1"/>
  <c r="W46" i="18"/>
  <c r="K25" i="18"/>
  <c r="AE25" i="18" s="1"/>
  <c r="W25" i="18"/>
  <c r="Q160" i="18"/>
  <c r="AG160" i="18" s="1"/>
  <c r="R160" i="18"/>
  <c r="T160" i="18" s="1"/>
  <c r="AK160" i="18" s="1"/>
  <c r="K151" i="18"/>
  <c r="AE151" i="18" s="1"/>
  <c r="W151" i="18"/>
  <c r="W121" i="18"/>
  <c r="R130" i="18"/>
  <c r="V130" i="18" s="1"/>
  <c r="AL130" i="18" s="1"/>
  <c r="R114" i="18"/>
  <c r="T114" i="18" s="1"/>
  <c r="AK114" i="18" s="1"/>
  <c r="K164" i="18"/>
  <c r="AE164" i="18" s="1"/>
  <c r="W164" i="18"/>
  <c r="Q151" i="18"/>
  <c r="AG151" i="18" s="1"/>
  <c r="R151" i="18"/>
  <c r="T151" i="18" s="1"/>
  <c r="AK151" i="18" s="1"/>
  <c r="W74" i="18"/>
  <c r="R49" i="18"/>
  <c r="V49" i="18" s="1"/>
  <c r="AL49" i="18" s="1"/>
  <c r="R112" i="18"/>
  <c r="AZ112" i="18"/>
  <c r="K77" i="18"/>
  <c r="AE77" i="18" s="1"/>
  <c r="W77" i="18"/>
  <c r="O7" i="18"/>
  <c r="R7" i="18"/>
  <c r="R154" i="18"/>
  <c r="T154" i="18" s="1"/>
  <c r="AK154" i="18" s="1"/>
  <c r="Q154" i="18"/>
  <c r="AG154" i="18" s="1"/>
  <c r="W43" i="18"/>
  <c r="K132" i="18"/>
  <c r="AE132" i="18" s="1"/>
  <c r="W132" i="18"/>
  <c r="R54" i="18"/>
  <c r="T54" i="18" s="1"/>
  <c r="AK54" i="18" s="1"/>
  <c r="R41" i="18"/>
  <c r="T41" i="18" s="1"/>
  <c r="AK41" i="18" s="1"/>
  <c r="K165" i="18"/>
  <c r="AE165" i="18" s="1"/>
  <c r="W165" i="18"/>
  <c r="R163" i="18"/>
  <c r="T163" i="18" s="1"/>
  <c r="AK163" i="18" s="1"/>
  <c r="W123" i="18"/>
  <c r="W11" i="18"/>
  <c r="R99" i="18"/>
  <c r="T99" i="18" s="1"/>
  <c r="AK99" i="18" s="1"/>
  <c r="W172" i="18"/>
  <c r="R116" i="18"/>
  <c r="T116" i="18" s="1"/>
  <c r="AK116" i="18" s="1"/>
  <c r="R46" i="18"/>
  <c r="T46" i="18" s="1"/>
  <c r="AK46" i="18" s="1"/>
  <c r="R52" i="18"/>
  <c r="T52" i="18" s="1"/>
  <c r="AK52" i="18" s="1"/>
  <c r="K126" i="18"/>
  <c r="AE126" i="18" s="1"/>
  <c r="W126" i="18"/>
  <c r="Q159" i="18"/>
  <c r="AG159" i="18" s="1"/>
  <c r="R159" i="18"/>
  <c r="V159" i="18" s="1"/>
  <c r="AL159" i="18" s="1"/>
  <c r="K106" i="18"/>
  <c r="AE106" i="18" s="1"/>
  <c r="W106" i="18"/>
  <c r="R90" i="18"/>
  <c r="T90" i="18" s="1"/>
  <c r="AK90" i="18" s="1"/>
  <c r="K26" i="18"/>
  <c r="AE26" i="18" s="1"/>
  <c r="W26" i="18"/>
  <c r="R152" i="18"/>
  <c r="V152" i="18" s="1"/>
  <c r="AL152" i="18" s="1"/>
  <c r="Q152" i="18"/>
  <c r="AG152" i="18" s="1"/>
  <c r="R65" i="18"/>
  <c r="V65" i="18" s="1"/>
  <c r="AL65" i="18" s="1"/>
  <c r="W124" i="18"/>
  <c r="K124" i="18"/>
  <c r="AE124" i="18" s="1"/>
  <c r="R102" i="18"/>
  <c r="V102" i="18" s="1"/>
  <c r="AL102" i="18" s="1"/>
  <c r="W122" i="18"/>
  <c r="K122" i="18"/>
  <c r="AE122" i="18" s="1"/>
  <c r="W156" i="18"/>
  <c r="K156" i="18"/>
  <c r="AE156" i="18" s="1"/>
  <c r="K28" i="18"/>
  <c r="AE28" i="18" s="1"/>
  <c r="W28" i="18"/>
  <c r="K42" i="18"/>
  <c r="AE42" i="18" s="1"/>
  <c r="W42" i="18"/>
  <c r="K141" i="18"/>
  <c r="AE141" i="18" s="1"/>
  <c r="W141" i="18"/>
  <c r="R165" i="18"/>
  <c r="T165" i="18" s="1"/>
  <c r="AK165" i="18" s="1"/>
  <c r="K66" i="18"/>
  <c r="AE66" i="18" s="1"/>
  <c r="W66" i="18"/>
  <c r="H33" i="18"/>
  <c r="AD33" i="18" s="1"/>
  <c r="R123" i="18"/>
  <c r="T123" i="18" s="1"/>
  <c r="AK123" i="18" s="1"/>
  <c r="W10" i="18"/>
  <c r="K10" i="18"/>
  <c r="AE10" i="18" s="1"/>
  <c r="W98" i="18"/>
  <c r="K97" i="18"/>
  <c r="AE97" i="18" s="1"/>
  <c r="W97" i="18"/>
  <c r="R95" i="18"/>
  <c r="V95" i="18" s="1"/>
  <c r="AL95" i="18" s="1"/>
  <c r="R24" i="18"/>
  <c r="K67" i="18"/>
  <c r="AE67" i="18" s="1"/>
  <c r="W67" i="18"/>
  <c r="K53" i="18"/>
  <c r="AE53" i="18" s="1"/>
  <c r="W53" i="18"/>
  <c r="R149" i="18"/>
  <c r="T149" i="18" s="1"/>
  <c r="AK149" i="18" s="1"/>
  <c r="Q149" i="18"/>
  <c r="AG149" i="18" s="1"/>
  <c r="W137" i="18"/>
  <c r="U23" i="13" s="1"/>
  <c r="K137" i="18"/>
  <c r="AE137" i="18" s="1"/>
  <c r="R124" i="18"/>
  <c r="V124" i="18" s="1"/>
  <c r="AL124" i="18" s="1"/>
  <c r="R84" i="18"/>
  <c r="T84" i="18" s="1"/>
  <c r="AK84" i="18" s="1"/>
  <c r="T21" i="18"/>
  <c r="AK21" i="18" s="1"/>
  <c r="R107" i="18"/>
  <c r="T107" i="18" s="1"/>
  <c r="AK107" i="18" s="1"/>
  <c r="R56" i="18"/>
  <c r="T56" i="18" s="1"/>
  <c r="AK56" i="18" s="1"/>
  <c r="R58" i="18"/>
  <c r="T58" i="18" s="1"/>
  <c r="AK58" i="18" s="1"/>
  <c r="K75" i="18"/>
  <c r="AE75" i="18" s="1"/>
  <c r="W75" i="18"/>
  <c r="R142" i="18"/>
  <c r="T142" i="18" s="1"/>
  <c r="AK142" i="18" s="1"/>
  <c r="R27" i="18"/>
  <c r="V27" i="18" s="1"/>
  <c r="AL27" i="18" s="1"/>
  <c r="W130" i="18"/>
  <c r="K130" i="18"/>
  <c r="AE130" i="18" s="1"/>
  <c r="K167" i="18"/>
  <c r="AE167" i="18" s="1"/>
  <c r="W167" i="18"/>
  <c r="O14" i="18"/>
  <c r="R14" i="18"/>
  <c r="K171" i="18"/>
  <c r="AE171" i="18" s="1"/>
  <c r="W171" i="18"/>
  <c r="R50" i="18"/>
  <c r="V50" i="18" s="1"/>
  <c r="AL50" i="18" s="1"/>
  <c r="O11" i="18"/>
  <c r="AY11" i="18" s="1"/>
  <c r="BD11" i="18" s="1"/>
  <c r="R11" i="18"/>
  <c r="T11" i="18" s="1"/>
  <c r="AK11" i="18" s="1"/>
  <c r="H32" i="18"/>
  <c r="AD32" i="18" s="1"/>
  <c r="R100" i="18"/>
  <c r="V100" i="18" s="1"/>
  <c r="AL100" i="18" s="1"/>
  <c r="W21" i="18"/>
  <c r="K21" i="18"/>
  <c r="AE21" i="18" s="1"/>
  <c r="R43" i="18"/>
  <c r="V43" i="18" s="1"/>
  <c r="AL43" i="18" s="1"/>
  <c r="K61" i="18"/>
  <c r="AE61" i="18" s="1"/>
  <c r="W61" i="18"/>
  <c r="R132" i="18"/>
  <c r="T132" i="18" s="1"/>
  <c r="AK132" i="18" s="1"/>
  <c r="W81" i="18"/>
  <c r="K81" i="18"/>
  <c r="AE81" i="18" s="1"/>
  <c r="R141" i="18"/>
  <c r="V141" i="18" s="1"/>
  <c r="AL141" i="18" s="1"/>
  <c r="R66" i="18"/>
  <c r="T66" i="18" s="1"/>
  <c r="AK66" i="18" s="1"/>
  <c r="W33" i="18"/>
  <c r="K33" i="18"/>
  <c r="AE33" i="18" s="1"/>
  <c r="O10" i="18"/>
  <c r="R10" i="18"/>
  <c r="V10" i="18" s="1"/>
  <c r="AL10" i="18" s="1"/>
  <c r="R98" i="18"/>
  <c r="T98" i="18" s="1"/>
  <c r="AK98" i="18" s="1"/>
  <c r="R172" i="18"/>
  <c r="V172" i="18" s="1"/>
  <c r="AL172" i="18" s="1"/>
  <c r="W30" i="18"/>
  <c r="K30" i="18"/>
  <c r="AE30" i="18" s="1"/>
  <c r="K76" i="18"/>
  <c r="AE76" i="18" s="1"/>
  <c r="W76" i="18"/>
  <c r="R53" i="18"/>
  <c r="T53" i="18" s="1"/>
  <c r="AK53" i="18" s="1"/>
  <c r="K148" i="18"/>
  <c r="AE148" i="18" s="1"/>
  <c r="W148" i="18"/>
  <c r="R137" i="18"/>
  <c r="K38" i="18"/>
  <c r="AE38" i="18" s="1"/>
  <c r="W38" i="18"/>
  <c r="R23" i="18"/>
  <c r="V23" i="18" s="1"/>
  <c r="AL23" i="18" s="1"/>
  <c r="R83" i="18"/>
  <c r="V83" i="18" s="1"/>
  <c r="AL83" i="18" s="1"/>
  <c r="R94" i="18"/>
  <c r="K118" i="18"/>
  <c r="AE118" i="18" s="1"/>
  <c r="W118" i="18"/>
  <c r="K92" i="18"/>
  <c r="AE92" i="18" s="1"/>
  <c r="W92" i="18"/>
  <c r="R168" i="18"/>
  <c r="T168" i="18" s="1"/>
  <c r="AK168" i="18" s="1"/>
  <c r="R91" i="18"/>
  <c r="T91" i="18" s="1"/>
  <c r="AK91" i="18" s="1"/>
  <c r="R129" i="18"/>
  <c r="T129" i="18" s="1"/>
  <c r="AK129" i="18" s="1"/>
  <c r="K127" i="18"/>
  <c r="AE127" i="18" s="1"/>
  <c r="W127" i="18"/>
  <c r="W50" i="18"/>
  <c r="K50" i="18"/>
  <c r="AE50" i="18" s="1"/>
  <c r="R38" i="18"/>
  <c r="T38" i="18" s="1"/>
  <c r="AK38" i="18" s="1"/>
  <c r="W32" i="18"/>
  <c r="K32" i="18"/>
  <c r="AE32" i="18" s="1"/>
  <c r="Q147" i="18"/>
  <c r="AG147" i="18" s="1"/>
  <c r="R147" i="18"/>
  <c r="T147" i="18" s="1"/>
  <c r="AK147" i="18" s="1"/>
  <c r="M8" i="13"/>
  <c r="O8" i="13" s="1"/>
  <c r="W86" i="18"/>
  <c r="K86" i="18"/>
  <c r="AE86" i="18" s="1"/>
  <c r="K160" i="18"/>
  <c r="AE160" i="18" s="1"/>
  <c r="W160" i="18"/>
  <c r="K84" i="18"/>
  <c r="AE84" i="18" s="1"/>
  <c r="W84" i="18"/>
  <c r="K143" i="18"/>
  <c r="AE143" i="18" s="1"/>
  <c r="W143" i="18"/>
  <c r="W153" i="18"/>
  <c r="K153" i="18"/>
  <c r="AE153" i="18" s="1"/>
  <c r="Q33" i="18"/>
  <c r="AG33" i="18" s="1"/>
  <c r="R33" i="18"/>
  <c r="T33" i="18" s="1"/>
  <c r="AK33" i="18" s="1"/>
  <c r="W102" i="18"/>
  <c r="R48" i="18"/>
  <c r="T48" i="18" s="1"/>
  <c r="AK48" i="18" s="1"/>
  <c r="R77" i="18"/>
  <c r="V77" i="18" s="1"/>
  <c r="AL77" i="18" s="1"/>
  <c r="K155" i="18"/>
  <c r="AE155" i="18" s="1"/>
  <c r="W155" i="18"/>
  <c r="K13" i="18"/>
  <c r="AE13" i="18" s="1"/>
  <c r="W13" i="18"/>
  <c r="R25" i="18"/>
  <c r="V25" i="18" s="1"/>
  <c r="AL25" i="18" s="1"/>
  <c r="R148" i="18"/>
  <c r="V148" i="18" s="1"/>
  <c r="AL148" i="18" s="1"/>
  <c r="Q148" i="18"/>
  <c r="AG148" i="18" s="1"/>
  <c r="W85" i="18"/>
  <c r="K85" i="18"/>
  <c r="AE85" i="18" s="1"/>
  <c r="AB40" i="25"/>
  <c r="AB29" i="25"/>
  <c r="AB36" i="25"/>
  <c r="AB41" i="25"/>
  <c r="AB33" i="25"/>
  <c r="AB34" i="25"/>
  <c r="AB32" i="25"/>
  <c r="AB27" i="25"/>
  <c r="AB30" i="25"/>
  <c r="AB28" i="25"/>
  <c r="AB38" i="25"/>
  <c r="X23" i="13" l="1"/>
  <c r="AE23" i="13" s="1"/>
  <c r="Z23" i="13"/>
  <c r="AF23" i="13" s="1"/>
  <c r="AC6" i="13"/>
  <c r="E6" i="30"/>
  <c r="AC23" i="13"/>
  <c r="E23" i="30"/>
  <c r="AC28" i="13"/>
  <c r="E32" i="30"/>
  <c r="AC7" i="13"/>
  <c r="E7" i="30"/>
  <c r="AC15" i="13"/>
  <c r="E15" i="30"/>
  <c r="V137" i="18"/>
  <c r="AL137" i="18" s="1"/>
  <c r="P23" i="13"/>
  <c r="X28" i="13"/>
  <c r="AE28" i="13" s="1"/>
  <c r="Z28" i="13"/>
  <c r="AF28" i="13" s="1"/>
  <c r="U28" i="13"/>
  <c r="V24" i="18"/>
  <c r="AL24" i="18" s="1"/>
  <c r="P28" i="13"/>
  <c r="Z7" i="13"/>
  <c r="AF7" i="13" s="1"/>
  <c r="P7" i="13"/>
  <c r="T7" i="13" s="1"/>
  <c r="AI7" i="13" s="1"/>
  <c r="M7" i="13"/>
  <c r="O7" i="13" s="1"/>
  <c r="AD7" i="13" s="1"/>
  <c r="U7" i="13"/>
  <c r="X7" i="13"/>
  <c r="AE7" i="13" s="1"/>
  <c r="Z15" i="13"/>
  <c r="AF15" i="13" s="1"/>
  <c r="X15" i="13"/>
  <c r="AE15" i="13" s="1"/>
  <c r="U15" i="13"/>
  <c r="T94" i="18"/>
  <c r="AK94" i="18" s="1"/>
  <c r="P15" i="13"/>
  <c r="T15" i="13" s="1"/>
  <c r="AI15" i="13" s="1"/>
  <c r="X8" i="13"/>
  <c r="T14" i="18"/>
  <c r="AK14" i="18" s="1"/>
  <c r="P6" i="13"/>
  <c r="R6" i="13" s="1"/>
  <c r="AH6" i="13" s="1"/>
  <c r="V7" i="18"/>
  <c r="AL7" i="18" s="1"/>
  <c r="U8" i="13"/>
  <c r="M6" i="13"/>
  <c r="O6" i="13" s="1"/>
  <c r="AD6" i="13" s="1"/>
  <c r="Z6" i="13"/>
  <c r="AF6" i="13" s="1"/>
  <c r="P8" i="13"/>
  <c r="R8" i="13" s="1"/>
  <c r="Z8" i="13"/>
  <c r="U6" i="13"/>
  <c r="X6" i="13"/>
  <c r="AE6" i="13" s="1"/>
  <c r="AC19" i="13"/>
  <c r="E10" i="16"/>
  <c r="T27" i="25"/>
  <c r="O3" i="18"/>
  <c r="AN9" i="18"/>
  <c r="AN14" i="18"/>
  <c r="AU14" i="18" s="1"/>
  <c r="AY14" i="18" s="1"/>
  <c r="AN11" i="18"/>
  <c r="AZ172" i="18"/>
  <c r="AZ43" i="18"/>
  <c r="AZ91" i="18"/>
  <c r="AZ123" i="18"/>
  <c r="AZ99" i="18"/>
  <c r="AZ114" i="18"/>
  <c r="AZ11" i="18"/>
  <c r="AZ102" i="18"/>
  <c r="AZ46" i="18"/>
  <c r="AZ74" i="18"/>
  <c r="AZ168" i="18"/>
  <c r="AZ121" i="18"/>
  <c r="AI23" i="18"/>
  <c r="AI118" i="18"/>
  <c r="AI130" i="18"/>
  <c r="AI65" i="18"/>
  <c r="AI112" i="18"/>
  <c r="AI124" i="18"/>
  <c r="AI76" i="18"/>
  <c r="AI129" i="18"/>
  <c r="AI66" i="18"/>
  <c r="AI13" i="18"/>
  <c r="AI48" i="18"/>
  <c r="AI41" i="18"/>
  <c r="AI50" i="18"/>
  <c r="AI160" i="18"/>
  <c r="AI39" i="18"/>
  <c r="AI116" i="18"/>
  <c r="AI167" i="18"/>
  <c r="AI56" i="18"/>
  <c r="AI85" i="18"/>
  <c r="AI24" i="18"/>
  <c r="AI113" i="18"/>
  <c r="AI159" i="18"/>
  <c r="AI137" i="18"/>
  <c r="AI169" i="18"/>
  <c r="AI28" i="18"/>
  <c r="AI155" i="18"/>
  <c r="AI61" i="18"/>
  <c r="AI52" i="18"/>
  <c r="AI95" i="18"/>
  <c r="AI83" i="18"/>
  <c r="AI86" i="18"/>
  <c r="AI67" i="18"/>
  <c r="AI100" i="18"/>
  <c r="AI84" i="18"/>
  <c r="Q38" i="18"/>
  <c r="AG38" i="18" s="1"/>
  <c r="AZ38" i="18"/>
  <c r="Q83" i="18"/>
  <c r="AG83" i="18" s="1"/>
  <c r="AZ83" i="18"/>
  <c r="Q66" i="18"/>
  <c r="AG66" i="18" s="1"/>
  <c r="AZ66" i="18"/>
  <c r="Q14" i="18"/>
  <c r="AG14" i="18" s="1"/>
  <c r="AZ14" i="18"/>
  <c r="Q21" i="18"/>
  <c r="AG21" i="18" s="1"/>
  <c r="AZ21" i="18"/>
  <c r="Q116" i="18"/>
  <c r="AG116" i="18" s="1"/>
  <c r="AZ116" i="18"/>
  <c r="Q54" i="18"/>
  <c r="AG54" i="18" s="1"/>
  <c r="AZ54" i="18"/>
  <c r="Q130" i="18"/>
  <c r="AG130" i="18" s="1"/>
  <c r="AZ130" i="18"/>
  <c r="Q67" i="18"/>
  <c r="AG67" i="18" s="1"/>
  <c r="AZ67" i="18"/>
  <c r="Q126" i="18"/>
  <c r="AG126" i="18" s="1"/>
  <c r="AZ126" i="18"/>
  <c r="Q87" i="18"/>
  <c r="AG87" i="18" s="1"/>
  <c r="AZ87" i="18"/>
  <c r="Q122" i="18"/>
  <c r="AG122" i="18" s="1"/>
  <c r="AZ122" i="18"/>
  <c r="Q97" i="18"/>
  <c r="AG97" i="18" s="1"/>
  <c r="AZ97" i="18"/>
  <c r="Q143" i="18"/>
  <c r="AG143" i="18" s="1"/>
  <c r="AZ143" i="18"/>
  <c r="Q25" i="18"/>
  <c r="AG25" i="18" s="1"/>
  <c r="AZ25" i="18"/>
  <c r="Q53" i="18"/>
  <c r="AG53" i="18" s="1"/>
  <c r="AZ53" i="18"/>
  <c r="Q10" i="18"/>
  <c r="AG10" i="18" s="1"/>
  <c r="AZ10" i="18"/>
  <c r="Q27" i="18"/>
  <c r="AG27" i="18" s="1"/>
  <c r="AZ27" i="18"/>
  <c r="Q84" i="18"/>
  <c r="AG84" i="18" s="1"/>
  <c r="AZ84" i="18"/>
  <c r="Q124" i="18"/>
  <c r="AG124" i="18" s="1"/>
  <c r="AZ124" i="18"/>
  <c r="Q95" i="18"/>
  <c r="AG95" i="18" s="1"/>
  <c r="AZ95" i="18"/>
  <c r="Q65" i="18"/>
  <c r="AG65" i="18" s="1"/>
  <c r="AZ65" i="18"/>
  <c r="Q7" i="18"/>
  <c r="AG7" i="18" s="1"/>
  <c r="AZ7" i="18"/>
  <c r="Q26" i="18"/>
  <c r="AG26" i="18" s="1"/>
  <c r="AZ26" i="18"/>
  <c r="Q127" i="18"/>
  <c r="AG127" i="18" s="1"/>
  <c r="AZ127" i="18"/>
  <c r="Q92" i="18"/>
  <c r="AG92" i="18" s="1"/>
  <c r="AZ92" i="18"/>
  <c r="Q133" i="18"/>
  <c r="AG133" i="18" s="1"/>
  <c r="AZ133" i="18"/>
  <c r="Q30" i="18"/>
  <c r="AG30" i="18" s="1"/>
  <c r="AZ30" i="18"/>
  <c r="Q82" i="18"/>
  <c r="AG82" i="18" s="1"/>
  <c r="AZ82" i="18"/>
  <c r="Q85" i="18"/>
  <c r="AG85" i="18" s="1"/>
  <c r="AZ85" i="18"/>
  <c r="Q48" i="18"/>
  <c r="AG48" i="18" s="1"/>
  <c r="AZ48" i="18"/>
  <c r="Q129" i="18"/>
  <c r="AG129" i="18" s="1"/>
  <c r="AZ129" i="18"/>
  <c r="Q94" i="18"/>
  <c r="AG94" i="18" s="1"/>
  <c r="AZ94" i="18"/>
  <c r="Q23" i="18"/>
  <c r="AG23" i="18" s="1"/>
  <c r="AZ23" i="18"/>
  <c r="Q137" i="18"/>
  <c r="AG137" i="18" s="1"/>
  <c r="AZ137" i="18"/>
  <c r="Q141" i="18"/>
  <c r="AG141" i="18" s="1"/>
  <c r="AZ141" i="18"/>
  <c r="Q50" i="18"/>
  <c r="AG50" i="18" s="1"/>
  <c r="AZ50" i="18"/>
  <c r="Q142" i="18"/>
  <c r="AG142" i="18" s="1"/>
  <c r="AZ142" i="18"/>
  <c r="Q24" i="18"/>
  <c r="AG24" i="18" s="1"/>
  <c r="AZ24" i="18"/>
  <c r="Q39" i="18"/>
  <c r="AG39" i="18" s="1"/>
  <c r="AZ39" i="18"/>
  <c r="Q80" i="18"/>
  <c r="AG80" i="18" s="1"/>
  <c r="AZ80" i="18"/>
  <c r="Q86" i="18"/>
  <c r="AG86" i="18" s="1"/>
  <c r="AZ86" i="18"/>
  <c r="Q28" i="18"/>
  <c r="AG28" i="18" s="1"/>
  <c r="AZ28" i="18"/>
  <c r="Q76" i="18"/>
  <c r="AG76" i="18" s="1"/>
  <c r="AZ76" i="18"/>
  <c r="Q42" i="18"/>
  <c r="AG42" i="18" s="1"/>
  <c r="AZ42" i="18"/>
  <c r="Q81" i="18"/>
  <c r="AG81" i="18" s="1"/>
  <c r="AZ81" i="18"/>
  <c r="Q77" i="18"/>
  <c r="AG77" i="18" s="1"/>
  <c r="AZ77" i="18"/>
  <c r="Q132" i="18"/>
  <c r="AG132" i="18" s="1"/>
  <c r="AZ132" i="18"/>
  <c r="Q56" i="18"/>
  <c r="AG56" i="18" s="1"/>
  <c r="AZ56" i="18"/>
  <c r="Q90" i="18"/>
  <c r="AG90" i="18" s="1"/>
  <c r="AZ90" i="18"/>
  <c r="Q52" i="18"/>
  <c r="AG52" i="18" s="1"/>
  <c r="AZ52" i="18"/>
  <c r="Q41" i="18"/>
  <c r="AG41" i="18" s="1"/>
  <c r="AZ41" i="18"/>
  <c r="Q49" i="18"/>
  <c r="AG49" i="18" s="1"/>
  <c r="AZ49" i="18"/>
  <c r="Q113" i="18"/>
  <c r="AG113" i="18" s="1"/>
  <c r="AZ113" i="18"/>
  <c r="Q118" i="18"/>
  <c r="AG118" i="18" s="1"/>
  <c r="AZ118" i="18"/>
  <c r="Q144" i="18"/>
  <c r="AG144" i="18" s="1"/>
  <c r="AZ144" i="18"/>
  <c r="Q75" i="18"/>
  <c r="AG75" i="18" s="1"/>
  <c r="AZ75" i="18"/>
  <c r="Q61" i="18"/>
  <c r="AG61" i="18" s="1"/>
  <c r="AZ61" i="18"/>
  <c r="Q106" i="18"/>
  <c r="AG106" i="18" s="1"/>
  <c r="AZ106" i="18"/>
  <c r="Q100" i="18"/>
  <c r="AG100" i="18" s="1"/>
  <c r="AZ100" i="18"/>
  <c r="Q165" i="18"/>
  <c r="AG165" i="18" s="1"/>
  <c r="AZ165" i="18"/>
  <c r="Q163" i="18"/>
  <c r="AG163" i="18" s="1"/>
  <c r="AZ163" i="18"/>
  <c r="Q171" i="18"/>
  <c r="AG171" i="18" s="1"/>
  <c r="AZ171" i="18"/>
  <c r="Q164" i="18"/>
  <c r="AG164" i="18" s="1"/>
  <c r="AZ164" i="18"/>
  <c r="Q107" i="18"/>
  <c r="AG107" i="18" s="1"/>
  <c r="AZ107" i="18"/>
  <c r="Q166" i="18"/>
  <c r="AG166" i="18" s="1"/>
  <c r="AZ166" i="18"/>
  <c r="Q169" i="18"/>
  <c r="AG169" i="18" s="1"/>
  <c r="AZ169" i="18"/>
  <c r="Q167" i="18"/>
  <c r="AG167" i="18" s="1"/>
  <c r="AZ167" i="18"/>
  <c r="AZ9" i="18"/>
  <c r="AY9" i="18"/>
  <c r="BD9" i="18" s="1"/>
  <c r="AI53" i="18"/>
  <c r="AI33" i="18"/>
  <c r="AI107" i="18"/>
  <c r="AI149" i="18"/>
  <c r="AI92" i="18"/>
  <c r="AI91" i="18"/>
  <c r="AI132" i="18"/>
  <c r="AI99" i="18"/>
  <c r="AI58" i="18"/>
  <c r="AI49" i="18"/>
  <c r="AI114" i="18"/>
  <c r="AI10" i="18"/>
  <c r="AI153" i="18"/>
  <c r="AI97" i="18"/>
  <c r="AI121" i="18"/>
  <c r="AI75" i="18"/>
  <c r="AI165" i="18"/>
  <c r="AI171" i="18"/>
  <c r="AI81" i="18"/>
  <c r="AI148" i="18"/>
  <c r="AI25" i="18"/>
  <c r="AI11" i="18"/>
  <c r="AI163" i="18"/>
  <c r="AI27" i="18"/>
  <c r="AI154" i="18"/>
  <c r="AI141" i="18"/>
  <c r="AI166" i="18"/>
  <c r="AI34" i="18"/>
  <c r="AI133" i="18"/>
  <c r="AI74" i="18"/>
  <c r="AI21" i="18"/>
  <c r="AI142" i="18"/>
  <c r="AI82" i="18"/>
  <c r="AI156" i="18"/>
  <c r="AI35" i="18"/>
  <c r="AI164" i="18"/>
  <c r="AI151" i="18"/>
  <c r="AI98" i="18"/>
  <c r="AI46" i="18"/>
  <c r="AI102" i="18"/>
  <c r="AI150" i="18"/>
  <c r="AI168" i="18"/>
  <c r="AI26" i="18"/>
  <c r="AI9" i="18"/>
  <c r="AI106" i="18"/>
  <c r="AI30" i="18"/>
  <c r="AI143" i="18"/>
  <c r="AI43" i="18"/>
  <c r="AI32" i="18"/>
  <c r="AI87" i="18"/>
  <c r="AI54" i="18"/>
  <c r="AI123" i="18"/>
  <c r="AI80" i="18"/>
  <c r="AI7" i="18"/>
  <c r="AI144" i="18"/>
  <c r="AI90" i="18"/>
  <c r="AI42" i="18"/>
  <c r="AI77" i="18"/>
  <c r="AI122" i="18"/>
  <c r="AI127" i="18"/>
  <c r="AI14" i="18"/>
  <c r="AI152" i="18"/>
  <c r="AI38" i="18"/>
  <c r="AI147" i="18"/>
  <c r="AI94" i="18"/>
  <c r="AI172" i="18"/>
  <c r="AI126" i="18"/>
  <c r="Q172" i="18"/>
  <c r="AG172" i="18" s="1"/>
  <c r="Q43" i="18"/>
  <c r="AG43" i="18" s="1"/>
  <c r="Q58" i="18"/>
  <c r="AG58" i="18" s="1"/>
  <c r="Q99" i="18"/>
  <c r="AG99" i="18" s="1"/>
  <c r="Q102" i="18"/>
  <c r="AG102" i="18" s="1"/>
  <c r="Q91" i="18"/>
  <c r="AG91" i="18" s="1"/>
  <c r="Q114" i="18"/>
  <c r="AG114" i="18" s="1"/>
  <c r="Q168" i="18"/>
  <c r="AG168" i="18" s="1"/>
  <c r="Q11" i="18"/>
  <c r="AG11" i="18" s="1"/>
  <c r="Q9" i="18"/>
  <c r="AG9" i="18" s="1"/>
  <c r="Q74" i="18"/>
  <c r="AG74" i="18" s="1"/>
  <c r="Q123" i="18"/>
  <c r="AG123" i="18" s="1"/>
  <c r="Q46" i="18"/>
  <c r="AG46" i="18" s="1"/>
  <c r="Q121" i="18"/>
  <c r="AG121" i="18" s="1"/>
  <c r="V86" i="18"/>
  <c r="AL86" i="18" s="1"/>
  <c r="V112" i="18"/>
  <c r="AL112" i="18" s="1"/>
  <c r="P19" i="13"/>
  <c r="R19" i="13" s="1"/>
  <c r="AH19" i="13" s="1"/>
  <c r="Q112" i="18"/>
  <c r="AG112" i="18" s="1"/>
  <c r="M19" i="13"/>
  <c r="O19" i="13" s="1"/>
  <c r="AD19" i="13" s="1"/>
  <c r="Z19" i="13"/>
  <c r="K112" i="18"/>
  <c r="AE112" i="18" s="1"/>
  <c r="G19" i="13"/>
  <c r="I19" i="13" s="1"/>
  <c r="U19" i="13"/>
  <c r="X19" i="13"/>
  <c r="V32" i="18"/>
  <c r="AL32" i="18" s="1"/>
  <c r="V143" i="18"/>
  <c r="AL143" i="18" s="1"/>
  <c r="V41" i="18"/>
  <c r="AL41" i="18" s="1"/>
  <c r="T112" i="18"/>
  <c r="AK112" i="18" s="1"/>
  <c r="T34" i="18"/>
  <c r="AK34" i="18" s="1"/>
  <c r="V151" i="18"/>
  <c r="AL151" i="18" s="1"/>
  <c r="W3" i="18"/>
  <c r="Q98" i="18"/>
  <c r="AG98" i="18" s="1"/>
  <c r="O2" i="18"/>
  <c r="I2" i="18"/>
  <c r="T121" i="18"/>
  <c r="AK121" i="18" s="1"/>
  <c r="T155" i="18"/>
  <c r="AK155" i="18" s="1"/>
  <c r="V30" i="18"/>
  <c r="AL30" i="18" s="1"/>
  <c r="V164" i="18"/>
  <c r="AL164" i="18" s="1"/>
  <c r="T13" i="18"/>
  <c r="AK13" i="18" s="1"/>
  <c r="V81" i="18"/>
  <c r="AL81" i="18" s="1"/>
  <c r="V67" i="18"/>
  <c r="AL67" i="18" s="1"/>
  <c r="T97" i="18"/>
  <c r="AK97" i="18" s="1"/>
  <c r="V46" i="18"/>
  <c r="AL46" i="18" s="1"/>
  <c r="T83" i="18"/>
  <c r="AK83" i="18" s="1"/>
  <c r="V35" i="18"/>
  <c r="AL35" i="18" s="1"/>
  <c r="T159" i="18"/>
  <c r="AK159" i="18" s="1"/>
  <c r="V84" i="18"/>
  <c r="AL84" i="18" s="1"/>
  <c r="T92" i="18"/>
  <c r="AK92" i="18" s="1"/>
  <c r="V26" i="18"/>
  <c r="AL26" i="18" s="1"/>
  <c r="V160" i="18"/>
  <c r="AL160" i="18" s="1"/>
  <c r="T85" i="18"/>
  <c r="AK85" i="18" s="1"/>
  <c r="V165" i="18"/>
  <c r="AL165" i="18" s="1"/>
  <c r="V166" i="18"/>
  <c r="AL166" i="18" s="1"/>
  <c r="T152" i="18"/>
  <c r="AK152" i="18" s="1"/>
  <c r="V149" i="18"/>
  <c r="AL149" i="18" s="1"/>
  <c r="V133" i="18"/>
  <c r="AL133" i="18" s="1"/>
  <c r="T130" i="18"/>
  <c r="AK130" i="18" s="1"/>
  <c r="V171" i="18"/>
  <c r="AL171" i="18" s="1"/>
  <c r="T49" i="18"/>
  <c r="AK49" i="18" s="1"/>
  <c r="T126" i="18"/>
  <c r="AK126" i="18" s="1"/>
  <c r="V154" i="18"/>
  <c r="AL154" i="18" s="1"/>
  <c r="V114" i="18"/>
  <c r="AL114" i="18" s="1"/>
  <c r="T118" i="18"/>
  <c r="AK118" i="18" s="1"/>
  <c r="T27" i="18"/>
  <c r="AK27" i="18" s="1"/>
  <c r="T76" i="18"/>
  <c r="AK76" i="18" s="1"/>
  <c r="V144" i="18"/>
  <c r="AL144" i="18" s="1"/>
  <c r="V169" i="18"/>
  <c r="AL169" i="18" s="1"/>
  <c r="T24" i="18"/>
  <c r="AK24" i="18" s="1"/>
  <c r="V82" i="18"/>
  <c r="AL82" i="18" s="1"/>
  <c r="V54" i="18"/>
  <c r="AL54" i="18" s="1"/>
  <c r="T75" i="18"/>
  <c r="AK75" i="18" s="1"/>
  <c r="V98" i="18"/>
  <c r="AL98" i="18" s="1"/>
  <c r="V11" i="18"/>
  <c r="AL11" i="18" s="1"/>
  <c r="V21" i="18"/>
  <c r="AL21" i="18" s="1"/>
  <c r="V129" i="18"/>
  <c r="AL129" i="18" s="1"/>
  <c r="V61" i="18"/>
  <c r="AL61" i="18" s="1"/>
  <c r="V94" i="18"/>
  <c r="AL94" i="18" s="1"/>
  <c r="V39" i="18"/>
  <c r="AL39" i="18" s="1"/>
  <c r="V42" i="18"/>
  <c r="AL42" i="18" s="1"/>
  <c r="T50" i="18"/>
  <c r="AK50" i="18" s="1"/>
  <c r="T127" i="18"/>
  <c r="AK127" i="18" s="1"/>
  <c r="T141" i="18"/>
  <c r="AK141" i="18" s="1"/>
  <c r="T65" i="18"/>
  <c r="AK65" i="18" s="1"/>
  <c r="T113" i="18"/>
  <c r="AK113" i="18" s="1"/>
  <c r="V123" i="18"/>
  <c r="AL123" i="18" s="1"/>
  <c r="V147" i="18"/>
  <c r="AL147" i="18" s="1"/>
  <c r="T25" i="18"/>
  <c r="AK25" i="18" s="1"/>
  <c r="T9" i="18"/>
  <c r="AK9" i="18" s="1"/>
  <c r="V56" i="18"/>
  <c r="AL56" i="18" s="1"/>
  <c r="T137" i="18"/>
  <c r="AK137" i="18" s="1"/>
  <c r="V14" i="18"/>
  <c r="AL14" i="18" s="1"/>
  <c r="V52" i="18"/>
  <c r="AL52" i="18" s="1"/>
  <c r="V153" i="18"/>
  <c r="AL153" i="18" s="1"/>
  <c r="V33" i="18"/>
  <c r="AL33" i="18" s="1"/>
  <c r="T77" i="18"/>
  <c r="AK77" i="18" s="1"/>
  <c r="T124" i="18"/>
  <c r="AK124" i="18" s="1"/>
  <c r="T7" i="18"/>
  <c r="AK7" i="18" s="1"/>
  <c r="V80" i="18"/>
  <c r="AL80" i="18" s="1"/>
  <c r="T87" i="18"/>
  <c r="AK87" i="18" s="1"/>
  <c r="T122" i="18"/>
  <c r="AK122" i="18" s="1"/>
  <c r="T28" i="18"/>
  <c r="AK28" i="18" s="1"/>
  <c r="V116" i="18"/>
  <c r="AL116" i="18" s="1"/>
  <c r="T172" i="18"/>
  <c r="AK172" i="18" s="1"/>
  <c r="V167" i="18"/>
  <c r="AL167" i="18" s="1"/>
  <c r="T148" i="18"/>
  <c r="AK148" i="18" s="1"/>
  <c r="V99" i="18"/>
  <c r="AL99" i="18" s="1"/>
  <c r="T10" i="18"/>
  <c r="AK10" i="18" s="1"/>
  <c r="T150" i="18"/>
  <c r="AK150" i="18" s="1"/>
  <c r="V38" i="18"/>
  <c r="AL38" i="18" s="1"/>
  <c r="V74" i="18"/>
  <c r="AL74" i="18" s="1"/>
  <c r="V90" i="18"/>
  <c r="AL90" i="18" s="1"/>
  <c r="T43" i="18"/>
  <c r="AK43" i="18" s="1"/>
  <c r="V142" i="18"/>
  <c r="AL142" i="18" s="1"/>
  <c r="V107" i="18"/>
  <c r="AL107" i="18" s="1"/>
  <c r="V91" i="18"/>
  <c r="AL91" i="18" s="1"/>
  <c r="V163" i="18"/>
  <c r="AL163" i="18" s="1"/>
  <c r="V168" i="18"/>
  <c r="AL168" i="18" s="1"/>
  <c r="T23" i="18"/>
  <c r="AK23" i="18" s="1"/>
  <c r="V48" i="18"/>
  <c r="AL48" i="18" s="1"/>
  <c r="V132" i="18"/>
  <c r="AL132" i="18" s="1"/>
  <c r="T95" i="18"/>
  <c r="AK95" i="18" s="1"/>
  <c r="T156" i="18"/>
  <c r="AK156" i="18" s="1"/>
  <c r="V53" i="18"/>
  <c r="AL53" i="18" s="1"/>
  <c r="T100" i="18"/>
  <c r="AK100" i="18" s="1"/>
  <c r="T102" i="18"/>
  <c r="AK102" i="18" s="1"/>
  <c r="V66" i="18"/>
  <c r="AL66" i="18" s="1"/>
  <c r="T106" i="18"/>
  <c r="AK106" i="18" s="1"/>
  <c r="V58" i="18"/>
  <c r="AL58" i="18" s="1"/>
  <c r="AZ13" i="18"/>
  <c r="AB42" i="25"/>
  <c r="I42" i="25"/>
  <c r="T23" i="13" l="1"/>
  <c r="AI23" i="13" s="1"/>
  <c r="R23" i="13"/>
  <c r="AH23" i="13" s="1"/>
  <c r="R28" i="13"/>
  <c r="AH28" i="13" s="1"/>
  <c r="T28" i="13"/>
  <c r="AI28" i="13" s="1"/>
  <c r="R7" i="13"/>
  <c r="AH7" i="13" s="1"/>
  <c r="R15" i="13"/>
  <c r="AH15" i="13" s="1"/>
  <c r="T8" i="13"/>
  <c r="T6" i="13"/>
  <c r="AI6" i="13" s="1"/>
  <c r="AF19" i="13"/>
  <c r="AE19" i="13"/>
  <c r="AV14" i="18"/>
  <c r="AX14" i="18" s="1"/>
  <c r="BB14" i="18"/>
  <c r="T19" i="13"/>
  <c r="AI19" i="13" s="1"/>
  <c r="BB168" i="18"/>
  <c r="BB91" i="18"/>
  <c r="BB98" i="18"/>
  <c r="BB123" i="18"/>
  <c r="BB102" i="18"/>
  <c r="BB46" i="18"/>
  <c r="BB121" i="18"/>
  <c r="BB58" i="18"/>
  <c r="BB11" i="18"/>
  <c r="BB43" i="18"/>
  <c r="BB99" i="18"/>
  <c r="BB74" i="18"/>
  <c r="BB9" i="18"/>
  <c r="BD14" i="18" l="1"/>
  <c r="AW14" i="18"/>
  <c r="BB148" i="18"/>
  <c r="BB152" i="18"/>
  <c r="BB147" i="18"/>
  <c r="BB151" i="18"/>
  <c r="BB154" i="18" l="1"/>
  <c r="AK29" i="13"/>
  <c r="AK4" i="13" s="1"/>
  <c r="K99" i="18" l="1"/>
  <c r="AE99" i="18" s="1"/>
  <c r="K91" i="18"/>
  <c r="AE91" i="18" s="1"/>
  <c r="K172" i="18"/>
  <c r="AE172" i="18" s="1"/>
  <c r="K168" i="18"/>
  <c r="AE168" i="18" s="1"/>
  <c r="H58" i="18"/>
  <c r="AD58" i="18" s="1"/>
  <c r="K123" i="18"/>
  <c r="AE123" i="18" s="1"/>
  <c r="K46" i="18"/>
  <c r="AE46" i="18" s="1"/>
  <c r="H98" i="18"/>
  <c r="AD98" i="18" s="1"/>
  <c r="K74" i="18"/>
  <c r="AE74" i="18" s="1"/>
  <c r="K58" i="18"/>
  <c r="AE58" i="18" s="1"/>
  <c r="K11" i="18"/>
  <c r="AE11" i="18" s="1"/>
  <c r="K102" i="18"/>
  <c r="AE102" i="18" s="1"/>
  <c r="K98" i="18"/>
  <c r="AE98" i="18" s="1"/>
  <c r="K43" i="18"/>
  <c r="AE43" i="18" s="1"/>
  <c r="K121" i="18"/>
  <c r="AE121" i="18" s="1"/>
  <c r="X3" i="19"/>
  <c r="X2" i="19"/>
  <c r="H8" i="13" l="1"/>
  <c r="I8" i="13" s="1"/>
  <c r="H6" i="13"/>
  <c r="I6" i="13" s="1"/>
  <c r="K9" i="18"/>
  <c r="AE9" i="18" s="1"/>
  <c r="AM1" i="19"/>
  <c r="AP3" i="19"/>
  <c r="X2" i="18"/>
  <c r="X3" i="18"/>
  <c r="X192" i="18" l="1"/>
  <c r="X191" i="18"/>
  <c r="X189" i="18"/>
  <c r="X190" i="18"/>
  <c r="X187" i="18"/>
  <c r="X188" i="18"/>
  <c r="X184" i="18"/>
  <c r="X185" i="18"/>
  <c r="X186" i="18"/>
  <c r="X183" i="18"/>
  <c r="X182" i="18"/>
  <c r="X181" i="18"/>
  <c r="X179" i="18"/>
  <c r="X180" i="18"/>
  <c r="X177" i="18"/>
  <c r="X178" i="18"/>
  <c r="X176" i="18"/>
  <c r="X175" i="18"/>
  <c r="X20" i="18"/>
  <c r="X18" i="18"/>
  <c r="AJ18" i="18" s="1"/>
  <c r="X19" i="18"/>
  <c r="AJ19" i="18" s="1"/>
  <c r="X69" i="18"/>
  <c r="AJ69" i="18" s="1"/>
  <c r="X47" i="18"/>
  <c r="AJ47" i="18" s="1"/>
  <c r="X68" i="18"/>
  <c r="AJ68" i="18" s="1"/>
  <c r="X108" i="18"/>
  <c r="X12" i="18"/>
  <c r="X93" i="18"/>
  <c r="X174" i="18"/>
  <c r="X128" i="18"/>
  <c r="AJ128" i="18" s="1"/>
  <c r="X173" i="18"/>
  <c r="AJ173" i="18" s="1"/>
  <c r="AM173" i="18" s="1"/>
  <c r="X131" i="18"/>
  <c r="AJ131" i="18" s="1"/>
  <c r="AM131" i="18" s="1"/>
  <c r="X29" i="18"/>
  <c r="AJ29" i="18" s="1"/>
  <c r="AM29" i="18" s="1"/>
  <c r="X170" i="18"/>
  <c r="AJ170" i="18" s="1"/>
  <c r="AM170" i="18" s="1"/>
  <c r="X79" i="18"/>
  <c r="AJ79" i="18" s="1"/>
  <c r="AM79" i="18" s="1"/>
  <c r="X104" i="18"/>
  <c r="AJ104" i="18" s="1"/>
  <c r="AM104" i="18" s="1"/>
  <c r="X115" i="18"/>
  <c r="AJ115" i="18" s="1"/>
  <c r="AM115" i="18" s="1"/>
  <c r="X40" i="18"/>
  <c r="AJ40" i="18" s="1"/>
  <c r="AM40" i="18" s="1"/>
  <c r="X140" i="18"/>
  <c r="AJ140" i="18" s="1"/>
  <c r="AM140" i="18" s="1"/>
  <c r="X22" i="18"/>
  <c r="AJ22" i="18" s="1"/>
  <c r="AM22" i="18" s="1"/>
  <c r="X138" i="18"/>
  <c r="AJ138" i="18" s="1"/>
  <c r="AM138" i="18" s="1"/>
  <c r="X55" i="18"/>
  <c r="AJ55" i="18" s="1"/>
  <c r="AM55" i="18" s="1"/>
  <c r="X16" i="18"/>
  <c r="AJ16" i="18" s="1"/>
  <c r="AM16" i="18" s="1"/>
  <c r="X63" i="18"/>
  <c r="AJ63" i="18" s="1"/>
  <c r="X117" i="18"/>
  <c r="AJ117" i="18" s="1"/>
  <c r="X60" i="18"/>
  <c r="AJ60" i="18" s="1"/>
  <c r="X59" i="18"/>
  <c r="AJ59" i="18" s="1"/>
  <c r="AP12" i="19"/>
  <c r="X73" i="18"/>
  <c r="X57" i="18"/>
  <c r="AJ57" i="18" s="1"/>
  <c r="X8" i="18"/>
  <c r="AJ8" i="18" s="1"/>
  <c r="X70" i="18"/>
  <c r="AJ70" i="18" s="1"/>
  <c r="AM70" i="18" s="1"/>
  <c r="X51" i="18"/>
  <c r="AJ51" i="18" s="1"/>
  <c r="AM51" i="18" s="1"/>
  <c r="X139" i="18"/>
  <c r="AJ139" i="18" s="1"/>
  <c r="X109" i="18"/>
  <c r="AJ109" i="18" s="1"/>
  <c r="X44" i="18"/>
  <c r="AJ44" i="18" s="1"/>
  <c r="X101" i="18"/>
  <c r="AJ101" i="18" s="1"/>
  <c r="X36" i="18"/>
  <c r="AJ36" i="18" s="1"/>
  <c r="X9" i="18"/>
  <c r="AJ9" i="18" s="1"/>
  <c r="X172" i="18"/>
  <c r="AJ172" i="18" s="1"/>
  <c r="X98" i="18"/>
  <c r="AJ98" i="18" s="1"/>
  <c r="AM98" i="18" s="1"/>
  <c r="X58" i="18"/>
  <c r="AJ58" i="18" s="1"/>
  <c r="AM58" i="18" s="1"/>
  <c r="X168" i="18"/>
  <c r="AJ168" i="18" s="1"/>
  <c r="X91" i="18"/>
  <c r="AJ91" i="18" s="1"/>
  <c r="X74" i="18"/>
  <c r="AJ74" i="18" s="1"/>
  <c r="X43" i="18"/>
  <c r="AJ43" i="18" s="1"/>
  <c r="X11" i="18"/>
  <c r="AJ11" i="18" s="1"/>
  <c r="X99" i="18"/>
  <c r="AJ99" i="18" s="1"/>
  <c r="X102" i="18"/>
  <c r="AJ102" i="18" s="1"/>
  <c r="X46" i="18"/>
  <c r="AJ46" i="18" s="1"/>
  <c r="X123" i="18"/>
  <c r="AJ123" i="18" s="1"/>
  <c r="X121" i="18"/>
  <c r="AJ121" i="18" s="1"/>
  <c r="X17" i="18"/>
  <c r="AJ17" i="18" s="1"/>
  <c r="AM17" i="18" s="1"/>
  <c r="X158" i="18"/>
  <c r="AJ158" i="18" s="1"/>
  <c r="AM158" i="18" s="1"/>
  <c r="X72" i="18"/>
  <c r="AJ72" i="18" s="1"/>
  <c r="X110" i="18"/>
  <c r="AJ110" i="18" s="1"/>
  <c r="X105" i="18"/>
  <c r="AJ105" i="18" s="1"/>
  <c r="AM105" i="18" s="1"/>
  <c r="X78" i="18"/>
  <c r="AJ78" i="18" s="1"/>
  <c r="AM78" i="18" s="1"/>
  <c r="X161" i="18"/>
  <c r="AJ161" i="18" s="1"/>
  <c r="AM161" i="18" s="1"/>
  <c r="X135" i="18"/>
  <c r="AJ135" i="18" s="1"/>
  <c r="AM135" i="18" s="1"/>
  <c r="X136" i="18"/>
  <c r="AJ136" i="18" s="1"/>
  <c r="AM136" i="18" s="1"/>
  <c r="X88" i="18"/>
  <c r="AJ88" i="18" s="1"/>
  <c r="AM88" i="18" s="1"/>
  <c r="X119" i="18"/>
  <c r="AJ119" i="18" s="1"/>
  <c r="AM119" i="18" s="1"/>
  <c r="X71" i="18"/>
  <c r="AJ71" i="18" s="1"/>
  <c r="AM71" i="18" s="1"/>
  <c r="X125" i="18"/>
  <c r="AJ125" i="18" s="1"/>
  <c r="AM125" i="18" s="1"/>
  <c r="X89" i="18"/>
  <c r="AJ89" i="18" s="1"/>
  <c r="AM89" i="18" s="1"/>
  <c r="X15" i="18"/>
  <c r="AJ15" i="18" s="1"/>
  <c r="AM15" i="18" s="1"/>
  <c r="X120" i="18"/>
  <c r="AJ120" i="18" s="1"/>
  <c r="AM120" i="18" s="1"/>
  <c r="X103" i="18"/>
  <c r="AJ103" i="18" s="1"/>
  <c r="AM103" i="18" s="1"/>
  <c r="X162" i="18"/>
  <c r="AJ162" i="18" s="1"/>
  <c r="AM162" i="18" s="1"/>
  <c r="X157" i="18"/>
  <c r="AJ157" i="18" s="1"/>
  <c r="X111" i="18"/>
  <c r="X96" i="18"/>
  <c r="AJ96" i="18" s="1"/>
  <c r="X134" i="18"/>
  <c r="AJ134" i="18" s="1"/>
  <c r="X62" i="18"/>
  <c r="AJ62" i="18" s="1"/>
  <c r="X45" i="18"/>
  <c r="AJ45" i="18" s="1"/>
  <c r="X146" i="18"/>
  <c r="AJ146" i="18" s="1"/>
  <c r="X145" i="18"/>
  <c r="AJ145" i="18" s="1"/>
  <c r="X64" i="18"/>
  <c r="AJ64" i="18" s="1"/>
  <c r="X31" i="18"/>
  <c r="AJ31" i="18" s="1"/>
  <c r="X13" i="18"/>
  <c r="AJ13" i="18" s="1"/>
  <c r="X97" i="18"/>
  <c r="AJ97" i="18" s="1"/>
  <c r="X61" i="18"/>
  <c r="AJ61" i="18" s="1"/>
  <c r="X92" i="18"/>
  <c r="AJ92" i="18" s="1"/>
  <c r="X154" i="18"/>
  <c r="AJ154" i="18" s="1"/>
  <c r="AM154" i="18" s="1"/>
  <c r="X167" i="18"/>
  <c r="AJ167" i="18" s="1"/>
  <c r="X132" i="18"/>
  <c r="AJ132" i="18" s="1"/>
  <c r="X143" i="18"/>
  <c r="AJ143" i="18" s="1"/>
  <c r="X53" i="18"/>
  <c r="AJ53" i="18" s="1"/>
  <c r="X95" i="18"/>
  <c r="AJ95" i="18" s="1"/>
  <c r="X169" i="18"/>
  <c r="AJ169" i="18" s="1"/>
  <c r="X85" i="18"/>
  <c r="AJ85" i="18" s="1"/>
  <c r="X156" i="18"/>
  <c r="AJ156" i="18" s="1"/>
  <c r="X76" i="18"/>
  <c r="AJ76" i="18" s="1"/>
  <c r="X54" i="18"/>
  <c r="AJ54" i="18" s="1"/>
  <c r="X144" i="18"/>
  <c r="AJ144" i="18" s="1"/>
  <c r="X33" i="18"/>
  <c r="AJ33" i="18" s="1"/>
  <c r="AM33" i="18" s="1"/>
  <c r="X75" i="18"/>
  <c r="AJ75" i="18" s="1"/>
  <c r="X160" i="18"/>
  <c r="AJ160" i="18" s="1"/>
  <c r="X66" i="18"/>
  <c r="AJ66" i="18" s="1"/>
  <c r="X39" i="18"/>
  <c r="AJ39" i="18" s="1"/>
  <c r="X14" i="18"/>
  <c r="X165" i="18"/>
  <c r="AJ165" i="18" s="1"/>
  <c r="X133" i="18"/>
  <c r="AJ133" i="18" s="1"/>
  <c r="X81" i="18"/>
  <c r="AJ81" i="18" s="1"/>
  <c r="X149" i="18"/>
  <c r="AJ149" i="18" s="1"/>
  <c r="AM149" i="18" s="1"/>
  <c r="X28" i="18"/>
  <c r="AJ28" i="18" s="1"/>
  <c r="X114" i="18"/>
  <c r="AJ114" i="18" s="1"/>
  <c r="X26" i="18"/>
  <c r="AJ26" i="18" s="1"/>
  <c r="X42" i="18"/>
  <c r="AJ42" i="18" s="1"/>
  <c r="X56" i="18"/>
  <c r="AJ56" i="18" s="1"/>
  <c r="X83" i="18"/>
  <c r="AJ83" i="18" s="1"/>
  <c r="X163" i="18"/>
  <c r="AJ163" i="18" s="1"/>
  <c r="X90" i="18"/>
  <c r="AJ90" i="18" s="1"/>
  <c r="X152" i="18"/>
  <c r="AJ152" i="18" s="1"/>
  <c r="AM152" i="18" s="1"/>
  <c r="X25" i="18"/>
  <c r="AJ25" i="18" s="1"/>
  <c r="X52" i="18"/>
  <c r="AJ52" i="18" s="1"/>
  <c r="X106" i="18"/>
  <c r="AJ106" i="18" s="1"/>
  <c r="X34" i="18"/>
  <c r="AJ34" i="18" s="1"/>
  <c r="AM34" i="18" s="1"/>
  <c r="X118" i="18"/>
  <c r="AJ118" i="18" s="1"/>
  <c r="X65" i="18"/>
  <c r="AJ65" i="18" s="1"/>
  <c r="X21" i="18"/>
  <c r="AJ21" i="18" s="1"/>
  <c r="X77" i="18"/>
  <c r="AJ77" i="18" s="1"/>
  <c r="X27" i="18"/>
  <c r="AJ27" i="18" s="1"/>
  <c r="X130" i="18"/>
  <c r="AJ130" i="18" s="1"/>
  <c r="X129" i="18"/>
  <c r="AJ129" i="18" s="1"/>
  <c r="X159" i="18"/>
  <c r="AJ159" i="18" s="1"/>
  <c r="X113" i="18"/>
  <c r="AJ113" i="18" s="1"/>
  <c r="X23" i="18"/>
  <c r="AJ23" i="18" s="1"/>
  <c r="X141" i="18"/>
  <c r="AJ141" i="18" s="1"/>
  <c r="X153" i="18"/>
  <c r="AJ153" i="18" s="1"/>
  <c r="AM153" i="18" s="1"/>
  <c r="X35" i="18"/>
  <c r="AJ35" i="18" s="1"/>
  <c r="AM35" i="18" s="1"/>
  <c r="X148" i="18"/>
  <c r="AJ148" i="18" s="1"/>
  <c r="AM148" i="18" s="1"/>
  <c r="X30" i="18"/>
  <c r="AJ30" i="18" s="1"/>
  <c r="X151" i="18"/>
  <c r="AJ151" i="18" s="1"/>
  <c r="AM151" i="18" s="1"/>
  <c r="X107" i="18"/>
  <c r="AJ107" i="18" s="1"/>
  <c r="X32" i="18"/>
  <c r="AJ32" i="18" s="1"/>
  <c r="AM32" i="18" s="1"/>
  <c r="X100" i="18"/>
  <c r="AJ100" i="18" s="1"/>
  <c r="X84" i="18"/>
  <c r="AJ84" i="18" s="1"/>
  <c r="X122" i="18"/>
  <c r="AJ122" i="18" s="1"/>
  <c r="X116" i="18"/>
  <c r="AJ116" i="18" s="1"/>
  <c r="X50" i="18"/>
  <c r="AJ50" i="18" s="1"/>
  <c r="X24" i="18"/>
  <c r="AJ24" i="18" s="1"/>
  <c r="X112" i="18"/>
  <c r="AJ112" i="18" s="1"/>
  <c r="X147" i="18"/>
  <c r="AJ147" i="18" s="1"/>
  <c r="AM147" i="18" s="1"/>
  <c r="X137" i="18"/>
  <c r="X155" i="18"/>
  <c r="AJ155" i="18" s="1"/>
  <c r="X126" i="18"/>
  <c r="AJ126" i="18" s="1"/>
  <c r="X80" i="18"/>
  <c r="AJ80" i="18" s="1"/>
  <c r="X127" i="18"/>
  <c r="AJ127" i="18" s="1"/>
  <c r="X124" i="18"/>
  <c r="AJ124" i="18" s="1"/>
  <c r="X94" i="18"/>
  <c r="X7" i="18"/>
  <c r="X48" i="18"/>
  <c r="AJ48" i="18" s="1"/>
  <c r="X164" i="18"/>
  <c r="AJ164" i="18" s="1"/>
  <c r="X166" i="18"/>
  <c r="AJ166" i="18" s="1"/>
  <c r="X171" i="18"/>
  <c r="AJ171" i="18" s="1"/>
  <c r="X87" i="18"/>
  <c r="AJ87" i="18" s="1"/>
  <c r="X67" i="18"/>
  <c r="AJ67" i="18" s="1"/>
  <c r="X86" i="18"/>
  <c r="AJ86" i="18" s="1"/>
  <c r="X150" i="18"/>
  <c r="AJ150" i="18" s="1"/>
  <c r="AM150" i="18" s="1"/>
  <c r="X38" i="18"/>
  <c r="AJ38" i="18" s="1"/>
  <c r="X142" i="18"/>
  <c r="AJ142" i="18" s="1"/>
  <c r="X41" i="18"/>
  <c r="AJ41" i="18" s="1"/>
  <c r="X10" i="18"/>
  <c r="AJ10" i="18" s="1"/>
  <c r="X49" i="18"/>
  <c r="AJ49" i="18" s="1"/>
  <c r="X82" i="18"/>
  <c r="AJ82" i="18" s="1"/>
  <c r="AP13" i="19"/>
  <c r="AP7" i="19"/>
  <c r="AP10" i="19"/>
  <c r="AP9" i="19"/>
  <c r="AP8" i="19"/>
  <c r="AP11" i="19"/>
  <c r="K24" i="13"/>
  <c r="D16" i="13"/>
  <c r="Q20" i="13"/>
  <c r="W12" i="13"/>
  <c r="S13" i="13"/>
  <c r="Y13" i="13"/>
  <c r="J18" i="13"/>
  <c r="Y16" i="13"/>
  <c r="S25" i="13"/>
  <c r="Q25" i="13"/>
  <c r="D13" i="13"/>
  <c r="Y22" i="13"/>
  <c r="W14" i="13"/>
  <c r="S14" i="13"/>
  <c r="Q11" i="13"/>
  <c r="W25" i="13"/>
  <c r="J13" i="13"/>
  <c r="J12" i="13"/>
  <c r="D17" i="13"/>
  <c r="Q16" i="13"/>
  <c r="Q18" i="13"/>
  <c r="J20" i="13"/>
  <c r="S12" i="13"/>
  <c r="D20" i="13"/>
  <c r="S18" i="13"/>
  <c r="W16" i="13"/>
  <c r="W18" i="13"/>
  <c r="Y14" i="13"/>
  <c r="J16" i="13"/>
  <c r="W22" i="13"/>
  <c r="D22" i="13"/>
  <c r="J11" i="13"/>
  <c r="Q13" i="13"/>
  <c r="Y20" i="13"/>
  <c r="D14" i="13"/>
  <c r="D12" i="13"/>
  <c r="J17" i="13"/>
  <c r="S11" i="13"/>
  <c r="Y17" i="13"/>
  <c r="Q17" i="13"/>
  <c r="D18" i="13"/>
  <c r="Y18" i="13"/>
  <c r="Q12" i="13"/>
  <c r="D11" i="13"/>
  <c r="J25" i="13"/>
  <c r="S16" i="13"/>
  <c r="J14" i="13"/>
  <c r="W11" i="13"/>
  <c r="Q14" i="13"/>
  <c r="Y25" i="13"/>
  <c r="S17" i="13"/>
  <c r="W21" i="13"/>
  <c r="J10" i="13"/>
  <c r="Q10" i="13"/>
  <c r="Y21" i="13"/>
  <c r="G21" i="13"/>
  <c r="M20" i="13"/>
  <c r="P18" i="13"/>
  <c r="G11" i="13"/>
  <c r="G20" i="13"/>
  <c r="M21" i="13"/>
  <c r="P11" i="13"/>
  <c r="U11" i="13"/>
  <c r="U18" i="13"/>
  <c r="P25" i="13"/>
  <c r="Q22" i="13"/>
  <c r="S20" i="13"/>
  <c r="W10" i="13"/>
  <c r="G22" i="13"/>
  <c r="U17" i="13"/>
  <c r="P22" i="13"/>
  <c r="P21" i="13"/>
  <c r="G14" i="13"/>
  <c r="G17" i="13"/>
  <c r="G10" i="13"/>
  <c r="G12" i="13"/>
  <c r="G16" i="13"/>
  <c r="M10" i="13"/>
  <c r="P10" i="13"/>
  <c r="U14" i="13"/>
  <c r="W20" i="13"/>
  <c r="W17" i="13"/>
  <c r="S22" i="13"/>
  <c r="D25" i="13"/>
  <c r="Y10" i="13"/>
  <c r="J21" i="13"/>
  <c r="S21" i="13"/>
  <c r="U21" i="13"/>
  <c r="U10" i="13"/>
  <c r="U16" i="13"/>
  <c r="M14" i="13"/>
  <c r="M18" i="13"/>
  <c r="P17" i="13"/>
  <c r="P16" i="13"/>
  <c r="M17" i="13"/>
  <c r="P12" i="13"/>
  <c r="G18" i="13"/>
  <c r="M16" i="13"/>
  <c r="D21" i="13"/>
  <c r="Y12" i="13"/>
  <c r="S10" i="13"/>
  <c r="U22" i="13"/>
  <c r="M12" i="13"/>
  <c r="P20" i="13"/>
  <c r="G25" i="13"/>
  <c r="U12" i="13"/>
  <c r="J22" i="13"/>
  <c r="W13" i="13"/>
  <c r="Y11" i="13"/>
  <c r="D10" i="13"/>
  <c r="Q21" i="13"/>
  <c r="M22" i="13"/>
  <c r="U13" i="13"/>
  <c r="P14" i="13"/>
  <c r="U25" i="13"/>
  <c r="M13" i="13"/>
  <c r="P13" i="13"/>
  <c r="U20" i="13"/>
  <c r="M11" i="13"/>
  <c r="G13" i="13"/>
  <c r="M25" i="13"/>
  <c r="C24" i="13"/>
  <c r="C21" i="13"/>
  <c r="C13" i="13"/>
  <c r="C26" i="13"/>
  <c r="C27" i="13"/>
  <c r="C25" i="13"/>
  <c r="C22" i="13"/>
  <c r="C11" i="13"/>
  <c r="C16" i="13"/>
  <c r="C10" i="13"/>
  <c r="C9" i="13"/>
  <c r="C17" i="13"/>
  <c r="C14" i="13"/>
  <c r="C18" i="13"/>
  <c r="C12" i="13"/>
  <c r="K21" i="13"/>
  <c r="K13" i="13"/>
  <c r="K26" i="13"/>
  <c r="K27" i="13"/>
  <c r="K25" i="13"/>
  <c r="K22" i="13"/>
  <c r="K11" i="13"/>
  <c r="K16" i="13"/>
  <c r="K10" i="13"/>
  <c r="K9" i="13"/>
  <c r="K17" i="13"/>
  <c r="K14" i="13"/>
  <c r="K18" i="13"/>
  <c r="K12" i="13"/>
  <c r="C20" i="13"/>
  <c r="AJ137" i="18" l="1"/>
  <c r="V23" i="13"/>
  <c r="AG23" i="13" s="1"/>
  <c r="AJ23" i="13" s="1"/>
  <c r="AO23" i="13" s="1"/>
  <c r="AP23" i="13" s="1"/>
  <c r="AJ20" i="18"/>
  <c r="V28" i="13"/>
  <c r="AG28" i="13" s="1"/>
  <c r="AJ28" i="13" s="1"/>
  <c r="AO28" i="13" s="1"/>
  <c r="AP28" i="13" s="1"/>
  <c r="V7" i="13"/>
  <c r="AG7" i="13" s="1"/>
  <c r="AJ7" i="13" s="1"/>
  <c r="AO7" i="13" s="1"/>
  <c r="AP7" i="13" s="1"/>
  <c r="AJ94" i="18"/>
  <c r="V15" i="13"/>
  <c r="AG15" i="13" s="1"/>
  <c r="AJ15" i="13" s="1"/>
  <c r="AO15" i="13" s="1"/>
  <c r="AP15" i="13" s="1"/>
  <c r="AJ14" i="18"/>
  <c r="V6" i="13"/>
  <c r="AG6" i="13" s="1"/>
  <c r="AJ6" i="13" s="1"/>
  <c r="AO6" i="13" s="1"/>
  <c r="AP6" i="13" s="1"/>
  <c r="AJ7" i="18"/>
  <c r="V8" i="13"/>
  <c r="AN143" i="18"/>
  <c r="AU143" i="18" s="1"/>
  <c r="AY143" i="18" s="1"/>
  <c r="AJ73" i="18"/>
  <c r="AJ111" i="18"/>
  <c r="V19" i="13"/>
  <c r="AG19" i="13" s="1"/>
  <c r="AJ19" i="13" s="1"/>
  <c r="AO19" i="13" s="1"/>
  <c r="AP19" i="13" s="1"/>
  <c r="R21" i="13"/>
  <c r="T21" i="13"/>
  <c r="T22" i="13"/>
  <c r="R22" i="13"/>
  <c r="T16" i="13"/>
  <c r="R17" i="13"/>
  <c r="T11" i="13"/>
  <c r="R11" i="13"/>
  <c r="T10" i="13"/>
  <c r="R18" i="13"/>
  <c r="T25" i="13"/>
  <c r="R14" i="13"/>
  <c r="R25" i="13"/>
  <c r="T20" i="13"/>
  <c r="T17" i="13"/>
  <c r="T18" i="13"/>
  <c r="T12" i="13"/>
  <c r="R16" i="13"/>
  <c r="T14" i="13"/>
  <c r="R20" i="13"/>
  <c r="R13" i="13"/>
  <c r="R10" i="13"/>
  <c r="R12" i="13"/>
  <c r="T13" i="13"/>
  <c r="AP5" i="19"/>
  <c r="V16" i="13"/>
  <c r="V17" i="13"/>
  <c r="V12" i="13"/>
  <c r="V22" i="13"/>
  <c r="V18" i="13"/>
  <c r="V13" i="13"/>
  <c r="V20" i="13"/>
  <c r="V21" i="13"/>
  <c r="V25" i="13"/>
  <c r="V11" i="13"/>
  <c r="V10" i="13"/>
  <c r="V14" i="13"/>
  <c r="AR23" i="13" l="1"/>
  <c r="AQ23" i="13"/>
  <c r="AR28" i="13"/>
  <c r="AQ28" i="13"/>
  <c r="AR7" i="13"/>
  <c r="AQ7" i="13"/>
  <c r="AQ6" i="13"/>
  <c r="AR6" i="13"/>
  <c r="AQ15" i="13"/>
  <c r="AR15" i="13"/>
  <c r="BB143" i="18"/>
  <c r="AQ19" i="13"/>
  <c r="AR19" i="13"/>
  <c r="F37" i="18"/>
  <c r="J10" i="16" s="1"/>
  <c r="J9" i="16" s="1"/>
  <c r="Y37" i="18"/>
  <c r="N10" i="16" s="1"/>
  <c r="S37" i="18"/>
  <c r="D10" i="16" s="1"/>
  <c r="C10" i="16"/>
  <c r="L37" i="18"/>
  <c r="G10" i="16" s="1"/>
  <c r="AA37" i="18"/>
  <c r="R10" i="16" s="1"/>
  <c r="L3" i="18" l="1"/>
  <c r="R30" i="25"/>
  <c r="BD143" i="18"/>
  <c r="F5" i="18"/>
  <c r="F1" i="18"/>
  <c r="F3" i="18"/>
  <c r="AB37" i="18"/>
  <c r="Z37" i="18"/>
  <c r="L5" i="18"/>
  <c r="U3" i="18"/>
  <c r="AA3" i="18"/>
  <c r="L1" i="18"/>
  <c r="S3" i="18"/>
  <c r="Y3" i="18"/>
  <c r="S9" i="13"/>
  <c r="J9" i="13"/>
  <c r="Q9" i="13"/>
  <c r="Y9" i="13"/>
  <c r="W9" i="13"/>
  <c r="D9" i="13"/>
  <c r="L22" i="13"/>
  <c r="E22" i="30" s="1"/>
  <c r="L13" i="13"/>
  <c r="E13" i="30" s="1"/>
  <c r="R37" i="18"/>
  <c r="AC13" i="13" l="1"/>
  <c r="AC22" i="13"/>
  <c r="T30" i="25"/>
  <c r="T42" i="25" s="1"/>
  <c r="R42" i="25"/>
  <c r="AB2" i="18"/>
  <c r="R3" i="18"/>
  <c r="AZ37" i="18"/>
  <c r="AZ5" i="18" s="1"/>
  <c r="AH37" i="18"/>
  <c r="Z2" i="18"/>
  <c r="O1" i="18"/>
  <c r="O5" i="18"/>
  <c r="P3" i="18" s="1"/>
  <c r="AI37" i="18"/>
  <c r="P9" i="13"/>
  <c r="R9" i="13" s="1"/>
  <c r="M9" i="13"/>
  <c r="X16" i="13"/>
  <c r="X18" i="13"/>
  <c r="L17" i="13"/>
  <c r="E17" i="30" s="1"/>
  <c r="Z22" i="13"/>
  <c r="L9" i="13"/>
  <c r="E9" i="30" s="1"/>
  <c r="L18" i="13"/>
  <c r="E18" i="30" s="1"/>
  <c r="L16" i="13"/>
  <c r="E16" i="30" s="1"/>
  <c r="Z17" i="13"/>
  <c r="Z18" i="13"/>
  <c r="T37" i="18"/>
  <c r="AK37" i="18" s="1"/>
  <c r="L21" i="13"/>
  <c r="E21" i="30" s="1"/>
  <c r="L12" i="13"/>
  <c r="E12" i="30" s="1"/>
  <c r="L25" i="13"/>
  <c r="AI13" i="13"/>
  <c r="AH22" i="13"/>
  <c r="Z10" i="13"/>
  <c r="L10" i="13"/>
  <c r="E10" i="30" s="1"/>
  <c r="AI25" i="13"/>
  <c r="L11" i="13"/>
  <c r="E11" i="30" s="1"/>
  <c r="X25" i="13"/>
  <c r="AE25" i="13" s="1"/>
  <c r="L14" i="13"/>
  <c r="E14" i="30" s="1"/>
  <c r="AI18" i="13"/>
  <c r="AH25" i="13"/>
  <c r="Z25" i="13"/>
  <c r="AF25" i="13" s="1"/>
  <c r="W37" i="18"/>
  <c r="W4" i="18" s="1"/>
  <c r="V37" i="18"/>
  <c r="AL37" i="18" s="1"/>
  <c r="S27" i="13"/>
  <c r="W27" i="13"/>
  <c r="Q27" i="13"/>
  <c r="J27" i="13"/>
  <c r="L27" i="13" s="1"/>
  <c r="E27" i="30" s="1"/>
  <c r="Y27" i="13"/>
  <c r="D27" i="13"/>
  <c r="AJ2" i="13"/>
  <c r="AC25" i="13" l="1"/>
  <c r="E25" i="30"/>
  <c r="AC14" i="13"/>
  <c r="AC16" i="13"/>
  <c r="AE18" i="13"/>
  <c r="AC12" i="13"/>
  <c r="AE16" i="13"/>
  <c r="AC8" i="13"/>
  <c r="AF17" i="13"/>
  <c r="AC17" i="13"/>
  <c r="AC10" i="13"/>
  <c r="AC21" i="13"/>
  <c r="AC18" i="13"/>
  <c r="AF10" i="13"/>
  <c r="AC9" i="13"/>
  <c r="AF8" i="13"/>
  <c r="AC11" i="13"/>
  <c r="AF22" i="13"/>
  <c r="AF18" i="13"/>
  <c r="AC27" i="13"/>
  <c r="W2" i="18"/>
  <c r="I1" i="18"/>
  <c r="I3" i="18"/>
  <c r="T9" i="13"/>
  <c r="AI9" i="13" s="1"/>
  <c r="AN16" i="13"/>
  <c r="AN22" i="13"/>
  <c r="AN25" i="13"/>
  <c r="AN8" i="13"/>
  <c r="AN20" i="13"/>
  <c r="AN26" i="13"/>
  <c r="AN21" i="13"/>
  <c r="AN9" i="13"/>
  <c r="AN24" i="13"/>
  <c r="AN18" i="13"/>
  <c r="AN13" i="13"/>
  <c r="AN11" i="13"/>
  <c r="AN17" i="13"/>
  <c r="AN10" i="13"/>
  <c r="AN14" i="13"/>
  <c r="AN27" i="13"/>
  <c r="AN12" i="13"/>
  <c r="C9" i="16"/>
  <c r="G9" i="16"/>
  <c r="Y26" i="13"/>
  <c r="R9" i="16"/>
  <c r="Q26" i="13"/>
  <c r="D9" i="16"/>
  <c r="W26" i="13"/>
  <c r="N9" i="16"/>
  <c r="S26" i="13"/>
  <c r="F2" i="18"/>
  <c r="D26" i="13"/>
  <c r="J26" i="13"/>
  <c r="L26" i="13" s="1"/>
  <c r="E26" i="30" s="1"/>
  <c r="Y24" i="13"/>
  <c r="P27" i="13"/>
  <c r="J24" i="13"/>
  <c r="L24" i="13" s="1"/>
  <c r="E24" i="30" s="1"/>
  <c r="S24" i="13"/>
  <c r="Q24" i="13"/>
  <c r="D24" i="13"/>
  <c r="W24" i="13"/>
  <c r="U9" i="13"/>
  <c r="U3" i="13"/>
  <c r="G9" i="13"/>
  <c r="Z16" i="13"/>
  <c r="AI12" i="13"/>
  <c r="AH10" i="13"/>
  <c r="AH17" i="13"/>
  <c r="AI8" i="13"/>
  <c r="Z11" i="13"/>
  <c r="X22" i="13"/>
  <c r="X27" i="13"/>
  <c r="AI11" i="13"/>
  <c r="X17" i="13"/>
  <c r="AI21" i="13"/>
  <c r="X14" i="13"/>
  <c r="AH21" i="13"/>
  <c r="Z14" i="13"/>
  <c r="AH12" i="13"/>
  <c r="AH16" i="13"/>
  <c r="X10" i="13"/>
  <c r="Z13" i="13"/>
  <c r="AI10" i="13"/>
  <c r="AH14" i="13"/>
  <c r="AI17" i="13"/>
  <c r="AI14" i="13"/>
  <c r="X11" i="13"/>
  <c r="Z21" i="13"/>
  <c r="AH11" i="13"/>
  <c r="AI22" i="13"/>
  <c r="AH8" i="13"/>
  <c r="X12" i="13"/>
  <c r="AH9" i="13"/>
  <c r="Z12" i="13"/>
  <c r="X21" i="13"/>
  <c r="Z27" i="13"/>
  <c r="AI16" i="13"/>
  <c r="AH18" i="13"/>
  <c r="AH13" i="13"/>
  <c r="X13" i="13"/>
  <c r="Z9" i="13"/>
  <c r="X9" i="13"/>
  <c r="AI193" i="18"/>
  <c r="AH193" i="18"/>
  <c r="AL29" i="13"/>
  <c r="AL193" i="18"/>
  <c r="AK193" i="18"/>
  <c r="X37" i="18"/>
  <c r="AG12" i="13"/>
  <c r="AF9" i="13" l="1"/>
  <c r="AF27" i="13"/>
  <c r="AE27" i="13"/>
  <c r="AE9" i="13"/>
  <c r="AE12" i="13"/>
  <c r="AE17" i="13"/>
  <c r="AC26" i="13"/>
  <c r="AF12" i="13"/>
  <c r="AE8" i="13"/>
  <c r="AF16" i="13"/>
  <c r="AE13" i="13"/>
  <c r="AE21" i="13"/>
  <c r="AF14" i="13"/>
  <c r="AE22" i="13"/>
  <c r="AF11" i="13"/>
  <c r="AF21" i="13"/>
  <c r="AF13" i="13"/>
  <c r="AE14" i="13"/>
  <c r="AE11" i="13"/>
  <c r="AE10" i="13"/>
  <c r="AC24" i="13"/>
  <c r="AJ37" i="18"/>
  <c r="M27" i="13"/>
  <c r="R27" i="13"/>
  <c r="AH27" i="13" s="1"/>
  <c r="T27" i="13"/>
  <c r="AI27" i="13" s="1"/>
  <c r="Z26" i="13"/>
  <c r="M26" i="13"/>
  <c r="E9" i="16"/>
  <c r="X26" i="13"/>
  <c r="P26" i="13"/>
  <c r="T26" i="13" s="1"/>
  <c r="X24" i="13"/>
  <c r="M24" i="13"/>
  <c r="G27" i="13"/>
  <c r="U27" i="13"/>
  <c r="P24" i="13"/>
  <c r="T24" i="13" s="1"/>
  <c r="Z24" i="13"/>
  <c r="V9" i="13"/>
  <c r="AG14" i="13"/>
  <c r="AG17" i="13"/>
  <c r="AG25" i="13"/>
  <c r="AG16" i="13"/>
  <c r="AG13" i="13"/>
  <c r="K20" i="13"/>
  <c r="K4" i="13" s="1"/>
  <c r="AN29" i="13"/>
  <c r="N37" i="18"/>
  <c r="AF37" i="18" s="1"/>
  <c r="W2" i="19"/>
  <c r="AF24" i="13" l="1"/>
  <c r="AF26" i="13"/>
  <c r="AE26" i="13"/>
  <c r="AE24" i="13"/>
  <c r="BB172" i="18"/>
  <c r="R24" i="13"/>
  <c r="AH24" i="13" s="1"/>
  <c r="R26" i="13"/>
  <c r="AH26" i="13" s="1"/>
  <c r="U26" i="13"/>
  <c r="P2" i="18"/>
  <c r="P1" i="18"/>
  <c r="G26" i="13"/>
  <c r="I9" i="16"/>
  <c r="AI26" i="13"/>
  <c r="G24" i="13"/>
  <c r="U4" i="13"/>
  <c r="U24" i="13"/>
  <c r="W3" i="19"/>
  <c r="V27" i="13"/>
  <c r="AI24" i="13"/>
  <c r="V26" i="13" l="1"/>
  <c r="AG26" i="13" s="1"/>
  <c r="V24" i="13"/>
  <c r="AG24" i="13" s="1"/>
  <c r="Q37" i="18" l="1"/>
  <c r="AG37" i="18" s="1"/>
  <c r="AH20" i="13"/>
  <c r="X20" i="13"/>
  <c r="L20" i="13"/>
  <c r="E20" i="30" s="1"/>
  <c r="AI20" i="13"/>
  <c r="AC20" i="13" l="1"/>
  <c r="H22" i="13"/>
  <c r="I22" i="13" s="1"/>
  <c r="H12" i="13"/>
  <c r="I12" i="13" s="1"/>
  <c r="H11" i="13"/>
  <c r="I11" i="13" s="1"/>
  <c r="H9" i="13"/>
  <c r="I9" i="13" s="1"/>
  <c r="K37" i="18"/>
  <c r="AE37" i="18" s="1"/>
  <c r="H24" i="13"/>
  <c r="I24" i="13" s="1"/>
  <c r="H25" i="13"/>
  <c r="I25" i="13" s="1"/>
  <c r="H17" i="13"/>
  <c r="I17" i="13" s="1"/>
  <c r="H18" i="13"/>
  <c r="I18" i="13" s="1"/>
  <c r="H14" i="13"/>
  <c r="I14" i="13" s="1"/>
  <c r="H13" i="13"/>
  <c r="I13" i="13" s="1"/>
  <c r="H16" i="13"/>
  <c r="I16" i="13" s="1"/>
  <c r="H21" i="13"/>
  <c r="I21" i="13" s="1"/>
  <c r="H10" i="13"/>
  <c r="I10" i="13" s="1"/>
  <c r="H26" i="13"/>
  <c r="I26" i="13" s="1"/>
  <c r="H27" i="13"/>
  <c r="I27" i="13" s="1"/>
  <c r="H20" i="13"/>
  <c r="AE20" i="13"/>
  <c r="AF193" i="18"/>
  <c r="AI29" i="13"/>
  <c r="Z20" i="13"/>
  <c r="I20" i="13" l="1"/>
  <c r="AF20" i="13"/>
  <c r="AF29" i="13" s="1"/>
  <c r="AC29" i="13"/>
  <c r="AH29" i="13"/>
  <c r="AE29" i="13"/>
  <c r="AG27" i="13" l="1"/>
  <c r="AG9" i="13"/>
  <c r="AG21" i="13"/>
  <c r="AG11" i="13"/>
  <c r="AG10" i="13"/>
  <c r="AG18" i="13"/>
  <c r="AG22" i="13"/>
  <c r="AG8" i="13"/>
  <c r="AG20" i="13" l="1"/>
  <c r="AG29" i="13" l="1"/>
  <c r="AJ193" i="18"/>
  <c r="AV154" i="18" l="1"/>
  <c r="AX154" i="18" s="1"/>
  <c r="AV149" i="18"/>
  <c r="AX149" i="18" s="1"/>
  <c r="AV152" i="18"/>
  <c r="AX152" i="18" s="1"/>
  <c r="AV150" i="18"/>
  <c r="AX150" i="18" s="1"/>
  <c r="AV153" i="18"/>
  <c r="AX153" i="18" s="1"/>
  <c r="AV151" i="18"/>
  <c r="AX151" i="18" s="1"/>
  <c r="AV148" i="18"/>
  <c r="AX148" i="18" s="1"/>
  <c r="AV147" i="18"/>
  <c r="AX147" i="18" s="1"/>
  <c r="AW153" i="18" l="1"/>
  <c r="AW148" i="18"/>
  <c r="AW152" i="18"/>
  <c r="AW150" i="18"/>
  <c r="AW147" i="18"/>
  <c r="AW154" i="18"/>
  <c r="AW149" i="18"/>
  <c r="AW151" i="18"/>
  <c r="N17" i="13" l="1"/>
  <c r="O17" i="13" s="1"/>
  <c r="AD17" i="13" s="1"/>
  <c r="N10" i="13"/>
  <c r="O10" i="13" s="1"/>
  <c r="AD10" i="13" s="1"/>
  <c r="AV99" i="18" l="1"/>
  <c r="AX99" i="18" s="1"/>
  <c r="AV43" i="18"/>
  <c r="AX43" i="18" s="1"/>
  <c r="AV91" i="18"/>
  <c r="AX91" i="18" s="1"/>
  <c r="AV9" i="18"/>
  <c r="AX9" i="18" s="1"/>
  <c r="AV11" i="18"/>
  <c r="AX11" i="18" s="1"/>
  <c r="AV123" i="18"/>
  <c r="AX123" i="18" s="1"/>
  <c r="AJ10" i="13"/>
  <c r="AO10" i="13" s="1"/>
  <c r="AP10" i="13" s="1"/>
  <c r="AJ17" i="13"/>
  <c r="AO17" i="13" s="1"/>
  <c r="AP17" i="13" s="1"/>
  <c r="N25" i="13"/>
  <c r="O25" i="13" s="1"/>
  <c r="AD25" i="13" s="1"/>
  <c r="N12" i="13"/>
  <c r="O12" i="13" s="1"/>
  <c r="AD12" i="13" s="1"/>
  <c r="N20" i="13"/>
  <c r="N14" i="13"/>
  <c r="O14" i="13" s="1"/>
  <c r="AD14" i="13" s="1"/>
  <c r="N18" i="13"/>
  <c r="O18" i="13" s="1"/>
  <c r="AD18" i="13" s="1"/>
  <c r="N13" i="13"/>
  <c r="O13" i="13" s="1"/>
  <c r="AD13" i="13" s="1"/>
  <c r="N16" i="13"/>
  <c r="O16" i="13" s="1"/>
  <c r="AD16" i="13" s="1"/>
  <c r="N21" i="13"/>
  <c r="O21" i="13" s="1"/>
  <c r="AD21" i="13" s="1"/>
  <c r="N11" i="13"/>
  <c r="O11" i="13" s="1"/>
  <c r="AD11" i="13" s="1"/>
  <c r="N9" i="13"/>
  <c r="O9" i="13" s="1"/>
  <c r="AD9" i="13" s="1"/>
  <c r="N27" i="13"/>
  <c r="O27" i="13" s="1"/>
  <c r="AD27" i="13" s="1"/>
  <c r="N24" i="13"/>
  <c r="O24" i="13" s="1"/>
  <c r="AD24" i="13" s="1"/>
  <c r="N22" i="13"/>
  <c r="O22" i="13" s="1"/>
  <c r="AD22" i="13" s="1"/>
  <c r="N26" i="13"/>
  <c r="O26" i="13" s="1"/>
  <c r="AD26" i="13" s="1"/>
  <c r="AD8" i="13"/>
  <c r="AU159" i="18" l="1"/>
  <c r="AY159" i="18" s="1"/>
  <c r="AU49" i="18"/>
  <c r="AY49" i="18" s="1"/>
  <c r="AU156" i="18"/>
  <c r="AY156" i="18" s="1"/>
  <c r="AW11" i="18"/>
  <c r="AW43" i="18"/>
  <c r="AW9" i="18"/>
  <c r="AW99" i="18"/>
  <c r="AW123" i="18"/>
  <c r="AW91" i="18"/>
  <c r="AV172" i="18"/>
  <c r="AX172" i="18" s="1"/>
  <c r="AV168" i="18"/>
  <c r="AX168" i="18" s="1"/>
  <c r="AV46" i="18"/>
  <c r="AX46" i="18" s="1"/>
  <c r="AV102" i="18"/>
  <c r="AX102" i="18" s="1"/>
  <c r="AQ17" i="13"/>
  <c r="AR17" i="13"/>
  <c r="AR10" i="13"/>
  <c r="AQ10" i="13"/>
  <c r="AJ9" i="13"/>
  <c r="AO9" i="13" s="1"/>
  <c r="AP9" i="13" s="1"/>
  <c r="AJ11" i="13"/>
  <c r="AO11" i="13" s="1"/>
  <c r="AP11" i="13" s="1"/>
  <c r="AJ12" i="13"/>
  <c r="AO12" i="13" s="1"/>
  <c r="AP12" i="13" s="1"/>
  <c r="AJ27" i="13"/>
  <c r="AO27" i="13" s="1"/>
  <c r="AP27" i="13" s="1"/>
  <c r="AJ16" i="13"/>
  <c r="AO16" i="13" s="1"/>
  <c r="AP16" i="13" s="1"/>
  <c r="AJ18" i="13"/>
  <c r="AO18" i="13" s="1"/>
  <c r="AP18" i="13" s="1"/>
  <c r="AJ14" i="13"/>
  <c r="AO14" i="13" s="1"/>
  <c r="AP14" i="13" s="1"/>
  <c r="AJ22" i="13"/>
  <c r="AO22" i="13" s="1"/>
  <c r="AP22" i="13" s="1"/>
  <c r="AJ24" i="13"/>
  <c r="AO24" i="13" s="1"/>
  <c r="AP24" i="13" s="1"/>
  <c r="AJ8" i="13"/>
  <c r="AO8" i="13" s="1"/>
  <c r="AP8" i="13" s="1"/>
  <c r="AJ26" i="13"/>
  <c r="AO26" i="13" s="1"/>
  <c r="AP26" i="13" s="1"/>
  <c r="AJ21" i="13"/>
  <c r="AO21" i="13" s="1"/>
  <c r="AP21" i="13" s="1"/>
  <c r="AJ13" i="13"/>
  <c r="AO13" i="13" s="1"/>
  <c r="AP13" i="13" s="1"/>
  <c r="AJ25" i="13"/>
  <c r="AO25" i="13" s="1"/>
  <c r="AP25" i="13" s="1"/>
  <c r="O20" i="13"/>
  <c r="AD20" i="13" s="1"/>
  <c r="BD156" i="18" l="1"/>
  <c r="BD159" i="18"/>
  <c r="BB49" i="18"/>
  <c r="BB156" i="18"/>
  <c r="AV156" i="18"/>
  <c r="AW156" i="18" s="1"/>
  <c r="AU160" i="18"/>
  <c r="AY160" i="18" s="1"/>
  <c r="AV49" i="18"/>
  <c r="AX49" i="18" s="1"/>
  <c r="AJ20" i="13"/>
  <c r="AO20" i="13" s="1"/>
  <c r="AP20" i="13" s="1"/>
  <c r="AU114" i="18"/>
  <c r="BD114" i="18" s="1"/>
  <c r="AV143" i="18"/>
  <c r="AX143" i="18" s="1"/>
  <c r="AW102" i="18"/>
  <c r="AW46" i="18"/>
  <c r="AW172" i="18"/>
  <c r="AW168" i="18"/>
  <c r="AV74" i="18"/>
  <c r="AX74" i="18" s="1"/>
  <c r="AV121" i="18"/>
  <c r="AX121" i="18" s="1"/>
  <c r="AG193" i="18"/>
  <c r="AQ25" i="13"/>
  <c r="AR25" i="13"/>
  <c r="AR13" i="13"/>
  <c r="AQ13" i="13"/>
  <c r="AR14" i="13"/>
  <c r="AQ14" i="13"/>
  <c r="AR21" i="13"/>
  <c r="AQ21" i="13"/>
  <c r="AR12" i="13"/>
  <c r="AQ12" i="13"/>
  <c r="AR11" i="13"/>
  <c r="AQ11" i="13"/>
  <c r="AQ8" i="13"/>
  <c r="AR8" i="13"/>
  <c r="AR16" i="13"/>
  <c r="AQ16" i="13"/>
  <c r="AR27" i="13"/>
  <c r="AQ27" i="13"/>
  <c r="AR9" i="13"/>
  <c r="AQ9" i="13"/>
  <c r="AR26" i="13"/>
  <c r="AQ26" i="13"/>
  <c r="AR18" i="13"/>
  <c r="AQ18" i="13"/>
  <c r="AR24" i="13"/>
  <c r="AQ24" i="13"/>
  <c r="AR22" i="13"/>
  <c r="AQ22" i="13"/>
  <c r="AD29" i="13"/>
  <c r="BD49" i="18" l="1"/>
  <c r="BB34" i="18"/>
  <c r="AV160" i="18"/>
  <c r="AX160" i="18" s="1"/>
  <c r="BD160" i="18"/>
  <c r="AX156" i="18"/>
  <c r="AW49" i="18"/>
  <c r="BB35" i="18"/>
  <c r="AU155" i="18"/>
  <c r="AY155" i="18" s="1"/>
  <c r="AV159" i="18"/>
  <c r="AX159" i="18" s="1"/>
  <c r="AW121" i="18"/>
  <c r="AW74" i="18"/>
  <c r="AW143" i="18"/>
  <c r="AJ3" i="13"/>
  <c r="AW160" i="18" l="1"/>
  <c r="AV155" i="18"/>
  <c r="AX155" i="18" s="1"/>
  <c r="BB155" i="18"/>
  <c r="BB159" i="18"/>
  <c r="AW159" i="18"/>
  <c r="AV114" i="18"/>
  <c r="AX114" i="18" s="1"/>
  <c r="AR20" i="13"/>
  <c r="AO29" i="13"/>
  <c r="BD155" i="18" l="1"/>
  <c r="AW155" i="18"/>
  <c r="BB111" i="18"/>
  <c r="BB114" i="18"/>
  <c r="BB160" i="18"/>
  <c r="BB153" i="18"/>
  <c r="BB149" i="18"/>
  <c r="BB150" i="18"/>
  <c r="AW114" i="18"/>
  <c r="AQ20" i="13"/>
  <c r="AQ29" i="13" s="1"/>
  <c r="AQ4" i="13" s="1"/>
  <c r="AP29" i="13"/>
  <c r="AR29" i="13" s="1"/>
  <c r="BB32" i="18" l="1"/>
  <c r="AN57" i="18" l="1"/>
  <c r="AU57" i="18" s="1"/>
  <c r="AU157" i="18"/>
  <c r="AV157" i="18" s="1"/>
  <c r="AY157" i="18" l="1"/>
  <c r="BD157" i="18" s="1"/>
  <c r="AX157" i="18"/>
  <c r="AW157" i="18"/>
  <c r="AY57" i="18"/>
  <c r="BB57" i="18" s="1"/>
  <c r="AV57" i="18"/>
  <c r="AA36" i="25"/>
  <c r="AC36" i="25" s="1"/>
  <c r="AA28" i="25" l="1"/>
  <c r="AC28" i="25" s="1"/>
  <c r="AA38" i="25"/>
  <c r="AC38" i="25" s="1"/>
  <c r="H30" i="25"/>
  <c r="J30" i="25" s="1"/>
  <c r="H40" i="25"/>
  <c r="J40" i="25" s="1"/>
  <c r="AA35" i="25"/>
  <c r="AC35" i="25" s="1"/>
  <c r="BD57" i="18"/>
  <c r="AW57" i="18"/>
  <c r="AX57" i="18"/>
  <c r="AA40" i="25"/>
  <c r="AC40" i="25" s="1"/>
  <c r="AA29" i="25"/>
  <c r="AC29" i="25" s="1"/>
  <c r="H28" i="25"/>
  <c r="J28" i="25" s="1"/>
  <c r="H41" i="25"/>
  <c r="J41" i="25" s="1"/>
  <c r="H38" i="25"/>
  <c r="J38" i="25" s="1"/>
  <c r="AA33" i="25"/>
  <c r="AC33" i="25" s="1"/>
  <c r="H39" i="25"/>
  <c r="J39" i="25" s="1"/>
  <c r="AA27" i="25"/>
  <c r="H33" i="25"/>
  <c r="J33" i="25" s="1"/>
  <c r="H37" i="25"/>
  <c r="J37" i="25" s="1"/>
  <c r="H31" i="25"/>
  <c r="J31" i="25" s="1"/>
  <c r="H27" i="25"/>
  <c r="AA32" i="25"/>
  <c r="AC32" i="25" s="1"/>
  <c r="AA41" i="25"/>
  <c r="AC41" i="25" s="1"/>
  <c r="H35" i="25"/>
  <c r="J35" i="25" s="1"/>
  <c r="AA30" i="25"/>
  <c r="AC30" i="25" s="1"/>
  <c r="H29" i="25"/>
  <c r="J29" i="25" s="1"/>
  <c r="AA37" i="25"/>
  <c r="AC37" i="25" s="1"/>
  <c r="H36" i="25"/>
  <c r="J36" i="25" s="1"/>
  <c r="H32" i="25"/>
  <c r="J32" i="25" s="1"/>
  <c r="AA39" i="25"/>
  <c r="AC39" i="25" s="1"/>
  <c r="AA34" i="25"/>
  <c r="AC34" i="25" s="1"/>
  <c r="AA31" i="25"/>
  <c r="AC31" i="25" s="1"/>
  <c r="H34" i="25"/>
  <c r="J34" i="25" s="1"/>
  <c r="J27" i="25" l="1"/>
  <c r="J42" i="25" s="1"/>
  <c r="H42" i="25"/>
  <c r="AC27" i="25"/>
  <c r="AC42" i="25" s="1"/>
  <c r="AA42" i="25"/>
  <c r="G3" i="18"/>
  <c r="E3" i="18" s="1"/>
  <c r="G2" i="18"/>
  <c r="E2" i="18" s="1"/>
  <c r="G74" i="18" s="1"/>
  <c r="H74" i="18" s="1"/>
  <c r="AD74" i="18" s="1"/>
  <c r="AM74" i="18" s="1"/>
  <c r="G1" i="18"/>
  <c r="E1" i="18" s="1"/>
  <c r="G186" i="18" s="1"/>
  <c r="H186" i="18" s="1"/>
  <c r="E2" i="13"/>
  <c r="H5" i="18"/>
  <c r="G184" i="18" l="1"/>
  <c r="H184" i="18" s="1"/>
  <c r="G185" i="18"/>
  <c r="H185" i="18" s="1"/>
  <c r="G176" i="18"/>
  <c r="H176" i="18" s="1"/>
  <c r="G190" i="18"/>
  <c r="H190" i="18" s="1"/>
  <c r="G188" i="18"/>
  <c r="H188" i="18" s="1"/>
  <c r="G175" i="18"/>
  <c r="H175" i="18" s="1"/>
  <c r="G182" i="18"/>
  <c r="H182" i="18" s="1"/>
  <c r="G183" i="18"/>
  <c r="H183" i="18" s="1"/>
  <c r="G191" i="18"/>
  <c r="H191" i="18" s="1"/>
  <c r="G192" i="18"/>
  <c r="H192" i="18" s="1"/>
  <c r="G180" i="18"/>
  <c r="H180" i="18" s="1"/>
  <c r="G181" i="18"/>
  <c r="H181" i="18" s="1"/>
  <c r="G178" i="18"/>
  <c r="H178" i="18" s="1"/>
  <c r="G179" i="18"/>
  <c r="H179" i="18" s="1"/>
  <c r="G69" i="18"/>
  <c r="H69" i="18" s="1"/>
  <c r="AD69" i="18" s="1"/>
  <c r="AM69" i="18" s="1"/>
  <c r="AN69" i="18" s="1"/>
  <c r="G177" i="18"/>
  <c r="H177" i="18" s="1"/>
  <c r="G19" i="18"/>
  <c r="H19" i="18" s="1"/>
  <c r="AD19" i="18" s="1"/>
  <c r="AM19" i="18" s="1"/>
  <c r="G18" i="18"/>
  <c r="H18" i="18" s="1"/>
  <c r="AD18" i="18" s="1"/>
  <c r="AM18" i="18" s="1"/>
  <c r="G47" i="18"/>
  <c r="H47" i="18" s="1"/>
  <c r="AD47" i="18" s="1"/>
  <c r="AM47" i="18" s="1"/>
  <c r="G20" i="18"/>
  <c r="G108" i="18"/>
  <c r="H108" i="18" s="1"/>
  <c r="G68" i="18"/>
  <c r="H68" i="18" s="1"/>
  <c r="AD68" i="18" s="1"/>
  <c r="AM68" i="18" s="1"/>
  <c r="AN68" i="18" s="1"/>
  <c r="G111" i="18"/>
  <c r="H111" i="18" s="1"/>
  <c r="AD111" i="18" s="1"/>
  <c r="AM111" i="18" s="1"/>
  <c r="AN111" i="18" s="1"/>
  <c r="G128" i="18"/>
  <c r="H128" i="18" s="1"/>
  <c r="AD128" i="18" s="1"/>
  <c r="AM128" i="18" s="1"/>
  <c r="P9" i="19"/>
  <c r="M9" i="19"/>
  <c r="P12" i="19"/>
  <c r="G9" i="18"/>
  <c r="H9" i="18" s="1"/>
  <c r="AD9" i="18" s="1"/>
  <c r="AM9" i="18" s="1"/>
  <c r="G11" i="18"/>
  <c r="H11" i="18" s="1"/>
  <c r="AD11" i="18" s="1"/>
  <c r="AM11" i="18" s="1"/>
  <c r="E13" i="19"/>
  <c r="E11" i="19"/>
  <c r="F7" i="19"/>
  <c r="G121" i="18"/>
  <c r="H121" i="18" s="1"/>
  <c r="AD121" i="18" s="1"/>
  <c r="AM121" i="18" s="1"/>
  <c r="F11" i="19"/>
  <c r="G65" i="18"/>
  <c r="H65" i="18" s="1"/>
  <c r="AD65" i="18" s="1"/>
  <c r="AM65" i="18" s="1"/>
  <c r="AN65" i="18" s="1"/>
  <c r="AU65" i="18" s="1"/>
  <c r="G44" i="18"/>
  <c r="H44" i="18" s="1"/>
  <c r="AD44" i="18" s="1"/>
  <c r="AM44" i="18" s="1"/>
  <c r="AN44" i="18" s="1"/>
  <c r="AU44" i="18" s="1"/>
  <c r="F12" i="19"/>
  <c r="G109" i="18"/>
  <c r="H109" i="18" s="1"/>
  <c r="AD109" i="18" s="1"/>
  <c r="AM109" i="18" s="1"/>
  <c r="AN109" i="18" s="1"/>
  <c r="AU109" i="18" s="1"/>
  <c r="F8" i="19"/>
  <c r="F10" i="19"/>
  <c r="G95" i="18"/>
  <c r="H95" i="18" s="1"/>
  <c r="AD95" i="18" s="1"/>
  <c r="AM95" i="18" s="1"/>
  <c r="AN95" i="18" s="1"/>
  <c r="AU95" i="18" s="1"/>
  <c r="G167" i="18"/>
  <c r="H167" i="18" s="1"/>
  <c r="AD167" i="18" s="1"/>
  <c r="AM167" i="18" s="1"/>
  <c r="AN167" i="18" s="1"/>
  <c r="AU167" i="18" s="1"/>
  <c r="G24" i="18"/>
  <c r="H24" i="18" s="1"/>
  <c r="AD24" i="18" s="1"/>
  <c r="AM24" i="18" s="1"/>
  <c r="AN24" i="18" s="1"/>
  <c r="AU24" i="18" s="1"/>
  <c r="G156" i="18"/>
  <c r="H156" i="18" s="1"/>
  <c r="AD156" i="18" s="1"/>
  <c r="AM156" i="18" s="1"/>
  <c r="G42" i="18"/>
  <c r="H42" i="18" s="1"/>
  <c r="AD42" i="18" s="1"/>
  <c r="AM42" i="18" s="1"/>
  <c r="AN42" i="18" s="1"/>
  <c r="AU42" i="18" s="1"/>
  <c r="G38" i="18"/>
  <c r="H38" i="18" s="1"/>
  <c r="AD38" i="18" s="1"/>
  <c r="AM38" i="18" s="1"/>
  <c r="AN38" i="18" s="1"/>
  <c r="AU38" i="18" s="1"/>
  <c r="G66" i="18"/>
  <c r="H66" i="18" s="1"/>
  <c r="AD66" i="18" s="1"/>
  <c r="AM66" i="18" s="1"/>
  <c r="AN66" i="18" s="1"/>
  <c r="AU66" i="18" s="1"/>
  <c r="G64" i="18"/>
  <c r="G171" i="18"/>
  <c r="H171" i="18" s="1"/>
  <c r="AD171" i="18" s="1"/>
  <c r="AM171" i="18" s="1"/>
  <c r="AN171" i="18" s="1"/>
  <c r="AU171" i="18" s="1"/>
  <c r="G76" i="18"/>
  <c r="H76" i="18" s="1"/>
  <c r="AD76" i="18" s="1"/>
  <c r="AM76" i="18" s="1"/>
  <c r="AN76" i="18" s="1"/>
  <c r="AU76" i="18" s="1"/>
  <c r="G56" i="18"/>
  <c r="H56" i="18" s="1"/>
  <c r="AD56" i="18" s="1"/>
  <c r="AM56" i="18" s="1"/>
  <c r="AN56" i="18" s="1"/>
  <c r="AU56" i="18" s="1"/>
  <c r="F13" i="19"/>
  <c r="G142" i="18"/>
  <c r="H142" i="18" s="1"/>
  <c r="AD142" i="18" s="1"/>
  <c r="AM142" i="18" s="1"/>
  <c r="AN142" i="18" s="1"/>
  <c r="AU142" i="18" s="1"/>
  <c r="G85" i="18"/>
  <c r="G30" i="18"/>
  <c r="H30" i="18" s="1"/>
  <c r="AD30" i="18" s="1"/>
  <c r="AM30" i="18" s="1"/>
  <c r="AN30" i="18" s="1"/>
  <c r="AU30" i="18" s="1"/>
  <c r="G13" i="18"/>
  <c r="H13" i="18" s="1"/>
  <c r="AD13" i="18" s="1"/>
  <c r="AM13" i="18" s="1"/>
  <c r="AN13" i="18" s="1"/>
  <c r="AU13" i="18" s="1"/>
  <c r="G96" i="18"/>
  <c r="H96" i="18" s="1"/>
  <c r="AD96" i="18" s="1"/>
  <c r="AM96" i="18" s="1"/>
  <c r="AN96" i="18" s="1"/>
  <c r="AU96" i="18" s="1"/>
  <c r="G139" i="18"/>
  <c r="H139" i="18" s="1"/>
  <c r="AD139" i="18" s="1"/>
  <c r="AM139" i="18" s="1"/>
  <c r="AN139" i="18" s="1"/>
  <c r="AU139" i="18" s="1"/>
  <c r="G92" i="18"/>
  <c r="H92" i="18" s="1"/>
  <c r="AD92" i="18" s="1"/>
  <c r="AM92" i="18" s="1"/>
  <c r="AN92" i="18" s="1"/>
  <c r="AU92" i="18" s="1"/>
  <c r="G26" i="18"/>
  <c r="H26" i="18" s="1"/>
  <c r="AD26" i="18" s="1"/>
  <c r="AM26" i="18" s="1"/>
  <c r="AN26" i="18" s="1"/>
  <c r="AU26" i="18" s="1"/>
  <c r="G159" i="18"/>
  <c r="H159" i="18" s="1"/>
  <c r="AD159" i="18" s="1"/>
  <c r="AM159" i="18" s="1"/>
  <c r="G60" i="18"/>
  <c r="H60" i="18" s="1"/>
  <c r="AD60" i="18" s="1"/>
  <c r="AM60" i="18" s="1"/>
  <c r="AN60" i="18" s="1"/>
  <c r="AU60" i="18" s="1"/>
  <c r="G117" i="18"/>
  <c r="H117" i="18" s="1"/>
  <c r="AD117" i="18" s="1"/>
  <c r="AM117" i="18" s="1"/>
  <c r="AN117" i="18" s="1"/>
  <c r="AU117" i="18" s="1"/>
  <c r="G127" i="18"/>
  <c r="H127" i="18" s="1"/>
  <c r="AD127" i="18" s="1"/>
  <c r="AM127" i="18" s="1"/>
  <c r="AN127" i="18" s="1"/>
  <c r="AU127" i="18" s="1"/>
  <c r="G155" i="18"/>
  <c r="L11" i="19"/>
  <c r="S13" i="19"/>
  <c r="S10" i="19"/>
  <c r="AA7" i="19"/>
  <c r="U12" i="19"/>
  <c r="I9" i="19"/>
  <c r="I11" i="19"/>
  <c r="I12" i="19"/>
  <c r="W13" i="19"/>
  <c r="E8" i="19"/>
  <c r="M8" i="19"/>
  <c r="O12" i="19"/>
  <c r="E12" i="19"/>
  <c r="X9" i="19"/>
  <c r="AJ9" i="19" s="1"/>
  <c r="S11" i="19"/>
  <c r="AA12" i="19"/>
  <c r="J9" i="19"/>
  <c r="M11" i="19"/>
  <c r="G90" i="18"/>
  <c r="H90" i="18" s="1"/>
  <c r="AD90" i="18" s="1"/>
  <c r="AM90" i="18" s="1"/>
  <c r="AN90" i="18" s="1"/>
  <c r="AU90" i="18" s="1"/>
  <c r="G73" i="18"/>
  <c r="H73" i="18" s="1"/>
  <c r="AD73" i="18" s="1"/>
  <c r="AM73" i="18" s="1"/>
  <c r="AN73" i="18" s="1"/>
  <c r="AU73" i="18" s="1"/>
  <c r="G77" i="18"/>
  <c r="H77" i="18" s="1"/>
  <c r="AD77" i="18" s="1"/>
  <c r="AM77" i="18" s="1"/>
  <c r="AN77" i="18" s="1"/>
  <c r="AU77" i="18" s="1"/>
  <c r="G45" i="18"/>
  <c r="H45" i="18" s="1"/>
  <c r="AD45" i="18" s="1"/>
  <c r="AM45" i="18" s="1"/>
  <c r="AN45" i="18" s="1"/>
  <c r="AU45" i="18" s="1"/>
  <c r="G145" i="18"/>
  <c r="H145" i="18" s="1"/>
  <c r="AD145" i="18" s="1"/>
  <c r="AM145" i="18" s="1"/>
  <c r="AN145" i="18" s="1"/>
  <c r="AU145" i="18" s="1"/>
  <c r="G36" i="18"/>
  <c r="G75" i="18"/>
  <c r="G126" i="18"/>
  <c r="H126" i="18" s="1"/>
  <c r="AD126" i="18" s="1"/>
  <c r="AM126" i="18" s="1"/>
  <c r="AN126" i="18" s="1"/>
  <c r="AU126" i="18" s="1"/>
  <c r="X13" i="19"/>
  <c r="AJ13" i="19" s="1"/>
  <c r="Y9" i="19"/>
  <c r="U9" i="19"/>
  <c r="U13" i="19"/>
  <c r="U11" i="19"/>
  <c r="U7" i="19"/>
  <c r="S12" i="19"/>
  <c r="S9" i="19"/>
  <c r="R13" i="19"/>
  <c r="E9" i="19"/>
  <c r="W11" i="19"/>
  <c r="L7" i="19"/>
  <c r="P10" i="19"/>
  <c r="P13" i="19"/>
  <c r="R8" i="19"/>
  <c r="M10" i="19"/>
  <c r="G49" i="18"/>
  <c r="H49" i="18" s="1"/>
  <c r="AD49" i="18" s="1"/>
  <c r="AM49" i="18" s="1"/>
  <c r="M7" i="19"/>
  <c r="R7" i="19"/>
  <c r="O9" i="19"/>
  <c r="J12" i="19"/>
  <c r="W12" i="19"/>
  <c r="G157" i="18"/>
  <c r="H157" i="18" s="1"/>
  <c r="AD157" i="18" s="1"/>
  <c r="AM157" i="18" s="1"/>
  <c r="G144" i="18"/>
  <c r="H144" i="18" s="1"/>
  <c r="AD144" i="18" s="1"/>
  <c r="AM144" i="18" s="1"/>
  <c r="AN144" i="18" s="1"/>
  <c r="AU144" i="18" s="1"/>
  <c r="Y11" i="19"/>
  <c r="P11" i="19"/>
  <c r="R10" i="19"/>
  <c r="G59" i="18"/>
  <c r="H59" i="18" s="1"/>
  <c r="AD59" i="18" s="1"/>
  <c r="AM59" i="18" s="1"/>
  <c r="AN59" i="18" s="1"/>
  <c r="AU59" i="18" s="1"/>
  <c r="J11" i="19"/>
  <c r="G101" i="18"/>
  <c r="H101" i="18" s="1"/>
  <c r="AD101" i="18" s="1"/>
  <c r="AM101" i="18" s="1"/>
  <c r="AN101" i="18" s="1"/>
  <c r="AU101" i="18" s="1"/>
  <c r="G57" i="18"/>
  <c r="H57" i="18" s="1"/>
  <c r="AD57" i="18" s="1"/>
  <c r="AM57" i="18" s="1"/>
  <c r="G143" i="18"/>
  <c r="H143" i="18" s="1"/>
  <c r="AD143" i="18" s="1"/>
  <c r="AM143" i="18" s="1"/>
  <c r="X10" i="19"/>
  <c r="AJ10" i="19" s="1"/>
  <c r="L8" i="19"/>
  <c r="Y8" i="19"/>
  <c r="O8" i="19"/>
  <c r="G160" i="18"/>
  <c r="H160" i="18" s="1"/>
  <c r="AD160" i="18" s="1"/>
  <c r="AM160" i="18" s="1"/>
  <c r="G72" i="18"/>
  <c r="S8" i="19"/>
  <c r="Y10" i="19"/>
  <c r="E7" i="19"/>
  <c r="Y7" i="19"/>
  <c r="I8" i="19"/>
  <c r="I10" i="19"/>
  <c r="I13" i="19"/>
  <c r="I7" i="19"/>
  <c r="R9" i="19"/>
  <c r="X12" i="19"/>
  <c r="AJ12" i="19" s="1"/>
  <c r="M13" i="19"/>
  <c r="R12" i="19"/>
  <c r="M12" i="19"/>
  <c r="G129" i="18"/>
  <c r="H129" i="18" s="1"/>
  <c r="AD129" i="18" s="1"/>
  <c r="AM129" i="18" s="1"/>
  <c r="AN129" i="18" s="1"/>
  <c r="AU129" i="18" s="1"/>
  <c r="G37" i="18"/>
  <c r="G50" i="18"/>
  <c r="H50" i="18" s="1"/>
  <c r="AD50" i="18" s="1"/>
  <c r="AM50" i="18" s="1"/>
  <c r="AN50" i="18" s="1"/>
  <c r="AU50" i="18" s="1"/>
  <c r="X7" i="19"/>
  <c r="AJ7" i="19" s="1"/>
  <c r="X11" i="19"/>
  <c r="AJ11" i="19" s="1"/>
  <c r="L13" i="19"/>
  <c r="U10" i="19"/>
  <c r="U8" i="19"/>
  <c r="AA8" i="19"/>
  <c r="G134" i="18"/>
  <c r="H134" i="18" s="1"/>
  <c r="AD134" i="18" s="1"/>
  <c r="AM134" i="18" s="1"/>
  <c r="AN134" i="18" s="1"/>
  <c r="AU134" i="18" s="1"/>
  <c r="G31" i="18"/>
  <c r="H31" i="18" s="1"/>
  <c r="AD31" i="18" s="1"/>
  <c r="AM31" i="18" s="1"/>
  <c r="AN31" i="18" s="1"/>
  <c r="AU31" i="18" s="1"/>
  <c r="L9" i="19"/>
  <c r="AA9" i="19"/>
  <c r="L10" i="19"/>
  <c r="AA11" i="19"/>
  <c r="AA10" i="19"/>
  <c r="G25" i="18"/>
  <c r="H25" i="18" s="1"/>
  <c r="AD25" i="18" s="1"/>
  <c r="AM25" i="18" s="1"/>
  <c r="AN25" i="18" s="1"/>
  <c r="AU25" i="18" s="1"/>
  <c r="G63" i="18"/>
  <c r="H63" i="18" s="1"/>
  <c r="AD63" i="18" s="1"/>
  <c r="AM63" i="18" s="1"/>
  <c r="AN63" i="18" s="1"/>
  <c r="AU63" i="18" s="1"/>
  <c r="F9" i="19"/>
  <c r="P7" i="19"/>
  <c r="X8" i="19"/>
  <c r="AJ8" i="19" s="1"/>
  <c r="J7" i="19"/>
  <c r="Y13" i="19"/>
  <c r="AA13" i="19"/>
  <c r="O11" i="19"/>
  <c r="O10" i="19"/>
  <c r="O13" i="19"/>
  <c r="J8" i="19"/>
  <c r="J10" i="19"/>
  <c r="J13" i="19"/>
  <c r="O7" i="19"/>
  <c r="W8" i="19"/>
  <c r="E10" i="19"/>
  <c r="R11" i="19"/>
  <c r="W7" i="19"/>
  <c r="Y12" i="19"/>
  <c r="W9" i="19"/>
  <c r="L12" i="19"/>
  <c r="G87" i="18"/>
  <c r="H87" i="18" s="1"/>
  <c r="AD87" i="18" s="1"/>
  <c r="AM87" i="18" s="1"/>
  <c r="AN87" i="18" s="1"/>
  <c r="AU87" i="18" s="1"/>
  <c r="G8" i="18"/>
  <c r="G165" i="18"/>
  <c r="G113" i="18"/>
  <c r="H113" i="18" s="1"/>
  <c r="AD113" i="18" s="1"/>
  <c r="AM113" i="18" s="1"/>
  <c r="AN113" i="18" s="1"/>
  <c r="AU113" i="18" s="1"/>
  <c r="G122" i="18"/>
  <c r="G130" i="18"/>
  <c r="H130" i="18" s="1"/>
  <c r="AD130" i="18" s="1"/>
  <c r="AM130" i="18" s="1"/>
  <c r="AN130" i="18" s="1"/>
  <c r="AU130" i="18" s="1"/>
  <c r="G61" i="18"/>
  <c r="H61" i="18" s="1"/>
  <c r="AD61" i="18" s="1"/>
  <c r="AM61" i="18" s="1"/>
  <c r="AN61" i="18" s="1"/>
  <c r="AU61" i="18" s="1"/>
  <c r="G116" i="18"/>
  <c r="H116" i="18" s="1"/>
  <c r="AD116" i="18" s="1"/>
  <c r="AM116" i="18" s="1"/>
  <c r="AN116" i="18" s="1"/>
  <c r="AU116" i="18" s="1"/>
  <c r="G7" i="18"/>
  <c r="G163" i="18"/>
  <c r="H163" i="18" s="1"/>
  <c r="AD163" i="18" s="1"/>
  <c r="AM163" i="18" s="1"/>
  <c r="AN163" i="18" s="1"/>
  <c r="AU163" i="18" s="1"/>
  <c r="G84" i="18"/>
  <c r="H84" i="18" s="1"/>
  <c r="AD84" i="18" s="1"/>
  <c r="AM84" i="18" s="1"/>
  <c r="AN84" i="18" s="1"/>
  <c r="AU84" i="18" s="1"/>
  <c r="G21" i="18"/>
  <c r="H21" i="18" s="1"/>
  <c r="AD21" i="18" s="1"/>
  <c r="AM21" i="18" s="1"/>
  <c r="AN21" i="18" s="1"/>
  <c r="AU21" i="18" s="1"/>
  <c r="G23" i="18"/>
  <c r="H23" i="18" s="1"/>
  <c r="AD23" i="18" s="1"/>
  <c r="AM23" i="18" s="1"/>
  <c r="AN23" i="18" s="1"/>
  <c r="AU23" i="18" s="1"/>
  <c r="G83" i="18"/>
  <c r="H83" i="18" s="1"/>
  <c r="AD83" i="18" s="1"/>
  <c r="AM83" i="18" s="1"/>
  <c r="AN83" i="18" s="1"/>
  <c r="AU83" i="18" s="1"/>
  <c r="G94" i="18"/>
  <c r="G10" i="18"/>
  <c r="H10" i="18" s="1"/>
  <c r="AD10" i="18" s="1"/>
  <c r="AM10" i="18" s="1"/>
  <c r="AN10" i="18" s="1"/>
  <c r="AU10" i="18" s="1"/>
  <c r="G107" i="18"/>
  <c r="H107" i="18" s="1"/>
  <c r="AD107" i="18" s="1"/>
  <c r="AM107" i="18" s="1"/>
  <c r="AN107" i="18" s="1"/>
  <c r="AU107" i="18" s="1"/>
  <c r="G97" i="18"/>
  <c r="H97" i="18" s="1"/>
  <c r="AD97" i="18" s="1"/>
  <c r="AM97" i="18" s="1"/>
  <c r="AN97" i="18" s="1"/>
  <c r="AU97" i="18" s="1"/>
  <c r="G166" i="18"/>
  <c r="H166" i="18" s="1"/>
  <c r="AD166" i="18" s="1"/>
  <c r="AM166" i="18" s="1"/>
  <c r="AN166" i="18" s="1"/>
  <c r="AU166" i="18" s="1"/>
  <c r="G106" i="18"/>
  <c r="H106" i="18" s="1"/>
  <c r="AD106" i="18" s="1"/>
  <c r="AM106" i="18" s="1"/>
  <c r="AN106" i="18" s="1"/>
  <c r="AU106" i="18" s="1"/>
  <c r="G52" i="18"/>
  <c r="H52" i="18" s="1"/>
  <c r="AD52" i="18" s="1"/>
  <c r="AM52" i="18" s="1"/>
  <c r="AN52" i="18" s="1"/>
  <c r="AU52" i="18" s="1"/>
  <c r="G81" i="18"/>
  <c r="H81" i="18" s="1"/>
  <c r="AD81" i="18" s="1"/>
  <c r="AM81" i="18" s="1"/>
  <c r="AN81" i="18" s="1"/>
  <c r="AU81" i="18" s="1"/>
  <c r="G112" i="18"/>
  <c r="G169" i="18"/>
  <c r="H169" i="18" s="1"/>
  <c r="AD169" i="18" s="1"/>
  <c r="AM169" i="18" s="1"/>
  <c r="AN169" i="18" s="1"/>
  <c r="AU169" i="18" s="1"/>
  <c r="G39" i="18"/>
  <c r="H39" i="18" s="1"/>
  <c r="AD39" i="18" s="1"/>
  <c r="AM39" i="18" s="1"/>
  <c r="AN39" i="18" s="1"/>
  <c r="AU39" i="18" s="1"/>
  <c r="G80" i="18"/>
  <c r="H80" i="18" s="1"/>
  <c r="AD80" i="18" s="1"/>
  <c r="AM80" i="18" s="1"/>
  <c r="AN80" i="18" s="1"/>
  <c r="AU80" i="18" s="1"/>
  <c r="G48" i="18"/>
  <c r="G62" i="18"/>
  <c r="H62" i="18" s="1"/>
  <c r="AD62" i="18" s="1"/>
  <c r="AM62" i="18" s="1"/>
  <c r="AN62" i="18" s="1"/>
  <c r="AU62" i="18" s="1"/>
  <c r="G27" i="18"/>
  <c r="H27" i="18" s="1"/>
  <c r="AD27" i="18" s="1"/>
  <c r="AM27" i="18" s="1"/>
  <c r="AN27" i="18" s="1"/>
  <c r="AU27" i="18" s="1"/>
  <c r="G118" i="18"/>
  <c r="H118" i="18" s="1"/>
  <c r="AD118" i="18" s="1"/>
  <c r="AM118" i="18" s="1"/>
  <c r="AN118" i="18" s="1"/>
  <c r="AU118" i="18" s="1"/>
  <c r="G124" i="18"/>
  <c r="H124" i="18" s="1"/>
  <c r="AD124" i="18" s="1"/>
  <c r="AM124" i="18" s="1"/>
  <c r="AN124" i="18" s="1"/>
  <c r="AU124" i="18" s="1"/>
  <c r="G133" i="18"/>
  <c r="H133" i="18" s="1"/>
  <c r="AD133" i="18" s="1"/>
  <c r="AM133" i="18" s="1"/>
  <c r="AN133" i="18" s="1"/>
  <c r="AU133" i="18" s="1"/>
  <c r="G14" i="18"/>
  <c r="G132" i="18"/>
  <c r="H132" i="18" s="1"/>
  <c r="AD132" i="18" s="1"/>
  <c r="AM132" i="18" s="1"/>
  <c r="AN132" i="18" s="1"/>
  <c r="AU132" i="18" s="1"/>
  <c r="G146" i="18"/>
  <c r="H146" i="18" s="1"/>
  <c r="AD146" i="18" s="1"/>
  <c r="AM146" i="18" s="1"/>
  <c r="AN146" i="18" s="1"/>
  <c r="AU146" i="18" s="1"/>
  <c r="G86" i="18"/>
  <c r="G82" i="18"/>
  <c r="H82" i="18" s="1"/>
  <c r="AD82" i="18" s="1"/>
  <c r="AM82" i="18" s="1"/>
  <c r="AN82" i="18" s="1"/>
  <c r="AU82" i="18" s="1"/>
  <c r="G67" i="18"/>
  <c r="H67" i="18" s="1"/>
  <c r="AD67" i="18" s="1"/>
  <c r="AM67" i="18" s="1"/>
  <c r="AN67" i="18" s="1"/>
  <c r="AU67" i="18" s="1"/>
  <c r="G137" i="18"/>
  <c r="G164" i="18"/>
  <c r="G53" i="18"/>
  <c r="H53" i="18" s="1"/>
  <c r="AD53" i="18" s="1"/>
  <c r="AM53" i="18" s="1"/>
  <c r="AN53" i="18" s="1"/>
  <c r="AU53" i="18" s="1"/>
  <c r="G110" i="18"/>
  <c r="H110" i="18" s="1"/>
  <c r="AD110" i="18" s="1"/>
  <c r="AM110" i="18" s="1"/>
  <c r="AN110" i="18" s="1"/>
  <c r="AU110" i="18" s="1"/>
  <c r="G100" i="18"/>
  <c r="G141" i="18"/>
  <c r="G54" i="18"/>
  <c r="H54" i="18" s="1"/>
  <c r="AD54" i="18" s="1"/>
  <c r="AM54" i="18" s="1"/>
  <c r="AN54" i="18" s="1"/>
  <c r="AU54" i="18" s="1"/>
  <c r="G41" i="18"/>
  <c r="H41" i="18" s="1"/>
  <c r="AD41" i="18" s="1"/>
  <c r="AM41" i="18" s="1"/>
  <c r="AN41" i="18" s="1"/>
  <c r="AU41" i="18" s="1"/>
  <c r="G28" i="18"/>
  <c r="H28" i="18" s="1"/>
  <c r="AD28" i="18" s="1"/>
  <c r="AM28" i="18" s="1"/>
  <c r="AN28" i="18" s="1"/>
  <c r="AU28" i="18" s="1"/>
  <c r="W10" i="19"/>
  <c r="P8" i="19"/>
  <c r="S7" i="19"/>
  <c r="G123" i="18"/>
  <c r="G91" i="18"/>
  <c r="H91" i="18" s="1"/>
  <c r="AD91" i="18" s="1"/>
  <c r="AM91" i="18" s="1"/>
  <c r="AN91" i="18" s="1"/>
  <c r="G46" i="18"/>
  <c r="G99" i="18"/>
  <c r="G168" i="18"/>
  <c r="H168" i="18" s="1"/>
  <c r="AD168" i="18" s="1"/>
  <c r="AM168" i="18" s="1"/>
  <c r="AN168" i="18" s="1"/>
  <c r="G172" i="18"/>
  <c r="H172" i="18" s="1"/>
  <c r="AD172" i="18" s="1"/>
  <c r="AM172" i="18" s="1"/>
  <c r="G114" i="18"/>
  <c r="H114" i="18" s="1"/>
  <c r="AD114" i="18" s="1"/>
  <c r="AM114" i="18" s="1"/>
  <c r="G102" i="18"/>
  <c r="G43" i="18"/>
  <c r="H43" i="18" s="1"/>
  <c r="AD43" i="18" s="1"/>
  <c r="AM43" i="18" s="1"/>
  <c r="H137" i="18" l="1"/>
  <c r="AD137" i="18" s="1"/>
  <c r="AM137" i="18" s="1"/>
  <c r="AN137" i="18" s="1"/>
  <c r="AU137" i="18" s="1"/>
  <c r="E23" i="13"/>
  <c r="F23" i="13" s="1"/>
  <c r="H20" i="18"/>
  <c r="AD20" i="18" s="1"/>
  <c r="AM20" i="18" s="1"/>
  <c r="AN20" i="18" s="1"/>
  <c r="AU20" i="18" s="1"/>
  <c r="E28" i="13"/>
  <c r="F28" i="13" s="1"/>
  <c r="E7" i="13"/>
  <c r="F7" i="13" s="1"/>
  <c r="AY127" i="18"/>
  <c r="BB127" i="18" s="1"/>
  <c r="AV127" i="18"/>
  <c r="H94" i="18"/>
  <c r="AD94" i="18" s="1"/>
  <c r="AM94" i="18" s="1"/>
  <c r="AN94" i="18" s="1"/>
  <c r="AU94" i="18" s="1"/>
  <c r="AV94" i="18" s="1"/>
  <c r="E15" i="13"/>
  <c r="F15" i="13" s="1"/>
  <c r="AY134" i="18"/>
  <c r="BB134" i="18" s="1"/>
  <c r="AV134" i="18"/>
  <c r="AY50" i="18"/>
  <c r="BB50" i="18" s="1"/>
  <c r="AV50" i="18"/>
  <c r="AY126" i="18"/>
  <c r="BB126" i="18" s="1"/>
  <c r="AV126" i="18"/>
  <c r="Q9" i="19"/>
  <c r="AG9" i="19" s="1"/>
  <c r="E8" i="13"/>
  <c r="F8" i="13" s="1"/>
  <c r="H14" i="18"/>
  <c r="AD14" i="18" s="1"/>
  <c r="AM14" i="18" s="1"/>
  <c r="E6" i="13"/>
  <c r="F6" i="13" s="1"/>
  <c r="AB12" i="19"/>
  <c r="AI12" i="19" s="1"/>
  <c r="AY31" i="18"/>
  <c r="BB31" i="18" s="1"/>
  <c r="AV31" i="18"/>
  <c r="AY144" i="18"/>
  <c r="BB144" i="18" s="1"/>
  <c r="AV144" i="18"/>
  <c r="Z12" i="19"/>
  <c r="AH12" i="19" s="1"/>
  <c r="N9" i="19"/>
  <c r="AF9" i="19" s="1"/>
  <c r="AY26" i="18"/>
  <c r="BB26" i="18" s="1"/>
  <c r="AV26" i="18"/>
  <c r="AY63" i="18"/>
  <c r="BD63" i="18" s="1"/>
  <c r="AV63" i="18"/>
  <c r="AY54" i="18"/>
  <c r="BD54" i="18" s="1"/>
  <c r="AV54" i="18"/>
  <c r="AV82" i="18"/>
  <c r="AY82" i="18"/>
  <c r="BD82" i="18" s="1"/>
  <c r="AY59" i="18"/>
  <c r="BB59" i="18" s="1"/>
  <c r="AV59" i="18"/>
  <c r="AY146" i="18"/>
  <c r="BB146" i="18" s="1"/>
  <c r="AV146" i="18"/>
  <c r="AY139" i="18"/>
  <c r="BB139" i="18" s="1"/>
  <c r="AV139" i="18"/>
  <c r="AV132" i="18"/>
  <c r="AY132" i="18"/>
  <c r="BB132" i="18" s="1"/>
  <c r="AV53" i="18"/>
  <c r="AY53" i="18"/>
  <c r="BB53" i="18" s="1"/>
  <c r="AY129" i="18"/>
  <c r="BD129" i="18" s="1"/>
  <c r="AV129" i="18"/>
  <c r="AY25" i="18"/>
  <c r="BD25" i="18" s="1"/>
  <c r="AV25" i="18"/>
  <c r="Z13" i="19"/>
  <c r="AH13" i="19" s="1"/>
  <c r="Z8" i="19"/>
  <c r="AH8" i="19" s="1"/>
  <c r="Q12" i="19"/>
  <c r="AG12" i="19" s="1"/>
  <c r="AB13" i="19"/>
  <c r="AI13" i="19" s="1"/>
  <c r="AB11" i="19"/>
  <c r="AI11" i="19" s="1"/>
  <c r="Z11" i="19"/>
  <c r="AH11" i="19" s="1"/>
  <c r="AB8" i="19"/>
  <c r="AI8" i="19" s="1"/>
  <c r="V8" i="19"/>
  <c r="AL8" i="19" s="1"/>
  <c r="E3" i="19"/>
  <c r="K12" i="19"/>
  <c r="AE12" i="19" s="1"/>
  <c r="V10" i="19"/>
  <c r="AL10" i="19" s="1"/>
  <c r="Z10" i="19"/>
  <c r="AH10" i="19" s="1"/>
  <c r="T12" i="19"/>
  <c r="AK12" i="19" s="1"/>
  <c r="F3" i="19"/>
  <c r="G11" i="19"/>
  <c r="H11" i="19" s="1"/>
  <c r="AD11" i="19" s="1"/>
  <c r="G12" i="19"/>
  <c r="H12" i="19" s="1"/>
  <c r="AD12" i="19" s="1"/>
  <c r="AB10" i="19"/>
  <c r="AI10" i="19" s="1"/>
  <c r="AB9" i="19"/>
  <c r="AI9" i="19" s="1"/>
  <c r="G7" i="19"/>
  <c r="H7" i="19" s="1"/>
  <c r="AD7" i="19" s="1"/>
  <c r="Z9" i="19"/>
  <c r="AH9" i="19" s="1"/>
  <c r="Q10" i="19"/>
  <c r="AG10" i="19" s="1"/>
  <c r="Q13" i="19"/>
  <c r="AG13" i="19" s="1"/>
  <c r="Q11" i="19"/>
  <c r="AG11" i="19" s="1"/>
  <c r="N12" i="19"/>
  <c r="AF12" i="19" s="1"/>
  <c r="N8" i="19"/>
  <c r="AF8" i="19" s="1"/>
  <c r="AV97" i="18"/>
  <c r="AY97" i="18"/>
  <c r="BD97" i="18" s="1"/>
  <c r="E26" i="13"/>
  <c r="F26" i="13" s="1"/>
  <c r="H165" i="18"/>
  <c r="AD165" i="18" s="1"/>
  <c r="AM165" i="18" s="1"/>
  <c r="AN165" i="18" s="1"/>
  <c r="AU165" i="18" s="1"/>
  <c r="AV67" i="18"/>
  <c r="AY67" i="18"/>
  <c r="BD67" i="18" s="1"/>
  <c r="AV10" i="18"/>
  <c r="AY10" i="18"/>
  <c r="BB10" i="18" s="1"/>
  <c r="H8" i="18"/>
  <c r="AD8" i="18" s="1"/>
  <c r="AM8" i="18" s="1"/>
  <c r="AN8" i="18" s="1"/>
  <c r="AU8" i="18" s="1"/>
  <c r="AV81" i="18"/>
  <c r="AY81" i="18"/>
  <c r="BD81" i="18" s="1"/>
  <c r="E17" i="13"/>
  <c r="F17" i="13" s="1"/>
  <c r="H102" i="18"/>
  <c r="AD102" i="18" s="1"/>
  <c r="AM102" i="18" s="1"/>
  <c r="E21" i="13"/>
  <c r="F21" i="13" s="1"/>
  <c r="H123" i="18"/>
  <c r="AD123" i="18" s="1"/>
  <c r="AM123" i="18" s="1"/>
  <c r="E24" i="13"/>
  <c r="F24" i="13" s="1"/>
  <c r="H141" i="18"/>
  <c r="AD141" i="18" s="1"/>
  <c r="AM141" i="18" s="1"/>
  <c r="AN141" i="18" s="1"/>
  <c r="AU141" i="18" s="1"/>
  <c r="H86" i="18"/>
  <c r="AD86" i="18" s="1"/>
  <c r="AM86" i="18" s="1"/>
  <c r="AN86" i="18" s="1"/>
  <c r="AU86" i="18" s="1"/>
  <c r="E16" i="13"/>
  <c r="F16" i="13" s="1"/>
  <c r="AV27" i="18"/>
  <c r="AY27" i="18"/>
  <c r="BD27" i="18" s="1"/>
  <c r="AV52" i="18"/>
  <c r="AY52" i="18"/>
  <c r="BB52" i="18" s="1"/>
  <c r="AV83" i="18"/>
  <c r="AY83" i="18"/>
  <c r="BB83" i="18" s="1"/>
  <c r="AY61" i="18"/>
  <c r="BD61" i="18" s="1"/>
  <c r="AV61" i="18"/>
  <c r="N10" i="19"/>
  <c r="AF10" i="19" s="1"/>
  <c r="H37" i="18"/>
  <c r="AD37" i="18" s="1"/>
  <c r="AM37" i="18" s="1"/>
  <c r="AN37" i="18" s="1"/>
  <c r="AU37" i="18" s="1"/>
  <c r="E9" i="13"/>
  <c r="F9" i="13" s="1"/>
  <c r="K13" i="19"/>
  <c r="AE13" i="19" s="1"/>
  <c r="H72" i="18"/>
  <c r="AD72" i="18" s="1"/>
  <c r="AM72" i="18" s="1"/>
  <c r="AN72" i="18" s="1"/>
  <c r="AU72" i="18" s="1"/>
  <c r="E14" i="13"/>
  <c r="F14" i="13" s="1"/>
  <c r="U3" i="19"/>
  <c r="V7" i="19"/>
  <c r="AL7" i="19" s="1"/>
  <c r="N11" i="19"/>
  <c r="AF11" i="19" s="1"/>
  <c r="AV56" i="18"/>
  <c r="AY56" i="18"/>
  <c r="BB56" i="18" s="1"/>
  <c r="T7" i="19"/>
  <c r="AK7" i="19" s="1"/>
  <c r="S3" i="19"/>
  <c r="AV62" i="18"/>
  <c r="AY62" i="18"/>
  <c r="BD62" i="18" s="1"/>
  <c r="AV23" i="18"/>
  <c r="AY23" i="18"/>
  <c r="BD23" i="18" s="1"/>
  <c r="K10" i="19"/>
  <c r="AE10" i="19" s="1"/>
  <c r="R3" i="19"/>
  <c r="V11" i="19"/>
  <c r="AL11" i="19" s="1"/>
  <c r="H36" i="18"/>
  <c r="AD36" i="18" s="1"/>
  <c r="AM36" i="18" s="1"/>
  <c r="H155" i="18"/>
  <c r="AD155" i="18" s="1"/>
  <c r="AM155" i="18" s="1"/>
  <c r="E25" i="13"/>
  <c r="F25" i="13" s="1"/>
  <c r="AV76" i="18"/>
  <c r="AY76" i="18"/>
  <c r="BD76" i="18" s="1"/>
  <c r="AV109" i="18"/>
  <c r="AY109" i="18"/>
  <c r="BB109" i="18" s="1"/>
  <c r="H99" i="18"/>
  <c r="AD99" i="18" s="1"/>
  <c r="AM99" i="18" s="1"/>
  <c r="AV133" i="18"/>
  <c r="AY133" i="18"/>
  <c r="BB133" i="18" s="1"/>
  <c r="H100" i="18"/>
  <c r="AD100" i="18" s="1"/>
  <c r="AM100" i="18" s="1"/>
  <c r="AN100" i="18" s="1"/>
  <c r="AU100" i="18" s="1"/>
  <c r="E18" i="13"/>
  <c r="F18" i="13" s="1"/>
  <c r="AY106" i="18"/>
  <c r="BB106" i="18" s="1"/>
  <c r="AV106" i="18"/>
  <c r="AY130" i="18"/>
  <c r="BB130" i="18" s="1"/>
  <c r="AV130" i="18"/>
  <c r="M3" i="19"/>
  <c r="N7" i="19"/>
  <c r="AF7" i="19" s="1"/>
  <c r="L3" i="19"/>
  <c r="V13" i="19"/>
  <c r="AL13" i="19" s="1"/>
  <c r="AV145" i="18"/>
  <c r="AY145" i="18"/>
  <c r="BD145" i="18" s="1"/>
  <c r="T11" i="19"/>
  <c r="AK11" i="19" s="1"/>
  <c r="K11" i="19"/>
  <c r="AE11" i="19" s="1"/>
  <c r="AV96" i="18"/>
  <c r="AY96" i="18"/>
  <c r="BD96" i="18" s="1"/>
  <c r="AY171" i="18"/>
  <c r="BD171" i="18" s="1"/>
  <c r="AV171" i="18"/>
  <c r="AY24" i="18"/>
  <c r="BB24" i="18" s="1"/>
  <c r="AV24" i="18"/>
  <c r="H164" i="18"/>
  <c r="AD164" i="18" s="1"/>
  <c r="AM164" i="18" s="1"/>
  <c r="AN164" i="18" s="1"/>
  <c r="AU164" i="18" s="1"/>
  <c r="E27" i="13"/>
  <c r="F27" i="13" s="1"/>
  <c r="AY84" i="18"/>
  <c r="BB84" i="18" s="1"/>
  <c r="AV84" i="18"/>
  <c r="AV163" i="18"/>
  <c r="AY163" i="18"/>
  <c r="BD163" i="18" s="1"/>
  <c r="AY110" i="18"/>
  <c r="BD110" i="18" s="1"/>
  <c r="AV110" i="18"/>
  <c r="E11" i="13"/>
  <c r="F11" i="13" s="1"/>
  <c r="H48" i="18"/>
  <c r="AD48" i="18" s="1"/>
  <c r="AM48" i="18" s="1"/>
  <c r="AN48" i="18" s="1"/>
  <c r="AU48" i="18" s="1"/>
  <c r="AV21" i="18"/>
  <c r="AY21" i="18"/>
  <c r="BB21" i="18" s="1"/>
  <c r="E22" i="13"/>
  <c r="F22" i="13" s="1"/>
  <c r="H122" i="18"/>
  <c r="AD122" i="18" s="1"/>
  <c r="AM122" i="18" s="1"/>
  <c r="AN122" i="18" s="1"/>
  <c r="AU122" i="18" s="1"/>
  <c r="K8" i="19"/>
  <c r="AE8" i="19" s="1"/>
  <c r="AY80" i="18"/>
  <c r="BD80" i="18" s="1"/>
  <c r="AV80" i="18"/>
  <c r="AV166" i="18"/>
  <c r="AY166" i="18"/>
  <c r="BD166" i="18" s="1"/>
  <c r="AV113" i="18"/>
  <c r="AY113" i="18"/>
  <c r="BD113" i="18" s="1"/>
  <c r="E20" i="13"/>
  <c r="F20" i="13" s="1"/>
  <c r="N13" i="19"/>
  <c r="AF13" i="19" s="1"/>
  <c r="G8" i="19"/>
  <c r="AY101" i="18"/>
  <c r="BB101" i="18" s="1"/>
  <c r="AV101" i="18"/>
  <c r="V9" i="19"/>
  <c r="AL9" i="19" s="1"/>
  <c r="AV45" i="18"/>
  <c r="AY45" i="18"/>
  <c r="BB45" i="18" s="1"/>
  <c r="K9" i="19"/>
  <c r="AE9" i="19" s="1"/>
  <c r="AV117" i="18"/>
  <c r="AY117" i="18"/>
  <c r="BD117" i="18" s="1"/>
  <c r="AV13" i="18"/>
  <c r="AY13" i="18"/>
  <c r="BD13" i="18" s="1"/>
  <c r="E12" i="13"/>
  <c r="F12" i="13" s="1"/>
  <c r="H64" i="18"/>
  <c r="AD64" i="18" s="1"/>
  <c r="AM64" i="18" s="1"/>
  <c r="AN64" i="18" s="1"/>
  <c r="AU64" i="18" s="1"/>
  <c r="AV167" i="18"/>
  <c r="AY167" i="18"/>
  <c r="BB167" i="18" s="1"/>
  <c r="AV44" i="18"/>
  <c r="AY44" i="18"/>
  <c r="BB44" i="18" s="1"/>
  <c r="Z7" i="19"/>
  <c r="Y3" i="19"/>
  <c r="Q8" i="19"/>
  <c r="AG8" i="19" s="1"/>
  <c r="AY77" i="18"/>
  <c r="BD77" i="18" s="1"/>
  <c r="AV77" i="18"/>
  <c r="V12" i="19"/>
  <c r="AL12" i="19" s="1"/>
  <c r="AV60" i="18"/>
  <c r="AY60" i="18"/>
  <c r="BD60" i="18" s="1"/>
  <c r="AV30" i="18"/>
  <c r="AY30" i="18"/>
  <c r="BB30" i="18" s="1"/>
  <c r="AV66" i="18"/>
  <c r="AY66" i="18"/>
  <c r="BD66" i="18" s="1"/>
  <c r="AV95" i="18"/>
  <c r="AY95" i="18"/>
  <c r="BB95" i="18" s="1"/>
  <c r="AY65" i="18"/>
  <c r="BB65" i="18" s="1"/>
  <c r="AV65" i="18"/>
  <c r="AV39" i="18"/>
  <c r="AY39" i="18"/>
  <c r="BB39" i="18" s="1"/>
  <c r="AY73" i="18"/>
  <c r="BD73" i="18" s="1"/>
  <c r="AV73" i="18"/>
  <c r="AA3" i="19"/>
  <c r="AB7" i="19"/>
  <c r="H85" i="18"/>
  <c r="AD85" i="18" s="1"/>
  <c r="AM85" i="18" s="1"/>
  <c r="AN85" i="18" s="1"/>
  <c r="AU85" i="18" s="1"/>
  <c r="AV38" i="18"/>
  <c r="AY38" i="18"/>
  <c r="BB38" i="18" s="1"/>
  <c r="O3" i="19"/>
  <c r="Q7" i="19"/>
  <c r="AG7" i="19" s="1"/>
  <c r="AV169" i="18"/>
  <c r="AY169" i="18"/>
  <c r="BD169" i="18" s="1"/>
  <c r="J3" i="19"/>
  <c r="AV41" i="18"/>
  <c r="AY41" i="18"/>
  <c r="BD41" i="18" s="1"/>
  <c r="T9" i="19"/>
  <c r="AK9" i="19" s="1"/>
  <c r="AV90" i="18"/>
  <c r="AY90" i="18"/>
  <c r="BB90" i="18" s="1"/>
  <c r="T10" i="19"/>
  <c r="AK10" i="19" s="1"/>
  <c r="AY142" i="18"/>
  <c r="BB142" i="18" s="1"/>
  <c r="AV142" i="18"/>
  <c r="AV42" i="18"/>
  <c r="AY42" i="18"/>
  <c r="BB42" i="18" s="1"/>
  <c r="AV28" i="18"/>
  <c r="AY28" i="18"/>
  <c r="BD28" i="18" s="1"/>
  <c r="AV107" i="18"/>
  <c r="AY107" i="18"/>
  <c r="BB107" i="18" s="1"/>
  <c r="H46" i="18"/>
  <c r="AD46" i="18" s="1"/>
  <c r="AM46" i="18" s="1"/>
  <c r="E10" i="13"/>
  <c r="F10" i="13" s="1"/>
  <c r="AV124" i="18"/>
  <c r="AY124" i="18"/>
  <c r="BB124" i="18" s="1"/>
  <c r="H112" i="18"/>
  <c r="AD112" i="18" s="1"/>
  <c r="AM112" i="18" s="1"/>
  <c r="AN112" i="18" s="1"/>
  <c r="AU112" i="18" s="1"/>
  <c r="E19" i="13"/>
  <c r="F19" i="13" s="1"/>
  <c r="H7" i="18"/>
  <c r="AD7" i="18" s="1"/>
  <c r="AM7" i="18" s="1"/>
  <c r="AN7" i="18" s="1"/>
  <c r="AV118" i="18"/>
  <c r="AY118" i="18"/>
  <c r="BD118" i="18" s="1"/>
  <c r="AV116" i="18"/>
  <c r="AY116" i="18"/>
  <c r="BD116" i="18" s="1"/>
  <c r="AV87" i="18"/>
  <c r="AY87" i="18"/>
  <c r="BD87" i="18" s="1"/>
  <c r="G9" i="19"/>
  <c r="H9" i="19" s="1"/>
  <c r="AD9" i="19" s="1"/>
  <c r="P3" i="19"/>
  <c r="K7" i="19"/>
  <c r="AE7" i="19" s="1"/>
  <c r="I3" i="19"/>
  <c r="T8" i="19"/>
  <c r="AK8" i="19" s="1"/>
  <c r="E13" i="13"/>
  <c r="F13" i="13" s="1"/>
  <c r="H75" i="18"/>
  <c r="AD75" i="18" s="1"/>
  <c r="AM75" i="18" s="1"/>
  <c r="AN75" i="18" s="1"/>
  <c r="AU75" i="18" s="1"/>
  <c r="T13" i="19"/>
  <c r="AK13" i="19" s="1"/>
  <c r="AY92" i="18"/>
  <c r="BD92" i="18" s="1"/>
  <c r="AV92" i="18"/>
  <c r="G10" i="19"/>
  <c r="H10" i="19" s="1"/>
  <c r="AD10" i="19" s="1"/>
  <c r="G13" i="19"/>
  <c r="H13" i="19" s="1"/>
  <c r="AD13" i="19" s="1"/>
  <c r="AY137" i="18" l="1"/>
  <c r="AV137" i="18"/>
  <c r="AV20" i="18"/>
  <c r="AY20" i="18"/>
  <c r="AY94" i="18"/>
  <c r="BB94" i="18" s="1"/>
  <c r="BD127" i="18"/>
  <c r="AX127" i="18"/>
  <c r="AW127" i="18"/>
  <c r="BD134" i="18"/>
  <c r="AX134" i="18"/>
  <c r="AW134" i="18"/>
  <c r="BD50" i="18"/>
  <c r="BD126" i="18"/>
  <c r="AX126" i="18"/>
  <c r="AW126" i="18"/>
  <c r="AW50" i="18"/>
  <c r="AX50" i="18"/>
  <c r="AY122" i="18"/>
  <c r="BB122" i="18" s="1"/>
  <c r="AV122" i="18"/>
  <c r="BD31" i="18"/>
  <c r="BD144" i="18"/>
  <c r="AW31" i="18"/>
  <c r="AX31" i="18"/>
  <c r="AX144" i="18"/>
  <c r="AW144" i="18"/>
  <c r="AV85" i="18"/>
  <c r="AY85" i="18"/>
  <c r="BB85" i="18" s="1"/>
  <c r="BB63" i="18"/>
  <c r="BD26" i="18"/>
  <c r="AX26" i="18"/>
  <c r="AW26" i="18"/>
  <c r="AX63" i="18"/>
  <c r="AW63" i="18"/>
  <c r="BD146" i="18"/>
  <c r="BB82" i="18"/>
  <c r="BB54" i="18"/>
  <c r="BD53" i="18"/>
  <c r="BD59" i="18"/>
  <c r="BB25" i="18"/>
  <c r="BD139" i="18"/>
  <c r="AX53" i="18"/>
  <c r="AW53" i="18"/>
  <c r="AX25" i="18"/>
  <c r="AW25" i="18"/>
  <c r="BD132" i="18"/>
  <c r="AW146" i="18"/>
  <c r="AX146" i="18"/>
  <c r="AY64" i="18"/>
  <c r="BD64" i="18" s="1"/>
  <c r="AV64" i="18"/>
  <c r="AV141" i="18"/>
  <c r="AY141" i="18"/>
  <c r="BB141" i="18" s="1"/>
  <c r="BB129" i="18"/>
  <c r="AX132" i="18"/>
  <c r="AW132" i="18"/>
  <c r="AY48" i="18"/>
  <c r="BB48" i="18" s="1"/>
  <c r="AV48" i="18"/>
  <c r="AW129" i="18"/>
  <c r="AX129" i="18"/>
  <c r="AW82" i="18"/>
  <c r="AX82" i="18"/>
  <c r="AV37" i="18"/>
  <c r="AY37" i="18"/>
  <c r="BB37" i="18" s="1"/>
  <c r="AW139" i="18"/>
  <c r="AX139" i="18"/>
  <c r="AX59" i="18"/>
  <c r="AW59" i="18"/>
  <c r="AX54" i="18"/>
  <c r="AW54" i="18"/>
  <c r="AM9" i="19"/>
  <c r="AQ9" i="19" s="1"/>
  <c r="AR9" i="19" s="1"/>
  <c r="AS9" i="19" s="1"/>
  <c r="AU7" i="18"/>
  <c r="AY7" i="18" s="1"/>
  <c r="BB7" i="18" s="1"/>
  <c r="AP1" i="18"/>
  <c r="AQ1" i="18" s="1"/>
  <c r="AP3" i="18"/>
  <c r="AQ3" i="18" s="1"/>
  <c r="AP2" i="18"/>
  <c r="AQ2" i="18" s="1"/>
  <c r="G3" i="19"/>
  <c r="H8" i="19"/>
  <c r="AD8" i="19" s="1"/>
  <c r="AM8" i="19" s="1"/>
  <c r="AQ8" i="19" s="1"/>
  <c r="AR8" i="19" s="1"/>
  <c r="AM11" i="19"/>
  <c r="AQ11" i="19" s="1"/>
  <c r="AR11" i="19" s="1"/>
  <c r="AS11" i="19" s="1"/>
  <c r="BB87" i="18"/>
  <c r="BB117" i="18"/>
  <c r="BB110" i="18"/>
  <c r="BD24" i="18"/>
  <c r="BD107" i="18"/>
  <c r="BB62" i="18"/>
  <c r="BB96" i="18"/>
  <c r="BB41" i="18"/>
  <c r="BB73" i="18"/>
  <c r="AM10" i="19"/>
  <c r="AQ10" i="19" s="1"/>
  <c r="AR10" i="19" s="1"/>
  <c r="AT10" i="19" s="1"/>
  <c r="BB145" i="18"/>
  <c r="BD130" i="18"/>
  <c r="BD90" i="18"/>
  <c r="BB169" i="18"/>
  <c r="BD84" i="18"/>
  <c r="BB60" i="18"/>
  <c r="BD167" i="18"/>
  <c r="BD39" i="18"/>
  <c r="BB163" i="18"/>
  <c r="BB61" i="18"/>
  <c r="BB77" i="18"/>
  <c r="BD56" i="18"/>
  <c r="BB66" i="18"/>
  <c r="BB76" i="18"/>
  <c r="BB80" i="18"/>
  <c r="BD106" i="18"/>
  <c r="BD38" i="18"/>
  <c r="BB166" i="18"/>
  <c r="BD21" i="18"/>
  <c r="BD109" i="18"/>
  <c r="BB27" i="18"/>
  <c r="BB28" i="18"/>
  <c r="BB67" i="18"/>
  <c r="BB113" i="18"/>
  <c r="AM13" i="19"/>
  <c r="AQ13" i="19" s="1"/>
  <c r="AR13" i="19" s="1"/>
  <c r="AS13" i="19" s="1"/>
  <c r="AX116" i="18"/>
  <c r="AW116" i="18"/>
  <c r="BB118" i="18"/>
  <c r="BD124" i="18"/>
  <c r="BD142" i="18"/>
  <c r="BD30" i="18"/>
  <c r="AX167" i="18"/>
  <c r="AW167" i="18"/>
  <c r="AX96" i="18"/>
  <c r="AW96" i="18"/>
  <c r="BB92" i="18"/>
  <c r="BB116" i="18"/>
  <c r="AX118" i="18"/>
  <c r="AW118" i="18"/>
  <c r="AX124" i="18"/>
  <c r="AW124" i="18"/>
  <c r="BD42" i="18"/>
  <c r="AI7" i="19"/>
  <c r="AA2" i="19"/>
  <c r="BD95" i="18"/>
  <c r="BD44" i="18"/>
  <c r="AX117" i="18"/>
  <c r="AW117" i="18"/>
  <c r="AW101" i="18"/>
  <c r="AX101" i="18"/>
  <c r="AX133" i="18"/>
  <c r="AW133" i="18"/>
  <c r="BD83" i="18"/>
  <c r="BD10" i="18"/>
  <c r="AY165" i="18"/>
  <c r="BB165" i="18" s="1"/>
  <c r="AV165" i="18"/>
  <c r="BD101" i="18"/>
  <c r="AX113" i="18"/>
  <c r="AW113" i="18"/>
  <c r="AW163" i="18"/>
  <c r="AX163" i="18"/>
  <c r="BB171" i="18"/>
  <c r="AX62" i="18"/>
  <c r="AW62" i="18"/>
  <c r="AX83" i="18"/>
  <c r="AW83" i="18"/>
  <c r="AX27" i="18"/>
  <c r="AW27" i="18"/>
  <c r="AW39" i="18"/>
  <c r="AX39" i="18"/>
  <c r="AX95" i="18"/>
  <c r="AW95" i="18"/>
  <c r="AX30" i="18"/>
  <c r="AW30" i="18"/>
  <c r="AY75" i="18"/>
  <c r="BB75" i="18" s="1"/>
  <c r="AV75" i="18"/>
  <c r="AX107" i="18"/>
  <c r="AW107" i="18"/>
  <c r="AW65" i="18"/>
  <c r="AX65" i="18"/>
  <c r="AX166" i="18"/>
  <c r="AW166" i="18"/>
  <c r="AX110" i="18"/>
  <c r="AW110" i="18"/>
  <c r="AW171" i="18"/>
  <c r="AX171" i="18"/>
  <c r="BB23" i="18"/>
  <c r="BB81" i="18"/>
  <c r="BB97" i="18"/>
  <c r="AX44" i="18"/>
  <c r="AW44" i="18"/>
  <c r="BB13" i="18"/>
  <c r="AW21" i="18"/>
  <c r="AX21" i="18"/>
  <c r="AX61" i="18"/>
  <c r="AW61" i="18"/>
  <c r="BD52" i="18"/>
  <c r="AV86" i="18"/>
  <c r="AY86" i="18"/>
  <c r="BB86" i="18" s="1"/>
  <c r="AW10" i="18"/>
  <c r="AX10" i="18"/>
  <c r="AW42" i="18"/>
  <c r="AX42" i="18"/>
  <c r="AX73" i="18"/>
  <c r="AW73" i="18"/>
  <c r="AV164" i="18"/>
  <c r="AY164" i="18"/>
  <c r="BB164" i="18" s="1"/>
  <c r="AX130" i="18"/>
  <c r="AW130" i="18"/>
  <c r="AV112" i="18"/>
  <c r="AY112" i="18"/>
  <c r="BB112" i="18" s="1"/>
  <c r="BD65" i="18"/>
  <c r="AX80" i="18"/>
  <c r="AW80" i="18"/>
  <c r="AM12" i="19"/>
  <c r="AQ12" i="19" s="1"/>
  <c r="AR12" i="19" s="1"/>
  <c r="AV100" i="18"/>
  <c r="AY100" i="18"/>
  <c r="BD100" i="18" s="1"/>
  <c r="AV72" i="18"/>
  <c r="AY72" i="18"/>
  <c r="BD72" i="18" s="1"/>
  <c r="AW41" i="18"/>
  <c r="AX41" i="18"/>
  <c r="AX87" i="18"/>
  <c r="AW87" i="18"/>
  <c r="AX94" i="18"/>
  <c r="AW94" i="18"/>
  <c r="AX90" i="18"/>
  <c r="AW90" i="18"/>
  <c r="BD45" i="18"/>
  <c r="AX142" i="18"/>
  <c r="AW142" i="18"/>
  <c r="AW38" i="18"/>
  <c r="AX38" i="18"/>
  <c r="AX66" i="18"/>
  <c r="AW66" i="18"/>
  <c r="AX60" i="18"/>
  <c r="AW60" i="18"/>
  <c r="AX13" i="18"/>
  <c r="AW13" i="18"/>
  <c r="AX24" i="18"/>
  <c r="AW24" i="18"/>
  <c r="BD133" i="18"/>
  <c r="AW109" i="18"/>
  <c r="AX109" i="18"/>
  <c r="AX23" i="18"/>
  <c r="AW23" i="18"/>
  <c r="AW52" i="18"/>
  <c r="AX52" i="18"/>
  <c r="AX81" i="18"/>
  <c r="AW81" i="18"/>
  <c r="AW97" i="18"/>
  <c r="AX97" i="18"/>
  <c r="AW84" i="18"/>
  <c r="AX84" i="18"/>
  <c r="AW145" i="18"/>
  <c r="AX145" i="18"/>
  <c r="AX76" i="18"/>
  <c r="AW76" i="18"/>
  <c r="AX92" i="18"/>
  <c r="AW92" i="18"/>
  <c r="AW28" i="18"/>
  <c r="AX28" i="18"/>
  <c r="AX169" i="18"/>
  <c r="AW169" i="18"/>
  <c r="AX45" i="18"/>
  <c r="AW45" i="18"/>
  <c r="AX77" i="18"/>
  <c r="AW77" i="18"/>
  <c r="AH7" i="19"/>
  <c r="Y2" i="19"/>
  <c r="AW106" i="18"/>
  <c r="AX106" i="18"/>
  <c r="AX56" i="18"/>
  <c r="AW56" i="18"/>
  <c r="AV8" i="18"/>
  <c r="AY8" i="18"/>
  <c r="BD8" i="18" s="1"/>
  <c r="AW67" i="18"/>
  <c r="AX67" i="18"/>
  <c r="BB137" i="18" l="1"/>
  <c r="BD137" i="18"/>
  <c r="AW137" i="18"/>
  <c r="AX137" i="18"/>
  <c r="AW20" i="18"/>
  <c r="AX20" i="18"/>
  <c r="BB20" i="18"/>
  <c r="BD20" i="18"/>
  <c r="BD94" i="18"/>
  <c r="AV7" i="18"/>
  <c r="AV5" i="18" s="1"/>
  <c r="AU5" i="18"/>
  <c r="BD122" i="18"/>
  <c r="AX122" i="18"/>
  <c r="AW122" i="18"/>
  <c r="BD85" i="18"/>
  <c r="AW85" i="18"/>
  <c r="AX85" i="18"/>
  <c r="BD141" i="18"/>
  <c r="BD48" i="18"/>
  <c r="AW37" i="18"/>
  <c r="AX37" i="18"/>
  <c r="AW48" i="18"/>
  <c r="AX48" i="18"/>
  <c r="AW141" i="18"/>
  <c r="AX141" i="18"/>
  <c r="BB64" i="18"/>
  <c r="BD37" i="18"/>
  <c r="AW64" i="18"/>
  <c r="AX64" i="18"/>
  <c r="AT9" i="19"/>
  <c r="AM7" i="19"/>
  <c r="AM2" i="19" s="1"/>
  <c r="AT11" i="19"/>
  <c r="BD7" i="18"/>
  <c r="AS10" i="19"/>
  <c r="BD75" i="18"/>
  <c r="BB8" i="18"/>
  <c r="AT13" i="19"/>
  <c r="AW86" i="18"/>
  <c r="AX86" i="18"/>
  <c r="AX8" i="18"/>
  <c r="AW8" i="18"/>
  <c r="BB100" i="18"/>
  <c r="AX165" i="18"/>
  <c r="AW165" i="18"/>
  <c r="BD164" i="18"/>
  <c r="BD165" i="18"/>
  <c r="AX75" i="18"/>
  <c r="AW75" i="18"/>
  <c r="AY5" i="18"/>
  <c r="AS12" i="19"/>
  <c r="AT12" i="19"/>
  <c r="AW164" i="18"/>
  <c r="AX164" i="18"/>
  <c r="BB72" i="18"/>
  <c r="BD112" i="18"/>
  <c r="BD86" i="18"/>
  <c r="AT8" i="19"/>
  <c r="AS8" i="19"/>
  <c r="AX112" i="18"/>
  <c r="AW112" i="18"/>
  <c r="AX72" i="18"/>
  <c r="AW72" i="18"/>
  <c r="AX100" i="18"/>
  <c r="AW100" i="18"/>
  <c r="AW7" i="18" l="1"/>
  <c r="AW5" i="18" s="1"/>
  <c r="AW3" i="18" s="1"/>
  <c r="AX7" i="18"/>
  <c r="AX5" i="18" s="1"/>
  <c r="AQ7" i="19"/>
  <c r="AQ5" i="19" s="1"/>
  <c r="AR7" i="19" l="1"/>
  <c r="AR5" i="19" s="1"/>
  <c r="AS7" i="19" l="1"/>
  <c r="AS5" i="19" s="1"/>
  <c r="AS3" i="19" s="1"/>
  <c r="AT7" i="19"/>
  <c r="AT5" i="19" s="1"/>
  <c r="M4" i="13"/>
  <c r="N4" i="13"/>
  <c r="S4" i="13"/>
  <c r="Y4" i="13"/>
  <c r="G4" i="13"/>
  <c r="W3" i="13"/>
  <c r="W4" i="13"/>
  <c r="H4" i="13"/>
  <c r="P4" i="13"/>
  <c r="Y3" i="13"/>
  <c r="Q4" i="13"/>
  <c r="J4" i="13"/>
  <c r="D4" i="13"/>
  <c r="E4" i="13"/>
  <c r="B6" i="13"/>
  <c r="C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Seionr from July.2022
demote to LO 1-4-2023</t>
        </r>
      </text>
    </comment>
    <comment ref="B2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Seionr from March.2022
demote to LO 1-Feb-2023</t>
        </r>
      </text>
    </comment>
    <comment ref="B2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Seionr from October.2022</t>
        </r>
      </text>
    </comment>
    <comment ref="B3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SLO from Dec-2022
and demote to LO Jun-2022</t>
        </r>
      </text>
    </comment>
    <comment ref="B4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 to senior may-2021
Demote to LO August 2023</t>
        </r>
      </text>
    </comment>
    <comment ref="B44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 to senior Jan-2022</t>
        </r>
      </text>
    </comment>
    <comment ref="B65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demote to LO May-2022
and promot to senior August-2022
demote to LO 1-April-2023</t>
        </r>
      </text>
    </comment>
    <comment ref="B66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SLO from Dec-2022
Demote to LO August 2023</t>
        </r>
      </text>
    </comment>
    <comment ref="B6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SLO from Dec-2022
Demote to LO 1-April-2023</t>
        </r>
      </text>
    </comment>
    <comment ref="B84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SLO 1-4-2023
Demote to LO 1-6-2023</t>
        </r>
      </text>
    </comment>
    <comment ref="B86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SLO from Aug-2022</t>
        </r>
      </text>
    </comment>
    <comment ref="B95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Seionr from October.2022</t>
        </r>
      </text>
    </comment>
    <comment ref="B116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SLO from Aug-2022
demote to LO 1-5-2023</t>
        </r>
      </text>
    </comment>
    <comment ref="B118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Sr. 1-1-2023
Demote to LO 1-3-2023</t>
        </r>
      </text>
    </comment>
    <comment ref="B165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SLO from Aug-2022
Demote 1-7-2023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Seionr from March.2022</t>
        </r>
      </text>
    </comment>
    <comment ref="B3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Windows User:
promote to SLO from Dec-2022
and demote to LO Jun-2022</t>
        </r>
      </text>
    </comment>
    <comment ref="B4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 to senior Jan-2022</t>
        </r>
      </text>
    </comment>
    <comment ref="B113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Seionr from Aug.2022</t>
        </r>
      </text>
    </comment>
    <comment ref="B164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Seionr from Aug.2022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1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Seionr from March.2022</t>
        </r>
      </text>
    </comment>
    <comment ref="B23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Windows User:
promote to SLO from Dec-2022
and demote to LO Jun-2022</t>
        </r>
      </text>
    </comment>
    <comment ref="B2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 to senior Jan-2022</t>
        </r>
      </text>
    </comment>
    <comment ref="B45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SLO from Dec-2022</t>
        </r>
      </text>
    </comment>
    <comment ref="B82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Seionr from Aug.2022</t>
        </r>
      </text>
    </comment>
    <comment ref="B11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Promote to Seionr from Aug.2022</t>
        </r>
      </text>
    </comment>
  </commentList>
</comments>
</file>

<file path=xl/sharedStrings.xml><?xml version="1.0" encoding="utf-8"?>
<sst xmlns="http://schemas.openxmlformats.org/spreadsheetml/2006/main" count="2757" uniqueCount="506">
  <si>
    <t>Loan Officer (Active)</t>
  </si>
  <si>
    <t>Abass Abdul Ameer Kareem</t>
  </si>
  <si>
    <t>Abbas Dhaif Hasan</t>
  </si>
  <si>
    <t>AbdulMuhsin Mansour Jabir</t>
  </si>
  <si>
    <t>Adil Mohammed Ali Wdai</t>
  </si>
  <si>
    <t>Adyan Alawee Abdul Abass</t>
  </si>
  <si>
    <t>Ahmad Hatrosh Muhammad</t>
  </si>
  <si>
    <t>Ahmad Saadi Taha</t>
  </si>
  <si>
    <t>Ahmed Abdul Hussain Mathkor</t>
  </si>
  <si>
    <t>Ahmed Muhammed Radad</t>
  </si>
  <si>
    <t>Ahmed Saad Kadhum</t>
  </si>
  <si>
    <t>Ahmed Sahib Hasan</t>
  </si>
  <si>
    <t>Ahmed Saleh Mahdi</t>
  </si>
  <si>
    <t>Akar  Arshad Muhammad</t>
  </si>
  <si>
    <t>Ali  Muhsin Kshash</t>
  </si>
  <si>
    <t>Ali Abdul Zahra Jasim</t>
  </si>
  <si>
    <t>ali aziz abdul hafeth</t>
  </si>
  <si>
    <t>Ali Hussam Ali</t>
  </si>
  <si>
    <t>Ali Jihad Abdul Hussain</t>
  </si>
  <si>
    <t>Ali Kadhum Wshah</t>
  </si>
  <si>
    <t>Ali Kareem Hadhil</t>
  </si>
  <si>
    <t>Ali Mehdi Dawood</t>
  </si>
  <si>
    <t>Ali Talib Hameed</t>
  </si>
  <si>
    <t>Ali Youns Jahil</t>
  </si>
  <si>
    <t>Ameer Muhsin Ubaid</t>
  </si>
  <si>
    <t>Amir Ali Muhammad</t>
  </si>
  <si>
    <t>Ammar Abdul wahab Salah</t>
  </si>
  <si>
    <t>Ammar Sahib Abd Hussain</t>
  </si>
  <si>
    <t>Anees Obaid Merhij</t>
  </si>
  <si>
    <t>Aqeel Mohammed Mohssan</t>
  </si>
  <si>
    <t>Aso Muhammed Ahmed</t>
  </si>
  <si>
    <t>Atheer Abbas Kadhem</t>
  </si>
  <si>
    <t>Atheer Raheem Khasaf</t>
  </si>
  <si>
    <t>Ayad Abbas Abed</t>
  </si>
  <si>
    <t>Bahaa Sabah Manthor</t>
  </si>
  <si>
    <t>Baneen Kamil Abdul Razaq</t>
  </si>
  <si>
    <t>dhiyaa Nafaa Hameed</t>
  </si>
  <si>
    <t>dhyaa ahmed mohamoud</t>
  </si>
  <si>
    <t>Dilshad Azez Ahmed</t>
  </si>
  <si>
    <t>Eman Yaarub Abdul Jalil</t>
  </si>
  <si>
    <t>Fadhil Shaker Muhammed</t>
  </si>
  <si>
    <t>Fadhil Shamkhi Jabbar</t>
  </si>
  <si>
    <t>Fadi Jabar Ghazal</t>
  </si>
  <si>
    <t>Faez Abid Alak Ghali</t>
  </si>
  <si>
    <t>Fatima Salman Zair</t>
  </si>
  <si>
    <t>Hadi Kareem Hussain</t>
  </si>
  <si>
    <t>Hamza Hazim Mutar</t>
  </si>
  <si>
    <t>Hassan Hadi Hamza</t>
  </si>
  <si>
    <t>Hassan Yehya Moshkel</t>
  </si>
  <si>
    <t>Hawraa Hussain Shekhair</t>
  </si>
  <si>
    <t>Hayder  Hassuin Ali Husain</t>
  </si>
  <si>
    <t>Hayder Abdulla Matrood</t>
  </si>
  <si>
    <t>Hayder Elaiwe Bresam</t>
  </si>
  <si>
    <t>Hayder Yas Khudhair</t>
  </si>
  <si>
    <t>Husam Abdul Hassan Majhool</t>
  </si>
  <si>
    <t>Hussain Ali Abdul Wahid</t>
  </si>
  <si>
    <t>Hussain Jawad Kadhum</t>
  </si>
  <si>
    <t>Hussain Rasool Ibrahim</t>
  </si>
  <si>
    <t>Hussain Taleb Obbes</t>
  </si>
  <si>
    <t>Hussam Sabah Ghadab</t>
  </si>
  <si>
    <t>Hussein Mustafa Abdul Samad</t>
  </si>
  <si>
    <t>Idrees Hassan Kadhum</t>
  </si>
  <si>
    <t>Kadhum Jawad Abdulkadhum</t>
  </si>
  <si>
    <t>Karar Kudhair Kadhum</t>
  </si>
  <si>
    <t>Khalid Khudhair Abass</t>
  </si>
  <si>
    <t>Khalil kizar Salih</t>
  </si>
  <si>
    <t>Lamyaa Salim Neghaish</t>
  </si>
  <si>
    <t>Loai Usama Farooq</t>
  </si>
  <si>
    <t>Maithem Ameen Saeed</t>
  </si>
  <si>
    <t>Maithem Muwafaq Mohammed</t>
  </si>
  <si>
    <t>Manar Ali Hussain</t>
  </si>
  <si>
    <t>Methaq Abdul Amir Jasim</t>
  </si>
  <si>
    <t>Mohammed Nasir Tarish</t>
  </si>
  <si>
    <t>Muhammad Hazim Majeed</t>
  </si>
  <si>
    <t>Muhammad Hussain Ali Khudair</t>
  </si>
  <si>
    <t>Muhammad Kareem Salih</t>
  </si>
  <si>
    <t>Muhammad Majeed Ubaid</t>
  </si>
  <si>
    <t>Muhammed Fadhal Farhan</t>
  </si>
  <si>
    <t>Muhammed Fadhil Roomi</t>
  </si>
  <si>
    <t>Muhammed Hussain   Hussain</t>
  </si>
  <si>
    <t>Muhannad Kudhair Abass</t>
  </si>
  <si>
    <t>Muhanned Muhammed Edan</t>
  </si>
  <si>
    <t>Muhasin Shatnan Fahad</t>
  </si>
  <si>
    <t>Muneer Shareef Jasim</t>
  </si>
  <si>
    <t>Musaab Muhammed Thamer</t>
  </si>
  <si>
    <t>Muslim  Raji Jasim</t>
  </si>
  <si>
    <t>Mustafa  Shihab Ahmad</t>
  </si>
  <si>
    <t>Mustafa Qasim Hameed</t>
  </si>
  <si>
    <t>Nadya Sultan Kareem</t>
  </si>
  <si>
    <t>Najdy Hussain Najdy</t>
  </si>
  <si>
    <t>Nayef Miteb Musa</t>
  </si>
  <si>
    <t>Neama Rasool Kadhum</t>
  </si>
  <si>
    <t>Nuha Ibrahim Essa</t>
  </si>
  <si>
    <t>Qasim Abdul Redha Anteshon</t>
  </si>
  <si>
    <t>Qasim Mihbas Ashosh</t>
  </si>
  <si>
    <t>Ranj Shihab Abdul Rahman</t>
  </si>
  <si>
    <t>Rashad Hadi Lafta</t>
  </si>
  <si>
    <t>Razaq Gassid Badir</t>
  </si>
  <si>
    <t>Ridha Salim Abdul Wahid</t>
  </si>
  <si>
    <t>Saad Kareem Rashid</t>
  </si>
  <si>
    <t>Saed Hamad Moteb</t>
  </si>
  <si>
    <t>Saif Hmood Mahdi</t>
  </si>
  <si>
    <t>Sajad Abdul-Ilah Khorsheed</t>
  </si>
  <si>
    <t>Salah Mahdi Hashim</t>
  </si>
  <si>
    <t>Salah Salam Hosny</t>
  </si>
  <si>
    <t>Shkar Shwan Ali</t>
  </si>
  <si>
    <t>Sufian Abed Salman</t>
  </si>
  <si>
    <t>Tahseen Faris Mansor</t>
  </si>
  <si>
    <t>Uday Shakir Rissan</t>
  </si>
  <si>
    <t>Wafaa Mohammad Hassan</t>
  </si>
  <si>
    <t>Yahya Majeed Jabbori</t>
  </si>
  <si>
    <t>Yais Khdhir Dikhi</t>
  </si>
  <si>
    <t>Zahraa Hameed Hassan</t>
  </si>
  <si>
    <t>Zaid Hadi Isa</t>
  </si>
  <si>
    <t>Zaid Jiwad Muhammed</t>
  </si>
  <si>
    <t>Zainab Razaq Ekraim</t>
  </si>
  <si>
    <t>Zakariya Yehya Jihad</t>
  </si>
  <si>
    <t>Portfolio at Risk</t>
  </si>
  <si>
    <t>30+</t>
  </si>
  <si>
    <t>Value</t>
  </si>
  <si>
    <t>Disbursement No</t>
  </si>
  <si>
    <t>Female</t>
  </si>
  <si>
    <t xml:space="preserve">No </t>
  </si>
  <si>
    <t>Loan Officer Supervisor</t>
  </si>
  <si>
    <t>Credit Coordinator</t>
  </si>
  <si>
    <t>Branch</t>
  </si>
  <si>
    <t>Active Clients</t>
  </si>
  <si>
    <t>Outs Portfolio</t>
  </si>
  <si>
    <t>PAR &gt;30</t>
  </si>
  <si>
    <t>Disbursment $</t>
  </si>
  <si>
    <t>Target</t>
  </si>
  <si>
    <t>No. of Staff</t>
  </si>
  <si>
    <t>End</t>
  </si>
  <si>
    <t>Hayder Hussein Obayes</t>
  </si>
  <si>
    <t>Amer Ahmed AbdulWahid</t>
  </si>
  <si>
    <t>Mohammed Mourshid Kadhim</t>
  </si>
  <si>
    <t>Hayder Talib Hashim</t>
  </si>
  <si>
    <t>Hassanein Kadhum Abid</t>
  </si>
  <si>
    <t>Azad Kareem Muhammed</t>
  </si>
  <si>
    <t>Ahmed Hadi Muhammed</t>
  </si>
  <si>
    <t>Abass Razaq Abdulrazak</t>
  </si>
  <si>
    <t>Ahmed Hilal Abdul Kareem</t>
  </si>
  <si>
    <t>Jaafar Muneer Haleem</t>
  </si>
  <si>
    <t>Ali Salman Ali</t>
  </si>
  <si>
    <t>Hassan Razaq Sebah</t>
  </si>
  <si>
    <t>Adel Abdul Ameer Farhood</t>
  </si>
  <si>
    <t>Mahir Kareem Hussain</t>
  </si>
  <si>
    <t>Hussain Taher Fezaa</t>
  </si>
  <si>
    <t>Mohammed Abid Al Sada Issa</t>
  </si>
  <si>
    <t>Mustafa Sabeeh Hadi</t>
  </si>
  <si>
    <t>Azhar Hassan Hussien</t>
  </si>
  <si>
    <t>Ali Yousif Eesa</t>
  </si>
  <si>
    <t>Ali Manji Oufi</t>
  </si>
  <si>
    <t>Hashimiyah</t>
  </si>
  <si>
    <t>Dewaniya</t>
  </si>
  <si>
    <t>Mansour</t>
  </si>
  <si>
    <t>Kut</t>
  </si>
  <si>
    <t>Basra</t>
  </si>
  <si>
    <t>Hilla</t>
  </si>
  <si>
    <t>Sulymaniya</t>
  </si>
  <si>
    <t>Nasriya</t>
  </si>
  <si>
    <t>Karbala</t>
  </si>
  <si>
    <t>Najaf</t>
  </si>
  <si>
    <t>Erbil</t>
  </si>
  <si>
    <t>Wehda</t>
  </si>
  <si>
    <t>Mudaina</t>
  </si>
  <si>
    <t>Hindiyah</t>
  </si>
  <si>
    <t>Disb Female No. Clients</t>
  </si>
  <si>
    <t>Disb New No. Clients</t>
  </si>
  <si>
    <t>Disb Renewal Rate (%)</t>
  </si>
  <si>
    <t xml:space="preserve">Disb Clients No. </t>
  </si>
  <si>
    <t>Disb Female Rate (%)</t>
  </si>
  <si>
    <t xml:space="preserve">Number of Staff. </t>
  </si>
  <si>
    <t>Case Load by LO</t>
  </si>
  <si>
    <t>Disburs No.</t>
  </si>
  <si>
    <t>PAR $ &gt;30</t>
  </si>
  <si>
    <t xml:space="preserve">Weight </t>
  </si>
  <si>
    <t>Max Input</t>
  </si>
  <si>
    <t>Min Input</t>
  </si>
  <si>
    <t>Renewal Rate</t>
  </si>
  <si>
    <t>Female Rate</t>
  </si>
  <si>
    <t>Case Load</t>
  </si>
  <si>
    <t>Total</t>
  </si>
  <si>
    <t>Faris Hussain Matrood</t>
  </si>
  <si>
    <t>haidar Youssef Lafta</t>
  </si>
  <si>
    <t>Salaries</t>
  </si>
  <si>
    <t xml:space="preserve">Basic </t>
  </si>
  <si>
    <t>Net</t>
  </si>
  <si>
    <t>Proposal Incentive</t>
  </si>
  <si>
    <t>Proposal Total Salary</t>
  </si>
  <si>
    <t>Difference</t>
  </si>
  <si>
    <t>Target Portfolio</t>
  </si>
  <si>
    <t>Target Active Clients</t>
  </si>
  <si>
    <t>Actual Active Clients</t>
  </si>
  <si>
    <t>Actual Portfolio</t>
  </si>
  <si>
    <t>Actual/Target</t>
  </si>
  <si>
    <t>Actual Disbursement $</t>
  </si>
  <si>
    <t>Tatget Disbursement $</t>
  </si>
  <si>
    <t>Monthly Target</t>
  </si>
  <si>
    <t>Disbursement # Portion</t>
  </si>
  <si>
    <t>0-30</t>
  </si>
  <si>
    <t>PAR $ 0-30</t>
  </si>
  <si>
    <t>PAR 0-30</t>
  </si>
  <si>
    <t>Adnan Flayih Hasan</t>
  </si>
  <si>
    <t>Ahmed Taher Moslem</t>
  </si>
  <si>
    <t>Ali Ahmad Ali</t>
  </si>
  <si>
    <t>Amjad Abdul Redha Shaker</t>
  </si>
  <si>
    <t>Assad Mohammed Baker</t>
  </si>
  <si>
    <t>Enas Raji Ahmed</t>
  </si>
  <si>
    <t>Kadhum Fajer Kadhum</t>
  </si>
  <si>
    <t>Kholiya  Hassan Rasheed</t>
  </si>
  <si>
    <t>Zainab Thuaban Jameel</t>
  </si>
  <si>
    <t>Semawa</t>
  </si>
  <si>
    <t>BenchMark</t>
  </si>
  <si>
    <t>PAR 1-30</t>
  </si>
  <si>
    <t>ReNew</t>
  </si>
  <si>
    <t>Disb ReNew No. Clients</t>
  </si>
  <si>
    <t>SE / Micro</t>
  </si>
  <si>
    <t>SE</t>
  </si>
  <si>
    <t>Micro</t>
  </si>
  <si>
    <t>Actual Disbursement #</t>
  </si>
  <si>
    <t>Tatget Disbursement #</t>
  </si>
  <si>
    <t>New/Old Salary</t>
  </si>
  <si>
    <t>Actual</t>
  </si>
  <si>
    <t>Ahmed Foad Rasheed</t>
  </si>
  <si>
    <t>Hayder amir Kadhum</t>
  </si>
  <si>
    <t>Khalid Musa Jumaa</t>
  </si>
  <si>
    <t>Hayder Hashim Mohammed</t>
  </si>
  <si>
    <t>Alaa Kamil Qassim</t>
  </si>
  <si>
    <t>Ezat Shamkhy Jaber</t>
  </si>
  <si>
    <t>Ammar Jawad hasan</t>
  </si>
  <si>
    <t>Disbursement $ Share</t>
  </si>
  <si>
    <t>BASRA</t>
  </si>
  <si>
    <t>DEWANIYA</t>
  </si>
  <si>
    <t>ERBIL</t>
  </si>
  <si>
    <t>HASHIMIYAH</t>
  </si>
  <si>
    <t>HILLA</t>
  </si>
  <si>
    <t>HINDIYAH</t>
  </si>
  <si>
    <t>KADHIMIYA</t>
  </si>
  <si>
    <t>KARBALA</t>
  </si>
  <si>
    <t>KUT</t>
  </si>
  <si>
    <t>MANSOUR</t>
  </si>
  <si>
    <t>MUDAINA</t>
  </si>
  <si>
    <t>NAJAF</t>
  </si>
  <si>
    <t>NASRIYA</t>
  </si>
  <si>
    <t>Average Disb Loan</t>
  </si>
  <si>
    <t>No of Disb Loan</t>
  </si>
  <si>
    <t>DisbTarget / LO</t>
  </si>
  <si>
    <t>Ahmad Ghalib Humaidy</t>
  </si>
  <si>
    <t>Hussain Ali khudhair</t>
  </si>
  <si>
    <t>Muhammed Ghasan Ali</t>
  </si>
  <si>
    <t>Yousif Abdul Ellah Sami</t>
  </si>
  <si>
    <t>Micro loans</t>
  </si>
  <si>
    <t>SE loans</t>
  </si>
  <si>
    <t>Average loan size</t>
  </si>
  <si>
    <t>Loans/Month</t>
  </si>
  <si>
    <t>Total Loans/Month</t>
  </si>
  <si>
    <t>Average Loan size</t>
  </si>
  <si>
    <t>Auto Target</t>
  </si>
  <si>
    <t>Average Target/LO</t>
  </si>
  <si>
    <t>Final Target</t>
  </si>
  <si>
    <t>Maximum Deducation</t>
  </si>
  <si>
    <t>Maximum Increase</t>
  </si>
  <si>
    <t>Portfolio Share</t>
  </si>
  <si>
    <t>Difference (Actual - Target)</t>
  </si>
  <si>
    <t>Equal Distribution</t>
  </si>
  <si>
    <t>Option 3</t>
  </si>
  <si>
    <t>Option 1</t>
  </si>
  <si>
    <t>Option 2</t>
  </si>
  <si>
    <t>Manual Total Branch Target</t>
  </si>
  <si>
    <t># of Active LO</t>
  </si>
  <si>
    <t>Target by Branch Total</t>
  </si>
  <si>
    <t>Target by Average Loan Size</t>
  </si>
  <si>
    <t>Check Calcualtion</t>
  </si>
  <si>
    <t>Subtotal</t>
  </si>
  <si>
    <t>Ali Hassan Ali</t>
  </si>
  <si>
    <t>Dhea Ghani Mohammad</t>
  </si>
  <si>
    <t>Muhammed Ibrahim Muhammed</t>
  </si>
  <si>
    <t>Inactive</t>
  </si>
  <si>
    <t>LO Report Subtotal</t>
  </si>
  <si>
    <t>Start Date</t>
  </si>
  <si>
    <t>Loan Officer</t>
  </si>
  <si>
    <t>No. of loans disbursed (Female)</t>
  </si>
  <si>
    <t>No. of loans disbursed (Renewals)</t>
  </si>
  <si>
    <t>No. of loans disbursed (Total)</t>
  </si>
  <si>
    <t>Amount disbursed (Female)</t>
  </si>
  <si>
    <t>Amount disbursed (Total)</t>
  </si>
  <si>
    <t>Amount disbursed (Retention%)</t>
  </si>
  <si>
    <t>Active Portolio (No)</t>
  </si>
  <si>
    <t>Active Portolio (Value)</t>
  </si>
  <si>
    <t>Active Portolio (Female %)</t>
  </si>
  <si>
    <t>Arrears 1  -  30 Days (No)</t>
  </si>
  <si>
    <t>Arrears 1  -  30 Days (Principal)</t>
  </si>
  <si>
    <t>Arrears 1  -  30 Days (Outstanding)</t>
  </si>
  <si>
    <t>Arrears 1  -  30 Days (PAR)</t>
  </si>
  <si>
    <t>Arrears Over 30 Days (No)</t>
  </si>
  <si>
    <t>Arrears Over 30 Days (Principal)</t>
  </si>
  <si>
    <t>Arrears Over 30 Days (Outstanding)</t>
  </si>
  <si>
    <t>Arrears Over 30 Days (PAR)</t>
  </si>
  <si>
    <t>Write Off (No)</t>
  </si>
  <si>
    <t>Write Off (Amount)</t>
  </si>
  <si>
    <t>Write Off (Recovery %)</t>
  </si>
  <si>
    <t>Approved Loans #</t>
  </si>
  <si>
    <t>Approved Loans Value</t>
  </si>
  <si>
    <t>Total # of repeated Loans</t>
  </si>
  <si>
    <t># Paid Off Loans</t>
  </si>
  <si>
    <t># active HILP loans</t>
  </si>
  <si>
    <t># disbursed HILP loans</t>
  </si>
  <si>
    <t># Active female clients</t>
  </si>
  <si>
    <t># of Write Off Loans</t>
  </si>
  <si>
    <t>Value of Writte Off Loans</t>
  </si>
  <si>
    <t>Value of Recoveries</t>
  </si>
  <si>
    <t>Repayment Rate %</t>
  </si>
  <si>
    <t>Disbursement # Share</t>
  </si>
  <si>
    <t>Active Clients Share</t>
  </si>
  <si>
    <t>Portfolio $ Share</t>
  </si>
  <si>
    <t>Active Clients # Share</t>
  </si>
  <si>
    <t>Points</t>
  </si>
  <si>
    <t>Full Points @</t>
  </si>
  <si>
    <t>Zero Point @</t>
  </si>
  <si>
    <t xml:space="preserve">If Obove Full </t>
  </si>
  <si>
    <t xml:space="preserve">If Less Than Zero </t>
  </si>
  <si>
    <t>Total Salaries</t>
  </si>
  <si>
    <t>Basic Salary</t>
  </si>
  <si>
    <t>Incentives</t>
  </si>
  <si>
    <t>Other Benefits or Bonus (EOM, Target,…)</t>
  </si>
  <si>
    <t>Total Points</t>
  </si>
  <si>
    <t xml:space="preserve">New Basic </t>
  </si>
  <si>
    <t>Total Points with Min Disb and PAR &gt; 30 Target</t>
  </si>
  <si>
    <t>Difference (From Old)</t>
  </si>
  <si>
    <t>Max Target PAR &gt; 30</t>
  </si>
  <si>
    <t>100 % Incentive</t>
  </si>
  <si>
    <t xml:space="preserve">Max If Obove Full </t>
  </si>
  <si>
    <t xml:space="preserve">Min If Less Than Zero </t>
  </si>
  <si>
    <t xml:space="preserve">Deducated to </t>
  </si>
  <si>
    <t>Rawad Dakil Abdul Mahdi</t>
  </si>
  <si>
    <t>Adel Hatef</t>
  </si>
  <si>
    <t>Hassan Waleed Risan</t>
  </si>
  <si>
    <t>Transportation</t>
  </si>
  <si>
    <t>Bonus</t>
  </si>
  <si>
    <t xml:space="preserve">Name </t>
  </si>
  <si>
    <t>Noor  Basim AbdulAmeer</t>
  </si>
  <si>
    <t>Taha  Majid Musa</t>
  </si>
  <si>
    <t>Arman Hussain Hama</t>
  </si>
  <si>
    <t>Ammar Ali Hassan</t>
  </si>
  <si>
    <t>Usama Najem Abdullah</t>
  </si>
  <si>
    <t>Sajad Abdul Hussain Abdul Raheem</t>
  </si>
  <si>
    <t>Fix</t>
  </si>
  <si>
    <t>Contract</t>
  </si>
  <si>
    <t>Muhannad Muqdad Mustafa</t>
  </si>
  <si>
    <t>Ali Yousif Hussain</t>
  </si>
  <si>
    <t>Shaymaa Abdul Jabar Nusaif</t>
  </si>
  <si>
    <t>Azhar Jasim Hason</t>
  </si>
  <si>
    <t>Muhannad  Sahib Saaed</t>
  </si>
  <si>
    <t>Ali Abdul Khaliq Yousif</t>
  </si>
  <si>
    <t>Repayment Rate</t>
  </si>
  <si>
    <t>Waleed Raheem Fakher</t>
  </si>
  <si>
    <t>Waleed Khalid Ismaeel</t>
  </si>
  <si>
    <t>Fatima Maki Jabar</t>
  </si>
  <si>
    <t>mansour</t>
  </si>
  <si>
    <t>Zahraa Muhammad Hussain</t>
  </si>
  <si>
    <t>Dergham Abdul Reda Muhammed</t>
  </si>
  <si>
    <t>Muhammad Qahtan Mindeel</t>
  </si>
  <si>
    <t>Reyam Kalid Khairy</t>
  </si>
  <si>
    <t>Usama  Barhi Haroon</t>
  </si>
  <si>
    <t>Zeina Isa Musa</t>
  </si>
  <si>
    <t>Muhammad Asaad Abdul Emam</t>
  </si>
  <si>
    <t>Saif Salam Hashim</t>
  </si>
  <si>
    <t>Robak Faaek Ali</t>
  </si>
  <si>
    <t>Ali Hassan Muhy</t>
  </si>
  <si>
    <t>Muhammed Ali Muhi</t>
  </si>
  <si>
    <t>Mustafa Salah Mahdi</t>
  </si>
  <si>
    <t>Kareem Hussain Zakee</t>
  </si>
  <si>
    <t>Saadon Jalawe Natheef</t>
  </si>
  <si>
    <t>Ali Aziz Neama</t>
  </si>
  <si>
    <t>Hussain Zamil Mushrif</t>
  </si>
  <si>
    <t>Muhanned lewaa Naji</t>
  </si>
  <si>
    <t>Sulaymaniya</t>
  </si>
  <si>
    <t>Bilal Kadhum Shakir</t>
  </si>
  <si>
    <t>Ali Talib Burhan</t>
  </si>
  <si>
    <t>Humam Jameel Kanao</t>
  </si>
  <si>
    <t>Rashad Hayder Rashad</t>
  </si>
  <si>
    <t>Main Office</t>
  </si>
  <si>
    <t>VSE</t>
  </si>
  <si>
    <t>Min Target Disb. Micro,+</t>
  </si>
  <si>
    <t>Min Target Disb. VSE</t>
  </si>
  <si>
    <t>VSE loans</t>
  </si>
  <si>
    <t>Abdul Jabar Naser Khudair</t>
  </si>
  <si>
    <t>Omar  Bakar Khalaf</t>
  </si>
  <si>
    <t>ZZ LOS Abbas Razak Abdul Razak</t>
  </si>
  <si>
    <t>ZZ LOS abdul jabar naser khudair</t>
  </si>
  <si>
    <t>ZZ LOS Adel Abdul Ameer Farhood</t>
  </si>
  <si>
    <t>ZZ LOS Ahmed Hadi Mohammed</t>
  </si>
  <si>
    <t>ZZ LOS Ahmed Hilla Abdul Kareem</t>
  </si>
  <si>
    <t>ZZ Collection Ali Aziz Neama</t>
  </si>
  <si>
    <t>ZZ LOS Ali Manji</t>
  </si>
  <si>
    <t>ZZ LOS Ali Mehdi Dawood</t>
  </si>
  <si>
    <t>ZZ LOS Ali Salman Ali</t>
  </si>
  <si>
    <t>ZZ LOS Amer Ahmed AbdulWahid</t>
  </si>
  <si>
    <t>ZZ LOS Azad Kareem Mohammed</t>
  </si>
  <si>
    <t>ZZ LOS Azhar Hassan Hussain</t>
  </si>
  <si>
    <t>ZZ Collection Bilal Kadhum Shaker</t>
  </si>
  <si>
    <t>ZZ LOS Ezat Shamky Jabir</t>
  </si>
  <si>
    <t>ZZ LOS Hassanein Kadhum Abid</t>
  </si>
  <si>
    <t>ZZ LOS Hayder  Hussein Obayes</t>
  </si>
  <si>
    <t>ZZ LOS Hayder Talib Hashim</t>
  </si>
  <si>
    <t>ZZ Collection Hussain  Zamil Mushrif</t>
  </si>
  <si>
    <t>ZZ LOS Hussein Taher Fezaa</t>
  </si>
  <si>
    <t>ZZ Collection Kareem Hussain Zakee</t>
  </si>
  <si>
    <t>ZZ LOS Methaq Abdul Amir Jasim</t>
  </si>
  <si>
    <t>ZZ LOS Mohammed Morshid Kadhum</t>
  </si>
  <si>
    <t>ZZ Collection Mohanned Lewaa Naji</t>
  </si>
  <si>
    <t>ZZ Collection Muhammad Asaad Abdul Emam</t>
  </si>
  <si>
    <t>ZZ LOS Muhammad Qahtan Mindeel</t>
  </si>
  <si>
    <t>ZZ LOS Muhammed abdul sadaa esa</t>
  </si>
  <si>
    <t>ZZ Collection Muhammed Ali Muhi</t>
  </si>
  <si>
    <t>ZZ Collection Muhanned Muhammed Edan</t>
  </si>
  <si>
    <t>ZZ Collection Rupak Faeq Ali</t>
  </si>
  <si>
    <t>ZZ Collection Saadoon Jilawy Nathif</t>
  </si>
  <si>
    <t>ZZ Collection Saif Salam Hashim</t>
  </si>
  <si>
    <t>ZZ Collection Sajad Abdul Hussain Abdul Raheem</t>
  </si>
  <si>
    <t>ZZ LOS Yais Khdhir Dikhi</t>
  </si>
  <si>
    <t>ZZ LOS Ali Kadhum Wshah</t>
  </si>
  <si>
    <t>ZZ LOS Hasan Razaq Sebah</t>
  </si>
  <si>
    <t>ZZ Legal Qais  Talib Abid</t>
  </si>
  <si>
    <t>ZZ Collection Humam Jameel Kanaw</t>
  </si>
  <si>
    <t xml:space="preserve"> Ahmed Foad Rasheed</t>
  </si>
  <si>
    <t>ZZ LOS Ali Kareem Hadhil</t>
  </si>
  <si>
    <t>Safaa Hussain Haijal</t>
  </si>
  <si>
    <t>Saeed Hamad Moteb</t>
  </si>
  <si>
    <t>Arshad Jasim Muhammad</t>
  </si>
  <si>
    <t>Zain Al Abdien Mahdi Mahlol</t>
  </si>
  <si>
    <t>Abbas Hassan Shaalan</t>
  </si>
  <si>
    <t>Ali Jawad Jaber</t>
  </si>
  <si>
    <t>Muhammad Sadiq Jaafar</t>
  </si>
  <si>
    <t>Muhammad  Tawfiq Abed Zaid</t>
  </si>
  <si>
    <t>ZZ Collection Laith Hussain Yousif</t>
  </si>
  <si>
    <t>Abdul Raheem Salam Abdul Raheem</t>
  </si>
  <si>
    <t>Hussain   Aad Muhsin</t>
  </si>
  <si>
    <t>Muhammad Moaid Kadhum</t>
  </si>
  <si>
    <t>Zain Al Abdien  Ali Abdul Zahra</t>
  </si>
  <si>
    <t>Zain Al Abdien Hayder Abed Ali</t>
  </si>
  <si>
    <t>Rami Husam Qindeel</t>
  </si>
  <si>
    <t>Kiloud Kalid Talib</t>
  </si>
  <si>
    <t>Shaymaa Yehya Abdul Rahman</t>
  </si>
  <si>
    <t>Ahmad Shaalan Fidhala Shaalan Fidhala</t>
  </si>
  <si>
    <t>Muhammad Ali Muhi</t>
  </si>
  <si>
    <t>Ahmad Tariq Sakban</t>
  </si>
  <si>
    <t>Ali Hazem Ibrahim</t>
  </si>
  <si>
    <t>Ameer Mansour Thamer</t>
  </si>
  <si>
    <t>Karar Hayder Salih</t>
  </si>
  <si>
    <t>Samer Ibrahim Abed</t>
  </si>
  <si>
    <t>Tho Al Foqar Akram Ali</t>
  </si>
  <si>
    <t>Active Portolio</t>
  </si>
  <si>
    <t>Total Arrears (PAR)</t>
  </si>
  <si>
    <t xml:space="preserve">Total Active Portolio </t>
  </si>
  <si>
    <t xml:space="preserve">المبالغ لقروض الدينار العراقي بعملة الدولار </t>
  </si>
  <si>
    <t xml:space="preserve">ملاحظة </t>
  </si>
  <si>
    <t>Over 30 Days (PAR)</t>
  </si>
  <si>
    <t>Hashimiya</t>
  </si>
  <si>
    <t>Dewanya</t>
  </si>
  <si>
    <t>Hasihmiya</t>
  </si>
  <si>
    <t>Hindiya</t>
  </si>
  <si>
    <t>Tho Al Fiqar  Razaq Egtheeth</t>
  </si>
  <si>
    <t>Ali  Kadhum Wshah</t>
  </si>
  <si>
    <t xml:space="preserve"> Hayder  Hussein Obayes</t>
  </si>
  <si>
    <t>Hasanain Kadhum Abed</t>
  </si>
  <si>
    <t>Muhammad  Qahtan Mindeel</t>
  </si>
  <si>
    <t>Ali Manji Oafi</t>
  </si>
  <si>
    <t>Muhammed  abdul sadaa esa</t>
  </si>
  <si>
    <t>Mohamad  Morshid Kadhum</t>
  </si>
  <si>
    <t>Abbas Razaq Abdul Razaq</t>
  </si>
  <si>
    <t>Ahmed Hilal  Abdul Kareem</t>
  </si>
  <si>
    <t>Ahmed Hadi Muhammad</t>
  </si>
  <si>
    <t>Azad Kareem Muhamed</t>
  </si>
  <si>
    <t>ALI SALMAN ALI</t>
  </si>
  <si>
    <t>Khalid Mousa Jumaa</t>
  </si>
  <si>
    <t>Ammar Jiwad Hassan</t>
  </si>
  <si>
    <t>Basra LOS Ahmed Hadi Muhammad</t>
  </si>
  <si>
    <t>Basra LOS Methaq Abdul Amir Jasim</t>
  </si>
  <si>
    <t>Quit Shkar Shwan Ali</t>
  </si>
  <si>
    <t>Quit Neama Rasool Kadhum</t>
  </si>
  <si>
    <t>Quit Hussain Jawad Kadhum</t>
  </si>
  <si>
    <t>Quit Fadi Jabar Ghazal</t>
  </si>
  <si>
    <t>Quit Ali Youns Jahil</t>
  </si>
  <si>
    <t>Iraq Groups Presentation</t>
  </si>
  <si>
    <t>IQD Portfolio</t>
  </si>
  <si>
    <t>LOAN_OFFICER_SUPERVISOR</t>
  </si>
  <si>
    <t>PrincipalOutstanding</t>
  </si>
  <si>
    <t>#ActiveLoans</t>
  </si>
  <si>
    <t>DisbursedValue</t>
  </si>
  <si>
    <t>#Disbursed</t>
  </si>
  <si>
    <t>TotalRepayment</t>
  </si>
  <si>
    <t>ArrearPO1-30</t>
  </si>
  <si>
    <t>PAR1-30</t>
  </si>
  <si>
    <t>ArrearPO30+</t>
  </si>
  <si>
    <t>PAR30+</t>
  </si>
  <si>
    <t>Adel  Abdul Ameer Farhood</t>
  </si>
  <si>
    <t>Hassnain Kadhum Abed</t>
  </si>
  <si>
    <t>Hayder  Talib Hashim</t>
  </si>
  <si>
    <t>Quit Ahmad Nory Abdul Wahab</t>
  </si>
  <si>
    <t>Quit Ali  Yousif Eesa</t>
  </si>
  <si>
    <t>Quit Jaafer Muneer Haleem</t>
  </si>
  <si>
    <t>Quit Maher Kareem Hussain</t>
  </si>
  <si>
    <t>Adel Abdul Ameer Farhod  </t>
  </si>
  <si>
    <t>Adel Abdul Ameer Farhod 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</si>
</sst>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/yy;@"/>
    <numFmt numFmtId="165" formatCode="_(&quot;$&quot;* #,##0_);_(&quot;$&quot;* \(#,##0\);_(&quot;$&quot;* &quot;-&quot;??_);_(@_)"/>
    <numFmt numFmtId="166" formatCode="_(* #,##0_);_(* \(#,##0\);_(* &quot;-&quot;??_);_(@_)"/>
    <numFmt numFmtId="167" formatCode="\ dd\-mmm\-yyyy"/>
    <numFmt numFmtId="168" formatCode="&quot;$&quot;#,##0"/>
    <numFmt numFmtId="169" formatCode="0.0%"/>
    <numFmt numFmtId="170" formatCode="0.00%;\-0.00%;0.00%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2F75B5"/>
      <name val="Calibri"/>
      <family val="2"/>
    </font>
    <font>
      <b/>
      <sz val="11"/>
      <color rgb="FF2F75B5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theme="0"/>
      <name val="Calibri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0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>
      <alignment vertical="top"/>
    </xf>
  </cellStyleXfs>
  <cellXfs count="327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2" borderId="0" xfId="0" applyFont="1" applyFill="1"/>
    <xf numFmtId="165" fontId="3" fillId="0" borderId="0" xfId="1" applyNumberFormat="1" applyFont="1"/>
    <xf numFmtId="0" fontId="3" fillId="0" borderId="0" xfId="0" applyFont="1"/>
    <xf numFmtId="9" fontId="3" fillId="0" borderId="0" xfId="3" applyFont="1"/>
    <xf numFmtId="165" fontId="4" fillId="3" borderId="0" xfId="1" applyNumberFormat="1" applyFont="1" applyFill="1"/>
    <xf numFmtId="0" fontId="4" fillId="2" borderId="0" xfId="0" applyFont="1" applyFill="1"/>
    <xf numFmtId="0" fontId="0" fillId="0" borderId="1" xfId="0" applyBorder="1"/>
    <xf numFmtId="166" fontId="3" fillId="0" borderId="1" xfId="2" applyNumberFormat="1" applyFont="1" applyBorder="1"/>
    <xf numFmtId="165" fontId="3" fillId="0" borderId="1" xfId="1" applyNumberFormat="1" applyFont="1" applyBorder="1"/>
    <xf numFmtId="9" fontId="3" fillId="0" borderId="1" xfId="3" applyFont="1" applyBorder="1"/>
    <xf numFmtId="0" fontId="1" fillId="0" borderId="0" xfId="0" applyFont="1" applyAlignment="1">
      <alignment horizontal="left" vertical="top"/>
    </xf>
    <xf numFmtId="166" fontId="3" fillId="0" borderId="0" xfId="2" applyNumberFormat="1" applyFont="1"/>
    <xf numFmtId="9" fontId="3" fillId="4" borderId="0" xfId="3" applyFont="1" applyFill="1"/>
    <xf numFmtId="0" fontId="5" fillId="2" borderId="0" xfId="0" applyFont="1" applyFill="1"/>
    <xf numFmtId="9" fontId="5" fillId="0" borderId="0" xfId="3" applyFont="1"/>
    <xf numFmtId="166" fontId="6" fillId="0" borderId="1" xfId="2" applyNumberFormat="1" applyFont="1" applyBorder="1"/>
    <xf numFmtId="0" fontId="6" fillId="0" borderId="0" xfId="0" applyFont="1"/>
    <xf numFmtId="0" fontId="0" fillId="2" borderId="0" xfId="0" applyFill="1"/>
    <xf numFmtId="0" fontId="1" fillId="5" borderId="3" xfId="0" applyFont="1" applyFill="1" applyBorder="1" applyAlignment="1">
      <alignment horizontal="left" vertical="top"/>
    </xf>
    <xf numFmtId="164" fontId="4" fillId="5" borderId="3" xfId="1" applyNumberFormat="1" applyFont="1" applyFill="1" applyBorder="1" applyAlignment="1">
      <alignment horizontal="left" vertical="top"/>
    </xf>
    <xf numFmtId="164" fontId="5" fillId="5" borderId="3" xfId="1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left" vertical="top"/>
    </xf>
    <xf numFmtId="166" fontId="4" fillId="5" borderId="3" xfId="2" applyNumberFormat="1" applyFont="1" applyFill="1" applyBorder="1" applyAlignment="1">
      <alignment horizontal="left" vertical="top"/>
    </xf>
    <xf numFmtId="165" fontId="5" fillId="0" borderId="0" xfId="1" applyNumberFormat="1" applyFont="1"/>
    <xf numFmtId="165" fontId="5" fillId="5" borderId="3" xfId="1" applyNumberFormat="1" applyFont="1" applyFill="1" applyBorder="1" applyAlignment="1">
      <alignment horizontal="left"/>
    </xf>
    <xf numFmtId="165" fontId="6" fillId="0" borderId="1" xfId="1" applyNumberFormat="1" applyFont="1" applyBorder="1"/>
    <xf numFmtId="165" fontId="6" fillId="0" borderId="0" xfId="1" applyNumberFormat="1" applyFont="1"/>
    <xf numFmtId="166" fontId="4" fillId="2" borderId="0" xfId="2" applyNumberFormat="1" applyFont="1" applyFill="1"/>
    <xf numFmtId="166" fontId="4" fillId="3" borderId="0" xfId="2" applyNumberFormat="1" applyFont="1" applyFill="1"/>
    <xf numFmtId="0" fontId="0" fillId="2" borderId="1" xfId="0" applyFill="1" applyBorder="1"/>
    <xf numFmtId="0" fontId="9" fillId="2" borderId="0" xfId="0" applyFont="1" applyFill="1"/>
    <xf numFmtId="166" fontId="9" fillId="0" borderId="0" xfId="2" applyNumberFormat="1" applyFont="1"/>
    <xf numFmtId="164" fontId="9" fillId="5" borderId="3" xfId="1" applyNumberFormat="1" applyFont="1" applyFill="1" applyBorder="1" applyAlignment="1">
      <alignment horizontal="left"/>
    </xf>
    <xf numFmtId="166" fontId="9" fillId="0" borderId="1" xfId="2" applyNumberFormat="1" applyFont="1" applyBorder="1"/>
    <xf numFmtId="0" fontId="9" fillId="0" borderId="0" xfId="0" applyFont="1"/>
    <xf numFmtId="165" fontId="0" fillId="2" borderId="0" xfId="1" applyNumberFormat="1" applyFont="1" applyFill="1"/>
    <xf numFmtId="0" fontId="10" fillId="0" borderId="0" xfId="4">
      <alignment vertical="top"/>
    </xf>
    <xf numFmtId="165" fontId="5" fillId="6" borderId="0" xfId="1" applyNumberFormat="1" applyFont="1" applyFill="1" applyBorder="1"/>
    <xf numFmtId="0" fontId="0" fillId="6" borderId="4" xfId="0" applyFill="1" applyBorder="1"/>
    <xf numFmtId="166" fontId="0" fillId="6" borderId="4" xfId="2" applyNumberFormat="1" applyFont="1" applyFill="1" applyBorder="1"/>
    <xf numFmtId="0" fontId="9" fillId="6" borderId="4" xfId="0" applyFont="1" applyFill="1" applyBorder="1"/>
    <xf numFmtId="166" fontId="0" fillId="6" borderId="4" xfId="0" applyNumberFormat="1" applyFill="1" applyBorder="1"/>
    <xf numFmtId="0" fontId="10" fillId="2" borderId="0" xfId="4" applyFill="1">
      <alignment vertical="top"/>
    </xf>
    <xf numFmtId="0" fontId="1" fillId="5" borderId="5" xfId="0" applyFont="1" applyFill="1" applyBorder="1" applyAlignment="1">
      <alignment horizontal="left" vertical="top"/>
    </xf>
    <xf numFmtId="0" fontId="4" fillId="7" borderId="0" xfId="0" applyFont="1" applyFill="1"/>
    <xf numFmtId="0" fontId="4" fillId="2" borderId="1" xfId="0" applyFont="1" applyFill="1" applyBorder="1"/>
    <xf numFmtId="165" fontId="8" fillId="2" borderId="1" xfId="1" applyNumberFormat="1" applyFont="1" applyFill="1" applyBorder="1"/>
    <xf numFmtId="165" fontId="8" fillId="3" borderId="1" xfId="1" applyNumberFormat="1" applyFont="1" applyFill="1" applyBorder="1"/>
    <xf numFmtId="166" fontId="8" fillId="2" borderId="1" xfId="2" applyNumberFormat="1" applyFont="1" applyFill="1" applyBorder="1"/>
    <xf numFmtId="9" fontId="4" fillId="0" borderId="0" xfId="3" applyFont="1"/>
    <xf numFmtId="9" fontId="4" fillId="0" borderId="1" xfId="3" applyFont="1" applyBorder="1"/>
    <xf numFmtId="0" fontId="1" fillId="6" borderId="4" xfId="0" applyFont="1" applyFill="1" applyBorder="1"/>
    <xf numFmtId="166" fontId="8" fillId="3" borderId="1" xfId="2" applyNumberFormat="1" applyFont="1" applyFill="1" applyBorder="1"/>
    <xf numFmtId="0" fontId="4" fillId="0" borderId="0" xfId="0" applyFont="1"/>
    <xf numFmtId="0" fontId="4" fillId="6" borderId="0" xfId="0" applyFont="1" applyFill="1"/>
    <xf numFmtId="166" fontId="4" fillId="8" borderId="0" xfId="2" applyNumberFormat="1" applyFont="1" applyFill="1"/>
    <xf numFmtId="165" fontId="4" fillId="0" borderId="0" xfId="1" applyNumberFormat="1" applyFont="1"/>
    <xf numFmtId="9" fontId="4" fillId="4" borderId="0" xfId="3" applyFont="1" applyFill="1"/>
    <xf numFmtId="165" fontId="4" fillId="8" borderId="0" xfId="1" applyNumberFormat="1" applyFont="1" applyFill="1"/>
    <xf numFmtId="9" fontId="4" fillId="2" borderId="0" xfId="3" applyFont="1" applyFill="1"/>
    <xf numFmtId="9" fontId="1" fillId="6" borderId="4" xfId="3" applyFont="1" applyFill="1" applyBorder="1"/>
    <xf numFmtId="9" fontId="5" fillId="2" borderId="0" xfId="3" applyFont="1" applyFill="1"/>
    <xf numFmtId="9" fontId="5" fillId="5" borderId="3" xfId="3" applyFont="1" applyFill="1" applyBorder="1" applyAlignment="1">
      <alignment horizontal="left"/>
    </xf>
    <xf numFmtId="9" fontId="6" fillId="0" borderId="1" xfId="3" applyFont="1" applyBorder="1"/>
    <xf numFmtId="9" fontId="6" fillId="0" borderId="0" xfId="3" applyFont="1"/>
    <xf numFmtId="9" fontId="5" fillId="6" borderId="0" xfId="3" applyFont="1" applyFill="1" applyBorder="1"/>
    <xf numFmtId="1" fontId="3" fillId="8" borderId="0" xfId="0" applyNumberFormat="1" applyFont="1" applyFill="1"/>
    <xf numFmtId="166" fontId="4" fillId="4" borderId="0" xfId="2" applyNumberFormat="1" applyFont="1" applyFill="1"/>
    <xf numFmtId="166" fontId="4" fillId="3" borderId="1" xfId="2" applyNumberFormat="1" applyFont="1" applyFill="1" applyBorder="1"/>
    <xf numFmtId="165" fontId="8" fillId="8" borderId="0" xfId="1" applyNumberFormat="1" applyFont="1" applyFill="1"/>
    <xf numFmtId="166" fontId="8" fillId="8" borderId="0" xfId="2" applyNumberFormat="1" applyFont="1" applyFill="1"/>
    <xf numFmtId="165" fontId="6" fillId="2" borderId="1" xfId="1" applyNumberFormat="1" applyFont="1" applyFill="1" applyBorder="1"/>
    <xf numFmtId="0" fontId="1" fillId="2" borderId="1" xfId="0" applyFont="1" applyFill="1" applyBorder="1"/>
    <xf numFmtId="166" fontId="7" fillId="8" borderId="0" xfId="2" applyNumberFormat="1" applyFont="1" applyFill="1"/>
    <xf numFmtId="0" fontId="0" fillId="0" borderId="0" xfId="0" applyAlignment="1">
      <alignment vertical="top"/>
    </xf>
    <xf numFmtId="167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0" fillId="3" borderId="1" xfId="0" applyFill="1" applyBorder="1"/>
    <xf numFmtId="165" fontId="5" fillId="2" borderId="3" xfId="1" applyNumberFormat="1" applyFont="1" applyFill="1" applyBorder="1" applyAlignment="1">
      <alignment horizontal="left"/>
    </xf>
    <xf numFmtId="165" fontId="4" fillId="9" borderId="1" xfId="0" applyNumberFormat="1" applyFont="1" applyFill="1" applyBorder="1"/>
    <xf numFmtId="166" fontId="4" fillId="9" borderId="1" xfId="2" applyNumberFormat="1" applyFont="1" applyFill="1" applyBorder="1"/>
    <xf numFmtId="165" fontId="8" fillId="9" borderId="1" xfId="1" applyNumberFormat="1" applyFont="1" applyFill="1" applyBorder="1"/>
    <xf numFmtId="0" fontId="0" fillId="0" borderId="6" xfId="0" applyBorder="1"/>
    <xf numFmtId="166" fontId="6" fillId="2" borderId="1" xfId="2" applyNumberFormat="1" applyFont="1" applyFill="1" applyBorder="1"/>
    <xf numFmtId="166" fontId="9" fillId="2" borderId="1" xfId="2" applyNumberFormat="1" applyFont="1" applyFill="1" applyBorder="1"/>
    <xf numFmtId="9" fontId="6" fillId="2" borderId="1" xfId="3" applyFont="1" applyFill="1" applyBorder="1"/>
    <xf numFmtId="165" fontId="1" fillId="0" borderId="0" xfId="1" applyNumberFormat="1" applyFont="1"/>
    <xf numFmtId="165" fontId="13" fillId="0" borderId="7" xfId="1" applyNumberFormat="1" applyFont="1" applyBorder="1" applyAlignment="1">
      <alignment vertical="center"/>
    </xf>
    <xf numFmtId="165" fontId="13" fillId="10" borderId="8" xfId="1" applyNumberFormat="1" applyFont="1" applyFill="1" applyBorder="1" applyAlignment="1">
      <alignment vertical="center"/>
    </xf>
    <xf numFmtId="0" fontId="13" fillId="10" borderId="8" xfId="0" applyFont="1" applyFill="1" applyBorder="1" applyAlignment="1">
      <alignment vertical="center"/>
    </xf>
    <xf numFmtId="165" fontId="13" fillId="10" borderId="7" xfId="1" applyNumberFormat="1" applyFont="1" applyFill="1" applyBorder="1" applyAlignment="1">
      <alignment vertical="center"/>
    </xf>
    <xf numFmtId="0" fontId="1" fillId="2" borderId="9" xfId="0" applyFont="1" applyFill="1" applyBorder="1"/>
    <xf numFmtId="165" fontId="1" fillId="2" borderId="10" xfId="1" applyNumberFormat="1" applyFont="1" applyFill="1" applyBorder="1"/>
    <xf numFmtId="0" fontId="1" fillId="2" borderId="10" xfId="0" applyFont="1" applyFill="1" applyBorder="1"/>
    <xf numFmtId="165" fontId="1" fillId="2" borderId="11" xfId="1" applyNumberFormat="1" applyFont="1" applyFill="1" applyBorder="1"/>
    <xf numFmtId="0" fontId="13" fillId="10" borderId="12" xfId="0" applyFont="1" applyFill="1" applyBorder="1" applyAlignment="1">
      <alignment vertical="center"/>
    </xf>
    <xf numFmtId="165" fontId="13" fillId="10" borderId="13" xfId="1" applyNumberFormat="1" applyFont="1" applyFill="1" applyBorder="1" applyAlignment="1">
      <alignment vertical="center"/>
    </xf>
    <xf numFmtId="0" fontId="13" fillId="10" borderId="15" xfId="0" applyFont="1" applyFill="1" applyBorder="1" applyAlignment="1">
      <alignment vertical="center"/>
    </xf>
    <xf numFmtId="165" fontId="4" fillId="11" borderId="1" xfId="1" applyNumberFormat="1" applyFont="1" applyFill="1" applyBorder="1"/>
    <xf numFmtId="165" fontId="4" fillId="0" borderId="1" xfId="1" applyNumberFormat="1" applyFont="1" applyBorder="1"/>
    <xf numFmtId="0" fontId="13" fillId="0" borderId="14" xfId="0" applyFont="1" applyBorder="1" applyAlignment="1">
      <alignment vertical="center"/>
    </xf>
    <xf numFmtId="0" fontId="13" fillId="10" borderId="14" xfId="0" applyFont="1" applyFill="1" applyBorder="1" applyAlignment="1">
      <alignment vertical="center"/>
    </xf>
    <xf numFmtId="44" fontId="13" fillId="10" borderId="17" xfId="1" applyFont="1" applyFill="1" applyBorder="1" applyAlignment="1">
      <alignment vertical="center"/>
    </xf>
    <xf numFmtId="44" fontId="13" fillId="10" borderId="16" xfId="0" applyNumberFormat="1" applyFont="1" applyFill="1" applyBorder="1" applyAlignment="1">
      <alignment vertical="center"/>
    </xf>
    <xf numFmtId="44" fontId="4" fillId="2" borderId="1" xfId="0" applyNumberFormat="1" applyFont="1" applyFill="1" applyBorder="1"/>
    <xf numFmtId="166" fontId="13" fillId="10" borderId="16" xfId="2" applyNumberFormat="1" applyFont="1" applyFill="1" applyBorder="1" applyAlignment="1">
      <alignment vertical="center"/>
    </xf>
    <xf numFmtId="44" fontId="4" fillId="3" borderId="0" xfId="1" applyFont="1" applyFill="1"/>
    <xf numFmtId="165" fontId="5" fillId="2" borderId="0" xfId="1" applyNumberFormat="1" applyFont="1" applyFill="1"/>
    <xf numFmtId="0" fontId="1" fillId="5" borderId="0" xfId="0" applyFont="1" applyFill="1" applyAlignment="1">
      <alignment horizontal="left" vertical="top"/>
    </xf>
    <xf numFmtId="0" fontId="11" fillId="0" borderId="0" xfId="0" applyFont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8" fillId="2" borderId="1" xfId="0" applyFont="1" applyFill="1" applyBorder="1"/>
    <xf numFmtId="165" fontId="8" fillId="0" borderId="1" xfId="1" applyNumberFormat="1" applyFont="1" applyBorder="1"/>
    <xf numFmtId="0" fontId="14" fillId="0" borderId="0" xfId="0" applyFont="1"/>
    <xf numFmtId="165" fontId="1" fillId="7" borderId="1" xfId="1" applyNumberFormat="1" applyFont="1" applyFill="1" applyBorder="1"/>
    <xf numFmtId="165" fontId="14" fillId="9" borderId="1" xfId="0" applyNumberFormat="1" applyFont="1" applyFill="1" applyBorder="1"/>
    <xf numFmtId="166" fontId="14" fillId="9" borderId="1" xfId="2" applyNumberFormat="1" applyFont="1" applyFill="1" applyBorder="1"/>
    <xf numFmtId="165" fontId="1" fillId="2" borderId="18" xfId="1" applyNumberFormat="1" applyFont="1" applyFill="1" applyBorder="1"/>
    <xf numFmtId="165" fontId="1" fillId="2" borderId="19" xfId="1" applyNumberFormat="1" applyFont="1" applyFill="1" applyBorder="1"/>
    <xf numFmtId="165" fontId="15" fillId="0" borderId="7" xfId="1" applyNumberFormat="1" applyFont="1" applyBorder="1" applyAlignment="1">
      <alignment vertical="center"/>
    </xf>
    <xf numFmtId="165" fontId="15" fillId="0" borderId="0" xfId="1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5" fontId="15" fillId="10" borderId="7" xfId="1" applyNumberFormat="1" applyFont="1" applyFill="1" applyBorder="1" applyAlignment="1">
      <alignment vertical="center"/>
    </xf>
    <xf numFmtId="165" fontId="15" fillId="10" borderId="0" xfId="1" applyNumberFormat="1" applyFont="1" applyFill="1" applyBorder="1" applyAlignment="1">
      <alignment vertical="center"/>
    </xf>
    <xf numFmtId="0" fontId="15" fillId="10" borderId="0" xfId="0" applyFont="1" applyFill="1" applyAlignment="1">
      <alignment vertical="center"/>
    </xf>
    <xf numFmtId="0" fontId="12" fillId="10" borderId="0" xfId="0" applyFont="1" applyFill="1" applyAlignment="1">
      <alignment vertical="center"/>
    </xf>
    <xf numFmtId="165" fontId="13" fillId="10" borderId="17" xfId="1" applyNumberFormat="1" applyFont="1" applyFill="1" applyBorder="1" applyAlignment="1">
      <alignment vertical="center"/>
    </xf>
    <xf numFmtId="44" fontId="13" fillId="10" borderId="16" xfId="1" applyFont="1" applyFill="1" applyBorder="1" applyAlignment="1">
      <alignment vertical="center"/>
    </xf>
    <xf numFmtId="0" fontId="8" fillId="12" borderId="0" xfId="0" applyFont="1" applyFill="1" applyAlignment="1">
      <alignment vertical="top"/>
    </xf>
    <xf numFmtId="0" fontId="16" fillId="0" borderId="0" xfId="4" applyFont="1">
      <alignment vertical="top"/>
    </xf>
    <xf numFmtId="0" fontId="1" fillId="3" borderId="0" xfId="0" applyFont="1" applyFill="1" applyAlignment="1">
      <alignment vertical="top"/>
    </xf>
    <xf numFmtId="43" fontId="1" fillId="3" borderId="0" xfId="2" applyFont="1" applyFill="1" applyAlignment="1">
      <alignment vertical="top"/>
    </xf>
    <xf numFmtId="0" fontId="17" fillId="0" borderId="0" xfId="4" applyFont="1">
      <alignment vertical="top"/>
    </xf>
    <xf numFmtId="0" fontId="0" fillId="3" borderId="6" xfId="0" applyFill="1" applyBorder="1"/>
    <xf numFmtId="0" fontId="18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 wrapText="1" readingOrder="1"/>
    </xf>
    <xf numFmtId="9" fontId="3" fillId="2" borderId="0" xfId="3" applyFont="1" applyFill="1"/>
    <xf numFmtId="9" fontId="4" fillId="12" borderId="0" xfId="3" applyFont="1" applyFill="1"/>
    <xf numFmtId="164" fontId="5" fillId="12" borderId="1" xfId="1" applyNumberFormat="1" applyFont="1" applyFill="1" applyBorder="1" applyAlignment="1">
      <alignment horizontal="left"/>
    </xf>
    <xf numFmtId="0" fontId="5" fillId="0" borderId="0" xfId="0" applyFont="1"/>
    <xf numFmtId="0" fontId="5" fillId="6" borderId="0" xfId="0" applyFont="1" applyFill="1"/>
    <xf numFmtId="165" fontId="6" fillId="0" borderId="1" xfId="1" applyNumberFormat="1" applyFont="1" applyFill="1" applyBorder="1"/>
    <xf numFmtId="9" fontId="6" fillId="0" borderId="1" xfId="3" applyFont="1" applyFill="1" applyBorder="1"/>
    <xf numFmtId="0" fontId="0" fillId="0" borderId="0" xfId="0" applyAlignment="1">
      <alignment vertical="center"/>
    </xf>
    <xf numFmtId="9" fontId="5" fillId="11" borderId="0" xfId="3" applyFont="1" applyFill="1"/>
    <xf numFmtId="165" fontId="5" fillId="11" borderId="0" xfId="1" applyNumberFormat="1" applyFont="1" applyFill="1"/>
    <xf numFmtId="164" fontId="9" fillId="5" borderId="1" xfId="1" applyNumberFormat="1" applyFont="1" applyFill="1" applyBorder="1" applyAlignment="1">
      <alignment horizontal="center" vertical="center" wrapText="1"/>
    </xf>
    <xf numFmtId="166" fontId="9" fillId="11" borderId="1" xfId="2" applyNumberFormat="1" applyFont="1" applyFill="1" applyBorder="1"/>
    <xf numFmtId="165" fontId="9" fillId="8" borderId="1" xfId="1" applyNumberFormat="1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6" fontId="4" fillId="2" borderId="1" xfId="2" applyNumberFormat="1" applyFont="1" applyFill="1" applyBorder="1" applyAlignment="1">
      <alignment horizontal="center" vertical="center" wrapText="1"/>
    </xf>
    <xf numFmtId="164" fontId="5" fillId="12" borderId="1" xfId="1" applyNumberFormat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0" xfId="0" applyFont="1" applyFill="1" applyAlignment="1">
      <alignment wrapText="1"/>
    </xf>
    <xf numFmtId="165" fontId="5" fillId="6" borderId="0" xfId="1" applyNumberFormat="1" applyFont="1" applyFill="1" applyBorder="1" applyAlignment="1">
      <alignment wrapText="1"/>
    </xf>
    <xf numFmtId="165" fontId="6" fillId="0" borderId="1" xfId="1" applyNumberFormat="1" applyFont="1" applyBorder="1" applyAlignment="1">
      <alignment wrapText="1"/>
    </xf>
    <xf numFmtId="165" fontId="6" fillId="0" borderId="0" xfId="1" applyNumberFormat="1" applyFont="1" applyAlignment="1">
      <alignment wrapText="1"/>
    </xf>
    <xf numFmtId="165" fontId="6" fillId="8" borderId="1" xfId="1" applyNumberFormat="1" applyFont="1" applyFill="1" applyBorder="1"/>
    <xf numFmtId="0" fontId="11" fillId="0" borderId="1" xfId="0" applyFont="1" applyBorder="1" applyAlignment="1">
      <alignment vertical="center" wrapText="1"/>
    </xf>
    <xf numFmtId="165" fontId="20" fillId="14" borderId="20" xfId="1" applyNumberFormat="1" applyFont="1" applyFill="1" applyBorder="1" applyAlignment="1">
      <alignment horizontal="left" vertical="center"/>
    </xf>
    <xf numFmtId="165" fontId="0" fillId="15" borderId="1" xfId="1" applyNumberFormat="1" applyFont="1" applyFill="1" applyBorder="1"/>
    <xf numFmtId="0" fontId="21" fillId="16" borderId="1" xfId="0" applyFont="1" applyFill="1" applyBorder="1"/>
    <xf numFmtId="165" fontId="0" fillId="0" borderId="0" xfId="0" applyNumberFormat="1"/>
    <xf numFmtId="165" fontId="1" fillId="2" borderId="0" xfId="1" applyNumberFormat="1" applyFont="1" applyFill="1"/>
    <xf numFmtId="165" fontId="8" fillId="2" borderId="21" xfId="1" applyNumberFormat="1" applyFont="1" applyFill="1" applyBorder="1"/>
    <xf numFmtId="166" fontId="8" fillId="2" borderId="21" xfId="2" applyNumberFormat="1" applyFont="1" applyFill="1" applyBorder="1"/>
    <xf numFmtId="166" fontId="8" fillId="3" borderId="21" xfId="2" applyNumberFormat="1" applyFont="1" applyFill="1" applyBorder="1"/>
    <xf numFmtId="166" fontId="9" fillId="11" borderId="21" xfId="2" applyNumberFormat="1" applyFont="1" applyFill="1" applyBorder="1"/>
    <xf numFmtId="9" fontId="9" fillId="11" borderId="21" xfId="3" applyFont="1" applyFill="1" applyBorder="1"/>
    <xf numFmtId="168" fontId="19" fillId="13" borderId="1" xfId="0" applyNumberFormat="1" applyFont="1" applyFill="1" applyBorder="1" applyAlignment="1" applyProtection="1">
      <alignment horizontal="center" vertical="center" wrapText="1"/>
      <protection locked="0"/>
    </xf>
    <xf numFmtId="168" fontId="19" fillId="13" borderId="1" xfId="0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center" vertical="center" wrapText="1"/>
    </xf>
    <xf numFmtId="165" fontId="5" fillId="5" borderId="1" xfId="1" applyNumberFormat="1" applyFont="1" applyFill="1" applyBorder="1" applyAlignment="1">
      <alignment horizontal="center" vertical="center" wrapText="1"/>
    </xf>
    <xf numFmtId="9" fontId="5" fillId="5" borderId="1" xfId="3" applyFont="1" applyFill="1" applyBorder="1" applyAlignment="1">
      <alignment horizontal="center" vertical="center" wrapText="1"/>
    </xf>
    <xf numFmtId="0" fontId="1" fillId="0" borderId="1" xfId="0" applyFont="1" applyBorder="1"/>
    <xf numFmtId="165" fontId="11" fillId="6" borderId="1" xfId="1" applyNumberFormat="1" applyFont="1" applyFill="1" applyBorder="1" applyAlignment="1">
      <alignment horizontal="center" vertical="center" wrapText="1"/>
    </xf>
    <xf numFmtId="165" fontId="11" fillId="0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center"/>
    </xf>
    <xf numFmtId="44" fontId="0" fillId="0" borderId="0" xfId="0" applyNumberFormat="1"/>
    <xf numFmtId="0" fontId="0" fillId="17" borderId="1" xfId="0" applyFill="1" applyBorder="1"/>
    <xf numFmtId="0" fontId="0" fillId="2" borderId="6" xfId="0" applyFill="1" applyBorder="1"/>
    <xf numFmtId="165" fontId="5" fillId="6" borderId="22" xfId="1" applyNumberFormat="1" applyFont="1" applyFill="1" applyBorder="1"/>
    <xf numFmtId="0" fontId="0" fillId="17" borderId="1" xfId="0" applyFill="1" applyBorder="1" applyAlignment="1">
      <alignment vertical="top"/>
    </xf>
    <xf numFmtId="0" fontId="11" fillId="0" borderId="1" xfId="0" applyFont="1" applyBorder="1" applyAlignment="1">
      <alignment vertical="center"/>
    </xf>
    <xf numFmtId="166" fontId="0" fillId="0" borderId="0" xfId="0" applyNumberFormat="1"/>
    <xf numFmtId="49" fontId="0" fillId="0" borderId="1" xfId="0" applyNumberFormat="1" applyBorder="1"/>
    <xf numFmtId="49" fontId="0" fillId="17" borderId="1" xfId="0" applyNumberForma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3" borderId="1" xfId="0" applyNumberFormat="1" applyFill="1" applyBorder="1"/>
    <xf numFmtId="49" fontId="0" fillId="2" borderId="1" xfId="0" applyNumberFormat="1" applyFill="1" applyBorder="1"/>
    <xf numFmtId="2" fontId="0" fillId="0" borderId="0" xfId="0" applyNumberFormat="1"/>
    <xf numFmtId="0" fontId="11" fillId="0" borderId="23" xfId="0" applyFont="1" applyBorder="1" applyAlignment="1">
      <alignment vertical="center" wrapText="1"/>
    </xf>
    <xf numFmtId="49" fontId="0" fillId="17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0" fontId="0" fillId="6" borderId="1" xfId="0" applyFill="1" applyBorder="1"/>
    <xf numFmtId="0" fontId="1" fillId="6" borderId="1" xfId="0" applyFont="1" applyFill="1" applyBorder="1"/>
    <xf numFmtId="166" fontId="0" fillId="6" borderId="1" xfId="2" applyNumberFormat="1" applyFont="1" applyFill="1" applyBorder="1"/>
    <xf numFmtId="166" fontId="0" fillId="6" borderId="1" xfId="0" applyNumberFormat="1" applyFill="1" applyBorder="1"/>
    <xf numFmtId="0" fontId="9" fillId="6" borderId="1" xfId="0" applyFont="1" applyFill="1" applyBorder="1"/>
    <xf numFmtId="0" fontId="0" fillId="0" borderId="20" xfId="0" applyBorder="1"/>
    <xf numFmtId="0" fontId="0" fillId="6" borderId="0" xfId="0" applyFill="1"/>
    <xf numFmtId="166" fontId="1" fillId="3" borderId="0" xfId="2" applyNumberFormat="1" applyFont="1" applyFill="1" applyAlignment="1">
      <alignment vertical="top"/>
    </xf>
    <xf numFmtId="0" fontId="0" fillId="0" borderId="21" xfId="0" applyBorder="1"/>
    <xf numFmtId="165" fontId="3" fillId="0" borderId="21" xfId="1" applyNumberFormat="1" applyFont="1" applyBorder="1"/>
    <xf numFmtId="9" fontId="4" fillId="0" borderId="21" xfId="3" applyFont="1" applyBorder="1"/>
    <xf numFmtId="166" fontId="3" fillId="0" borderId="21" xfId="2" applyNumberFormat="1" applyFont="1" applyBorder="1"/>
    <xf numFmtId="9" fontId="3" fillId="0" borderId="21" xfId="3" applyFont="1" applyBorder="1"/>
    <xf numFmtId="0" fontId="1" fillId="0" borderId="21" xfId="0" applyFont="1" applyBorder="1"/>
    <xf numFmtId="166" fontId="6" fillId="0" borderId="21" xfId="2" applyNumberFormat="1" applyFont="1" applyBorder="1"/>
    <xf numFmtId="166" fontId="9" fillId="0" borderId="21" xfId="2" applyNumberFormat="1" applyFont="1" applyBorder="1"/>
    <xf numFmtId="165" fontId="11" fillId="6" borderId="21" xfId="1" applyNumberFormat="1" applyFont="1" applyFill="1" applyBorder="1" applyAlignment="1">
      <alignment horizontal="center" vertical="center" wrapText="1"/>
    </xf>
    <xf numFmtId="165" fontId="11" fillId="0" borderId="21" xfId="1" applyNumberFormat="1" applyFont="1" applyFill="1" applyBorder="1" applyAlignment="1">
      <alignment horizontal="center" vertical="center" wrapText="1"/>
    </xf>
    <xf numFmtId="165" fontId="6" fillId="0" borderId="21" xfId="1" applyNumberFormat="1" applyFont="1" applyBorder="1"/>
    <xf numFmtId="165" fontId="6" fillId="0" borderId="21" xfId="1" applyNumberFormat="1" applyFont="1" applyFill="1" applyBorder="1"/>
    <xf numFmtId="9" fontId="6" fillId="0" borderId="21" xfId="3" applyFont="1" applyFill="1" applyBorder="1"/>
    <xf numFmtId="165" fontId="20" fillId="14" borderId="24" xfId="1" applyNumberFormat="1" applyFont="1" applyFill="1" applyBorder="1" applyAlignment="1">
      <alignment horizontal="left" vertical="center"/>
    </xf>
    <xf numFmtId="0" fontId="0" fillId="0" borderId="20" xfId="0" applyBorder="1" applyAlignment="1">
      <alignment vertical="top"/>
    </xf>
    <xf numFmtId="165" fontId="11" fillId="0" borderId="23" xfId="1" applyNumberFormat="1" applyFont="1" applyFill="1" applyBorder="1" applyAlignment="1">
      <alignment horizontal="center" vertical="center" wrapText="1"/>
    </xf>
    <xf numFmtId="49" fontId="0" fillId="0" borderId="0" xfId="0" applyNumberFormat="1"/>
    <xf numFmtId="169" fontId="3" fillId="0" borderId="1" xfId="3" applyNumberFormat="1" applyFont="1" applyBorder="1"/>
    <xf numFmtId="0" fontId="0" fillId="17" borderId="0" xfId="0" applyFill="1" applyAlignment="1">
      <alignment vertical="top"/>
    </xf>
    <xf numFmtId="0" fontId="0" fillId="2" borderId="0" xfId="0" applyFill="1" applyAlignment="1">
      <alignment vertical="top"/>
    </xf>
    <xf numFmtId="165" fontId="11" fillId="6" borderId="0" xfId="1" applyNumberFormat="1" applyFont="1" applyFill="1" applyBorder="1" applyAlignment="1">
      <alignment horizontal="center" vertical="center" wrapText="1"/>
    </xf>
    <xf numFmtId="165" fontId="11" fillId="0" borderId="0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Border="1"/>
    <xf numFmtId="165" fontId="6" fillId="0" borderId="0" xfId="1" applyNumberFormat="1" applyFont="1" applyBorder="1" applyAlignment="1">
      <alignment wrapText="1"/>
    </xf>
    <xf numFmtId="165" fontId="6" fillId="0" borderId="0" xfId="1" applyNumberFormat="1" applyFont="1" applyFill="1" applyBorder="1"/>
    <xf numFmtId="9" fontId="6" fillId="0" borderId="0" xfId="3" applyFont="1" applyFill="1" applyBorder="1"/>
    <xf numFmtId="165" fontId="20" fillId="14" borderId="0" xfId="1" applyNumberFormat="1" applyFont="1" applyFill="1" applyBorder="1" applyAlignment="1">
      <alignment horizontal="left" vertical="center"/>
    </xf>
    <xf numFmtId="49" fontId="0" fillId="3" borderId="0" xfId="0" applyNumberFormat="1" applyFill="1" applyAlignment="1">
      <alignment vertical="top"/>
    </xf>
    <xf numFmtId="1" fontId="0" fillId="0" borderId="0" xfId="0" applyNumberFormat="1"/>
    <xf numFmtId="9" fontId="8" fillId="2" borderId="1" xfId="3" applyFont="1" applyFill="1" applyBorder="1"/>
    <xf numFmtId="9" fontId="0" fillId="0" borderId="0" xfId="3" applyFont="1" applyAlignment="1">
      <alignment vertical="center"/>
    </xf>
    <xf numFmtId="0" fontId="0" fillId="17" borderId="6" xfId="0" applyFill="1" applyBorder="1"/>
    <xf numFmtId="166" fontId="6" fillId="0" borderId="0" xfId="2" applyNumberFormat="1" applyFont="1" applyBorder="1"/>
    <xf numFmtId="166" fontId="9" fillId="0" borderId="0" xfId="2" applyNumberFormat="1" applyFont="1" applyBorder="1"/>
    <xf numFmtId="0" fontId="0" fillId="3" borderId="0" xfId="0" applyFill="1" applyAlignment="1">
      <alignment vertical="top"/>
    </xf>
    <xf numFmtId="0" fontId="0" fillId="17" borderId="0" xfId="0" applyFill="1"/>
    <xf numFmtId="49" fontId="0" fillId="17" borderId="0" xfId="0" applyNumberFormat="1" applyFill="1"/>
    <xf numFmtId="165" fontId="1" fillId="0" borderId="0" xfId="0" applyNumberFormat="1" applyFont="1"/>
    <xf numFmtId="0" fontId="8" fillId="0" borderId="0" xfId="0" applyFont="1" applyAlignment="1">
      <alignment vertical="top"/>
    </xf>
    <xf numFmtId="49" fontId="24" fillId="0" borderId="1" xfId="0" applyNumberFormat="1" applyFont="1" applyBorder="1"/>
    <xf numFmtId="49" fontId="24" fillId="0" borderId="0" xfId="0" applyNumberFormat="1" applyFont="1"/>
    <xf numFmtId="0" fontId="7" fillId="0" borderId="1" xfId="0" applyFont="1" applyBorder="1"/>
    <xf numFmtId="166" fontId="7" fillId="0" borderId="1" xfId="2" applyNumberFormat="1" applyFont="1" applyBorder="1"/>
    <xf numFmtId="165" fontId="7" fillId="0" borderId="1" xfId="1" applyNumberFormat="1" applyFont="1" applyBorder="1"/>
    <xf numFmtId="9" fontId="8" fillId="0" borderId="1" xfId="3" applyFont="1" applyBorder="1"/>
    <xf numFmtId="166" fontId="8" fillId="0" borderId="1" xfId="2" applyNumberFormat="1" applyFont="1" applyBorder="1"/>
    <xf numFmtId="9" fontId="7" fillId="0" borderId="1" xfId="3" applyFont="1" applyBorder="1"/>
    <xf numFmtId="0" fontId="7" fillId="0" borderId="0" xfId="0" applyFont="1"/>
    <xf numFmtId="0" fontId="0" fillId="7" borderId="1" xfId="0" applyFill="1" applyBorder="1" applyAlignment="1">
      <alignment vertical="top"/>
    </xf>
    <xf numFmtId="0" fontId="8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/>
    <xf numFmtId="166" fontId="7" fillId="0" borderId="0" xfId="2" applyNumberFormat="1" applyFont="1"/>
    <xf numFmtId="0" fontId="10" fillId="2" borderId="0" xfId="0" applyFont="1" applyFill="1" applyAlignment="1">
      <alignment vertical="top"/>
    </xf>
    <xf numFmtId="166" fontId="3" fillId="0" borderId="1" xfId="2" applyNumberFormat="1" applyFont="1" applyFill="1" applyBorder="1"/>
    <xf numFmtId="165" fontId="3" fillId="0" borderId="1" xfId="1" applyNumberFormat="1" applyFont="1" applyFill="1" applyBorder="1"/>
    <xf numFmtId="0" fontId="0" fillId="17" borderId="20" xfId="0" applyFill="1" applyBorder="1"/>
    <xf numFmtId="0" fontId="24" fillId="17" borderId="1" xfId="0" applyFont="1" applyFill="1" applyBorder="1"/>
    <xf numFmtId="44" fontId="14" fillId="9" borderId="1" xfId="0" applyNumberFormat="1" applyFont="1" applyFill="1" applyBorder="1"/>
    <xf numFmtId="44" fontId="4" fillId="11" borderId="1" xfId="1" applyFont="1" applyFill="1" applyBorder="1"/>
    <xf numFmtId="0" fontId="1" fillId="7" borderId="2" xfId="0" applyFont="1" applyFill="1" applyBorder="1" applyAlignment="1">
      <alignment horizontal="left" vertical="top"/>
    </xf>
    <xf numFmtId="0" fontId="1" fillId="7" borderId="5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7" borderId="25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vertical="center"/>
    </xf>
    <xf numFmtId="0" fontId="18" fillId="7" borderId="1" xfId="0" applyFont="1" applyFill="1" applyBorder="1" applyAlignment="1">
      <alignment vertical="top" wrapText="1"/>
    </xf>
    <xf numFmtId="0" fontId="18" fillId="7" borderId="26" xfId="0" applyFont="1" applyFill="1" applyBorder="1" applyAlignment="1">
      <alignment vertical="top" wrapText="1"/>
    </xf>
    <xf numFmtId="0" fontId="1" fillId="7" borderId="27" xfId="0" applyFont="1" applyFill="1" applyBorder="1" applyAlignment="1">
      <alignment vertical="center"/>
    </xf>
    <xf numFmtId="0" fontId="0" fillId="0" borderId="26" xfId="0" applyBorder="1"/>
    <xf numFmtId="14" fontId="0" fillId="0" borderId="1" xfId="0" applyNumberFormat="1" applyBorder="1"/>
    <xf numFmtId="3" fontId="0" fillId="2" borderId="1" xfId="0" applyNumberFormat="1" applyFill="1" applyBorder="1"/>
    <xf numFmtId="0" fontId="0" fillId="17" borderId="26" xfId="0" applyFill="1" applyBorder="1"/>
    <xf numFmtId="0" fontId="1" fillId="15" borderId="1" xfId="0" applyFont="1" applyFill="1" applyBorder="1"/>
    <xf numFmtId="3" fontId="1" fillId="15" borderId="1" xfId="0" applyNumberFormat="1" applyFont="1" applyFill="1" applyBorder="1"/>
    <xf numFmtId="0" fontId="8" fillId="7" borderId="1" xfId="0" applyFont="1" applyFill="1" applyBorder="1"/>
    <xf numFmtId="0" fontId="1" fillId="7" borderId="28" xfId="0" applyFont="1" applyFill="1" applyBorder="1" applyAlignment="1">
      <alignment horizontal="left" vertical="top"/>
    </xf>
    <xf numFmtId="0" fontId="1" fillId="7" borderId="22" xfId="0" applyFont="1" applyFill="1" applyBorder="1" applyAlignment="1">
      <alignment horizontal="left" vertical="top"/>
    </xf>
    <xf numFmtId="0" fontId="1" fillId="7" borderId="22" xfId="0" applyFont="1" applyFill="1" applyBorder="1"/>
    <xf numFmtId="0" fontId="0" fillId="7" borderId="22" xfId="0" applyFill="1" applyBorder="1"/>
    <xf numFmtId="0" fontId="0" fillId="0" borderId="29" xfId="0" applyBorder="1"/>
    <xf numFmtId="9" fontId="0" fillId="2" borderId="20" xfId="3" applyFont="1" applyFill="1" applyBorder="1"/>
    <xf numFmtId="42" fontId="0" fillId="0" borderId="20" xfId="0" applyNumberFormat="1" applyBorder="1"/>
    <xf numFmtId="0" fontId="1" fillId="7" borderId="30" xfId="0" applyFont="1" applyFill="1" applyBorder="1" applyAlignment="1">
      <alignment horizontal="left" vertical="top"/>
    </xf>
    <xf numFmtId="0" fontId="1" fillId="15" borderId="22" xfId="0" applyFont="1" applyFill="1" applyBorder="1"/>
    <xf numFmtId="3" fontId="1" fillId="15" borderId="22" xfId="0" applyNumberFormat="1" applyFont="1" applyFill="1" applyBorder="1"/>
    <xf numFmtId="0" fontId="24" fillId="0" borderId="1" xfId="0" applyFont="1" applyBorder="1" applyAlignment="1">
      <alignment vertical="top"/>
    </xf>
    <xf numFmtId="0" fontId="24" fillId="0" borderId="0" xfId="0" applyFont="1" applyAlignment="1">
      <alignment vertical="top"/>
    </xf>
    <xf numFmtId="167" fontId="10" fillId="0" borderId="0" xfId="4" applyNumberFormat="1">
      <alignment vertical="top"/>
    </xf>
    <xf numFmtId="3" fontId="10" fillId="0" borderId="0" xfId="4" applyNumberFormat="1">
      <alignment vertical="top"/>
    </xf>
    <xf numFmtId="4" fontId="0" fillId="0" borderId="1" xfId="0" applyNumberFormat="1" applyBorder="1"/>
    <xf numFmtId="4" fontId="0" fillId="2" borderId="1" xfId="0" applyNumberFormat="1" applyFill="1" applyBorder="1"/>
    <xf numFmtId="10" fontId="0" fillId="0" borderId="1" xfId="0" applyNumberFormat="1" applyBorder="1"/>
    <xf numFmtId="3" fontId="0" fillId="0" borderId="20" xfId="0" applyNumberFormat="1" applyBorder="1"/>
    <xf numFmtId="9" fontId="0" fillId="0" borderId="20" xfId="0" applyNumberFormat="1" applyBorder="1"/>
    <xf numFmtId="9" fontId="0" fillId="0" borderId="1" xfId="0" applyNumberFormat="1" applyBorder="1"/>
    <xf numFmtId="0" fontId="0" fillId="0" borderId="19" xfId="0" applyBorder="1"/>
    <xf numFmtId="0" fontId="0" fillId="2" borderId="19" xfId="0" applyFill="1" applyBorder="1"/>
    <xf numFmtId="0" fontId="0" fillId="0" borderId="34" xfId="0" applyBorder="1"/>
    <xf numFmtId="4" fontId="0" fillId="2" borderId="0" xfId="0" applyNumberFormat="1" applyFill="1"/>
    <xf numFmtId="3" fontId="0" fillId="0" borderId="0" xfId="0" applyNumberFormat="1"/>
    <xf numFmtId="4" fontId="0" fillId="0" borderId="0" xfId="0" applyNumberFormat="1"/>
    <xf numFmtId="170" fontId="0" fillId="0" borderId="0" xfId="0" applyNumberFormat="1"/>
    <xf numFmtId="0" fontId="25" fillId="0" borderId="34" xfId="0" applyFont="1" applyBorder="1"/>
    <xf numFmtId="4" fontId="25" fillId="2" borderId="0" xfId="0" applyNumberFormat="1" applyFont="1" applyFill="1"/>
    <xf numFmtId="3" fontId="25" fillId="0" borderId="0" xfId="0" applyNumberFormat="1" applyFont="1"/>
    <xf numFmtId="4" fontId="25" fillId="0" borderId="0" xfId="0" applyNumberFormat="1" applyFont="1"/>
    <xf numFmtId="170" fontId="25" fillId="0" borderId="0" xfId="0" applyNumberFormat="1" applyFont="1"/>
    <xf numFmtId="43" fontId="0" fillId="0" borderId="29" xfId="0" applyNumberFormat="1" applyBorder="1" applyAlignment="1">
      <alignment horizontal="right"/>
    </xf>
    <xf numFmtId="49" fontId="0" fillId="17" borderId="1" xfId="0" applyNumberFormat="1" applyFill="1" applyBorder="1"/>
    <xf numFmtId="0" fontId="8" fillId="7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8" fillId="7" borderId="31" xfId="0" applyFont="1" applyFill="1" applyBorder="1" applyAlignment="1">
      <alignment horizontal="center"/>
    </xf>
    <xf numFmtId="0" fontId="8" fillId="7" borderId="32" xfId="0" applyFont="1" applyFill="1" applyBorder="1" applyAlignment="1">
      <alignment horizontal="center"/>
    </xf>
    <xf numFmtId="0" fontId="8" fillId="7" borderId="33" xfId="0" applyFont="1" applyFill="1" applyBorder="1" applyAlignment="1">
      <alignment horizontal="center"/>
    </xf>
  </cellXfs>
  <cellStyles count="5">
    <cellStyle name="Comma" xfId="2" builtinId="3"/>
    <cellStyle name="Currency" xfId="1" builtinId="4"/>
    <cellStyle name="Normal" xfId="0" builtinId="0"/>
    <cellStyle name="Normal 2" xfId="4" xr:uid="{00000000-0005-0000-0000-000003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2:F211"/>
  <sheetViews>
    <sheetView workbookViewId="0">
      <selection activeCell="C59" sqref="C59"/>
    </sheetView>
  </sheetViews>
  <sheetFormatPr defaultRowHeight="15" x14ac:dyDescent="0.25"/>
  <cols>
    <col min="1" max="1" width="13.85546875" customWidth="1"/>
    <col min="2" max="2" width="32.85546875" bestFit="1" customWidth="1"/>
    <col min="3" max="3" width="11.85546875" customWidth="1"/>
    <col min="4" max="5" width="10.5703125" customWidth="1"/>
  </cols>
  <sheetData>
    <row r="2" spans="1:5" x14ac:dyDescent="0.25">
      <c r="E2">
        <v>45</v>
      </c>
    </row>
    <row r="3" spans="1:5" x14ac:dyDescent="0.25">
      <c r="E3" s="229">
        <v>90</v>
      </c>
    </row>
    <row r="4" spans="1:5" ht="22.5" customHeight="1" x14ac:dyDescent="0.25">
      <c r="C4" s="171">
        <f>SUBTOTAL(9,C6:C192)</f>
        <v>43862</v>
      </c>
      <c r="D4" s="171">
        <f>SUBTOTAL(9,D6:D211)</f>
        <v>13895</v>
      </c>
      <c r="E4" s="171">
        <f>SUBTOTAL(9,E6:E211)</f>
        <v>7857</v>
      </c>
    </row>
    <row r="5" spans="1:5" x14ac:dyDescent="0.25">
      <c r="A5" s="169" t="s">
        <v>125</v>
      </c>
      <c r="B5" s="169" t="s">
        <v>340</v>
      </c>
      <c r="C5" s="169" t="s">
        <v>324</v>
      </c>
      <c r="D5" s="169" t="s">
        <v>338</v>
      </c>
      <c r="E5" s="169" t="s">
        <v>339</v>
      </c>
    </row>
    <row r="6" spans="1:5" x14ac:dyDescent="0.25">
      <c r="A6" s="9" t="s">
        <v>157</v>
      </c>
      <c r="B6" s="9" t="s">
        <v>8</v>
      </c>
      <c r="C6" s="168">
        <v>241</v>
      </c>
      <c r="D6" s="168">
        <v>90</v>
      </c>
      <c r="E6" s="168">
        <v>0</v>
      </c>
    </row>
    <row r="7" spans="1:5" x14ac:dyDescent="0.25">
      <c r="A7" s="9" t="s">
        <v>157</v>
      </c>
      <c r="B7" s="9" t="s">
        <v>354</v>
      </c>
      <c r="C7" s="168">
        <v>299</v>
      </c>
      <c r="D7" s="168">
        <v>70</v>
      </c>
      <c r="E7" s="168">
        <v>0</v>
      </c>
    </row>
    <row r="8" spans="1:5" x14ac:dyDescent="0.25">
      <c r="A8" s="9" t="s">
        <v>157</v>
      </c>
      <c r="B8" s="9" t="s">
        <v>15</v>
      </c>
      <c r="C8" s="168">
        <v>400</v>
      </c>
      <c r="D8" s="168">
        <v>150</v>
      </c>
      <c r="E8" s="168">
        <v>0</v>
      </c>
    </row>
    <row r="9" spans="1:5" x14ac:dyDescent="0.25">
      <c r="A9" s="9" t="s">
        <v>157</v>
      </c>
      <c r="B9" s="9" t="s">
        <v>16</v>
      </c>
      <c r="C9" s="168">
        <v>189</v>
      </c>
      <c r="D9" s="168">
        <v>70</v>
      </c>
      <c r="E9" s="168">
        <v>0</v>
      </c>
    </row>
    <row r="10" spans="1:5" x14ac:dyDescent="0.25">
      <c r="A10" s="9" t="s">
        <v>157</v>
      </c>
      <c r="B10" s="9" t="s">
        <v>19</v>
      </c>
      <c r="C10" s="168">
        <v>0</v>
      </c>
      <c r="D10" s="168">
        <v>75</v>
      </c>
      <c r="E10" s="168">
        <v>24</v>
      </c>
    </row>
    <row r="11" spans="1:5" x14ac:dyDescent="0.25">
      <c r="A11" s="9" t="s">
        <v>157</v>
      </c>
      <c r="B11" s="9" t="s">
        <v>39</v>
      </c>
      <c r="C11" s="168">
        <v>0</v>
      </c>
      <c r="D11" s="168">
        <v>80</v>
      </c>
      <c r="E11" s="168">
        <v>0</v>
      </c>
    </row>
    <row r="12" spans="1:5" x14ac:dyDescent="0.25">
      <c r="A12" s="9" t="s">
        <v>157</v>
      </c>
      <c r="B12" s="9" t="s">
        <v>6</v>
      </c>
      <c r="C12" s="168">
        <v>598</v>
      </c>
      <c r="D12" s="168">
        <v>90</v>
      </c>
      <c r="E12" s="168">
        <v>0</v>
      </c>
    </row>
    <row r="13" spans="1:5" x14ac:dyDescent="0.25">
      <c r="A13" s="9" t="s">
        <v>157</v>
      </c>
      <c r="B13" s="9" t="s">
        <v>56</v>
      </c>
      <c r="C13" s="168">
        <v>0</v>
      </c>
      <c r="D13" s="168">
        <v>80</v>
      </c>
      <c r="E13" s="168">
        <v>0</v>
      </c>
    </row>
    <row r="14" spans="1:5" x14ac:dyDescent="0.25">
      <c r="A14" s="9" t="s">
        <v>157</v>
      </c>
      <c r="B14" s="9" t="s">
        <v>60</v>
      </c>
      <c r="C14" s="168">
        <v>0</v>
      </c>
      <c r="D14" s="168">
        <v>80</v>
      </c>
      <c r="E14" s="168">
        <v>0</v>
      </c>
    </row>
    <row r="15" spans="1:5" x14ac:dyDescent="0.25">
      <c r="A15" s="9" t="s">
        <v>157</v>
      </c>
      <c r="B15" s="9" t="s">
        <v>61</v>
      </c>
      <c r="C15" s="168">
        <v>0</v>
      </c>
      <c r="D15" s="168">
        <v>75</v>
      </c>
      <c r="E15" s="168">
        <v>22</v>
      </c>
    </row>
    <row r="16" spans="1:5" x14ac:dyDescent="0.25">
      <c r="A16" s="9" t="s">
        <v>157</v>
      </c>
      <c r="B16" s="9" t="s">
        <v>73</v>
      </c>
      <c r="C16" s="168">
        <v>150</v>
      </c>
      <c r="D16" s="168">
        <v>80</v>
      </c>
      <c r="E16" s="168">
        <v>0</v>
      </c>
    </row>
    <row r="17" spans="1:5" x14ac:dyDescent="0.25">
      <c r="A17" s="9" t="s">
        <v>157</v>
      </c>
      <c r="B17" s="200" t="s">
        <v>76</v>
      </c>
      <c r="C17" s="168">
        <v>0</v>
      </c>
      <c r="D17" s="168">
        <v>80</v>
      </c>
      <c r="E17" s="168">
        <v>0</v>
      </c>
    </row>
    <row r="18" spans="1:5" x14ac:dyDescent="0.25">
      <c r="A18" s="9" t="s">
        <v>157</v>
      </c>
      <c r="B18" s="241" t="s">
        <v>349</v>
      </c>
      <c r="C18" s="168">
        <v>0</v>
      </c>
      <c r="D18" s="168">
        <v>80</v>
      </c>
      <c r="E18" s="168">
        <v>0</v>
      </c>
    </row>
    <row r="19" spans="1:5" x14ac:dyDescent="0.25">
      <c r="A19" s="9" t="s">
        <v>157</v>
      </c>
      <c r="B19" s="197" t="s">
        <v>84</v>
      </c>
      <c r="C19" s="168">
        <v>0</v>
      </c>
      <c r="D19" s="168">
        <v>90</v>
      </c>
      <c r="E19" s="168">
        <v>0</v>
      </c>
    </row>
    <row r="20" spans="1:5" x14ac:dyDescent="0.25">
      <c r="A20" s="9" t="s">
        <v>157</v>
      </c>
      <c r="B20" s="197" t="s">
        <v>358</v>
      </c>
      <c r="C20" s="168">
        <v>0</v>
      </c>
      <c r="D20" s="168">
        <v>70</v>
      </c>
      <c r="E20" s="168">
        <v>0</v>
      </c>
    </row>
    <row r="21" spans="1:5" x14ac:dyDescent="0.25">
      <c r="A21" s="9" t="s">
        <v>154</v>
      </c>
      <c r="B21" s="9" t="s">
        <v>2</v>
      </c>
      <c r="C21" s="168">
        <v>0</v>
      </c>
      <c r="D21" s="168">
        <v>70</v>
      </c>
      <c r="E21" s="168">
        <v>0</v>
      </c>
    </row>
    <row r="22" spans="1:5" x14ac:dyDescent="0.25">
      <c r="A22" s="9" t="s">
        <v>154</v>
      </c>
      <c r="B22" s="9" t="s">
        <v>4</v>
      </c>
      <c r="C22" s="168">
        <v>247</v>
      </c>
      <c r="D22" s="168">
        <v>80</v>
      </c>
      <c r="E22" s="168">
        <v>0</v>
      </c>
    </row>
    <row r="23" spans="1:5" x14ac:dyDescent="0.25">
      <c r="A23" s="9" t="s">
        <v>154</v>
      </c>
      <c r="B23" s="9" t="s">
        <v>5</v>
      </c>
      <c r="C23" s="168">
        <v>0</v>
      </c>
      <c r="D23" s="168">
        <v>70</v>
      </c>
      <c r="E23" s="168">
        <v>0</v>
      </c>
    </row>
    <row r="24" spans="1:5" x14ac:dyDescent="0.25">
      <c r="A24" s="9" t="s">
        <v>154</v>
      </c>
      <c r="B24" s="9" t="s">
        <v>31</v>
      </c>
      <c r="C24" s="168">
        <v>306</v>
      </c>
      <c r="D24" s="168">
        <v>80</v>
      </c>
      <c r="E24" s="168">
        <v>0</v>
      </c>
    </row>
    <row r="25" spans="1:5" x14ac:dyDescent="0.25">
      <c r="A25" s="9" t="s">
        <v>154</v>
      </c>
      <c r="B25" s="197" t="s">
        <v>33</v>
      </c>
      <c r="C25" s="168">
        <v>400</v>
      </c>
      <c r="D25" s="168">
        <v>150</v>
      </c>
      <c r="E25" s="168">
        <v>0</v>
      </c>
    </row>
    <row r="26" spans="1:5" x14ac:dyDescent="0.25">
      <c r="A26" s="9" t="s">
        <v>154</v>
      </c>
      <c r="B26" s="9" t="s">
        <v>35</v>
      </c>
      <c r="C26" s="168">
        <v>0</v>
      </c>
      <c r="D26" s="168">
        <v>70</v>
      </c>
      <c r="E26" s="168">
        <v>0</v>
      </c>
    </row>
    <row r="27" spans="1:5" x14ac:dyDescent="0.25">
      <c r="A27" s="9" t="s">
        <v>154</v>
      </c>
      <c r="B27" s="9" t="s">
        <v>93</v>
      </c>
      <c r="C27" s="168">
        <v>559</v>
      </c>
      <c r="D27" s="168">
        <v>80</v>
      </c>
      <c r="E27" s="168">
        <v>0</v>
      </c>
    </row>
    <row r="28" spans="1:5" x14ac:dyDescent="0.25">
      <c r="A28" s="9" t="s">
        <v>154</v>
      </c>
      <c r="B28" s="9" t="s">
        <v>49</v>
      </c>
      <c r="C28" s="168">
        <v>0</v>
      </c>
      <c r="D28" s="168">
        <v>80</v>
      </c>
      <c r="E28" s="168">
        <v>0</v>
      </c>
    </row>
    <row r="29" spans="1:5" x14ac:dyDescent="0.25">
      <c r="A29" s="9" t="s">
        <v>154</v>
      </c>
      <c r="B29" s="9" t="s">
        <v>54</v>
      </c>
      <c r="C29" s="168">
        <v>0</v>
      </c>
      <c r="D29" s="168">
        <v>80</v>
      </c>
      <c r="E29" s="168">
        <v>0</v>
      </c>
    </row>
    <row r="30" spans="1:5" x14ac:dyDescent="0.25">
      <c r="A30" s="9" t="s">
        <v>154</v>
      </c>
      <c r="B30" s="9" t="s">
        <v>66</v>
      </c>
      <c r="C30" s="168">
        <v>0</v>
      </c>
      <c r="D30" s="168">
        <v>80</v>
      </c>
      <c r="E30" s="168">
        <v>0</v>
      </c>
    </row>
    <row r="31" spans="1:5" x14ac:dyDescent="0.25">
      <c r="A31" s="9" t="s">
        <v>154</v>
      </c>
      <c r="B31" s="9" t="s">
        <v>277</v>
      </c>
      <c r="C31" s="168">
        <v>345</v>
      </c>
      <c r="D31" s="168">
        <v>70</v>
      </c>
      <c r="E31" s="168">
        <v>0</v>
      </c>
    </row>
    <row r="32" spans="1:5" x14ac:dyDescent="0.25">
      <c r="A32" s="9" t="s">
        <v>154</v>
      </c>
      <c r="B32" s="9" t="s">
        <v>96</v>
      </c>
      <c r="C32" s="168">
        <v>293</v>
      </c>
      <c r="D32" s="168">
        <v>90</v>
      </c>
      <c r="E32" s="168">
        <v>0</v>
      </c>
    </row>
    <row r="33" spans="1:5" x14ac:dyDescent="0.25">
      <c r="A33" s="9" t="s">
        <v>154</v>
      </c>
      <c r="B33" s="9" t="s">
        <v>106</v>
      </c>
      <c r="C33" s="168">
        <v>514</v>
      </c>
      <c r="D33" s="168">
        <v>80</v>
      </c>
      <c r="E33" s="168">
        <v>0</v>
      </c>
    </row>
    <row r="34" spans="1:5" x14ac:dyDescent="0.25">
      <c r="A34" s="9" t="s">
        <v>154</v>
      </c>
      <c r="B34" s="9" t="s">
        <v>115</v>
      </c>
      <c r="C34" s="168">
        <v>0</v>
      </c>
      <c r="D34" s="168">
        <v>70</v>
      </c>
      <c r="E34" s="168">
        <v>0</v>
      </c>
    </row>
    <row r="35" spans="1:5" x14ac:dyDescent="0.25">
      <c r="A35" s="9" t="s">
        <v>153</v>
      </c>
      <c r="B35" s="9" t="s">
        <v>1</v>
      </c>
      <c r="C35" s="168">
        <v>0</v>
      </c>
      <c r="D35" s="168">
        <v>80</v>
      </c>
      <c r="E35" s="168">
        <v>0</v>
      </c>
    </row>
    <row r="36" spans="1:5" x14ac:dyDescent="0.25">
      <c r="A36" s="9" t="s">
        <v>153</v>
      </c>
      <c r="B36" s="9" t="s">
        <v>28</v>
      </c>
      <c r="C36" s="168">
        <v>455</v>
      </c>
      <c r="D36" s="168">
        <v>80</v>
      </c>
      <c r="E36" s="168">
        <v>0</v>
      </c>
    </row>
    <row r="37" spans="1:5" x14ac:dyDescent="0.25">
      <c r="A37" s="9" t="s">
        <v>153</v>
      </c>
      <c r="B37" s="9" t="s">
        <v>276</v>
      </c>
      <c r="C37" s="168">
        <v>358</v>
      </c>
      <c r="D37" s="168">
        <v>80</v>
      </c>
      <c r="E37" s="168">
        <v>0</v>
      </c>
    </row>
    <row r="38" spans="1:5" x14ac:dyDescent="0.25">
      <c r="A38" s="9" t="s">
        <v>153</v>
      </c>
      <c r="B38" s="9" t="s">
        <v>62</v>
      </c>
      <c r="C38" s="168">
        <v>416</v>
      </c>
      <c r="D38" s="168">
        <v>100</v>
      </c>
      <c r="E38" s="168">
        <v>0</v>
      </c>
    </row>
    <row r="39" spans="1:5" x14ac:dyDescent="0.25">
      <c r="A39" s="9" t="s">
        <v>153</v>
      </c>
      <c r="B39" s="9" t="s">
        <v>58</v>
      </c>
      <c r="C39" s="168">
        <v>585</v>
      </c>
      <c r="D39" s="168">
        <v>80</v>
      </c>
      <c r="E39" s="168">
        <v>0</v>
      </c>
    </row>
    <row r="40" spans="1:5" x14ac:dyDescent="0.25">
      <c r="A40" s="9" t="s">
        <v>153</v>
      </c>
      <c r="B40" s="9" t="s">
        <v>103</v>
      </c>
      <c r="C40" s="168">
        <v>0</v>
      </c>
      <c r="D40" s="168">
        <v>75</v>
      </c>
      <c r="E40" s="168">
        <v>3</v>
      </c>
    </row>
    <row r="41" spans="1:5" x14ac:dyDescent="0.25">
      <c r="A41" s="9" t="s">
        <v>153</v>
      </c>
      <c r="B41" s="9" t="s">
        <v>104</v>
      </c>
      <c r="C41" s="168">
        <v>689</v>
      </c>
      <c r="D41" s="168">
        <v>90</v>
      </c>
      <c r="E41" s="168">
        <v>0</v>
      </c>
    </row>
    <row r="42" spans="1:5" x14ac:dyDescent="0.25">
      <c r="A42" s="9" t="s">
        <v>153</v>
      </c>
      <c r="B42" s="9" t="s">
        <v>112</v>
      </c>
      <c r="C42" s="168">
        <v>514</v>
      </c>
      <c r="D42" s="168">
        <v>80</v>
      </c>
      <c r="E42" s="168">
        <v>0</v>
      </c>
    </row>
    <row r="43" spans="1:5" x14ac:dyDescent="0.25">
      <c r="A43" s="9" t="s">
        <v>158</v>
      </c>
      <c r="B43" s="9" t="s">
        <v>7</v>
      </c>
      <c r="C43" s="168">
        <v>300</v>
      </c>
      <c r="D43" s="168">
        <v>150</v>
      </c>
      <c r="E43" s="168">
        <v>0</v>
      </c>
    </row>
    <row r="44" spans="1:5" x14ac:dyDescent="0.25">
      <c r="A44" s="9" t="s">
        <v>158</v>
      </c>
      <c r="B44" s="9" t="s">
        <v>22</v>
      </c>
      <c r="C44" s="168">
        <v>0</v>
      </c>
      <c r="D44" s="168">
        <v>80</v>
      </c>
      <c r="E44" s="168">
        <v>0</v>
      </c>
    </row>
    <row r="45" spans="1:5" x14ac:dyDescent="0.25">
      <c r="A45" s="9" t="s">
        <v>158</v>
      </c>
      <c r="B45" s="9" t="s">
        <v>34</v>
      </c>
      <c r="C45" s="168">
        <v>0</v>
      </c>
      <c r="D45" s="168">
        <v>80</v>
      </c>
      <c r="E45" s="168">
        <v>0</v>
      </c>
    </row>
    <row r="46" spans="1:5" x14ac:dyDescent="0.25">
      <c r="A46" s="9" t="s">
        <v>158</v>
      </c>
      <c r="B46" s="9" t="s">
        <v>37</v>
      </c>
      <c r="C46" s="168">
        <v>0</v>
      </c>
      <c r="D46" s="168">
        <v>80</v>
      </c>
      <c r="E46" s="168">
        <v>0</v>
      </c>
    </row>
    <row r="47" spans="1:5" x14ac:dyDescent="0.25">
      <c r="A47" s="9" t="s">
        <v>158</v>
      </c>
      <c r="B47" s="9" t="s">
        <v>50</v>
      </c>
      <c r="C47" s="168">
        <v>228</v>
      </c>
      <c r="D47" s="168">
        <v>80</v>
      </c>
      <c r="E47" s="168">
        <v>0</v>
      </c>
    </row>
    <row r="48" spans="1:5" x14ac:dyDescent="0.25">
      <c r="A48" s="9" t="s">
        <v>158</v>
      </c>
      <c r="B48" s="9" t="s">
        <v>65</v>
      </c>
      <c r="C48" s="168">
        <v>0</v>
      </c>
      <c r="D48" s="168">
        <v>80</v>
      </c>
      <c r="E48" s="168">
        <v>0</v>
      </c>
    </row>
    <row r="49" spans="1:5" x14ac:dyDescent="0.25">
      <c r="A49" s="9" t="s">
        <v>158</v>
      </c>
      <c r="B49" s="9" t="s">
        <v>69</v>
      </c>
      <c r="C49" s="168">
        <v>0</v>
      </c>
      <c r="D49" s="168">
        <v>80</v>
      </c>
      <c r="E49" s="168">
        <v>0</v>
      </c>
    </row>
    <row r="50" spans="1:5" x14ac:dyDescent="0.25">
      <c r="A50" s="9" t="s">
        <v>158</v>
      </c>
      <c r="B50" s="9" t="s">
        <v>250</v>
      </c>
      <c r="C50" s="168">
        <v>514</v>
      </c>
      <c r="D50" s="168">
        <v>80</v>
      </c>
      <c r="E50" s="168">
        <v>0</v>
      </c>
    </row>
    <row r="51" spans="1:5" x14ac:dyDescent="0.25">
      <c r="A51" s="9" t="s">
        <v>158</v>
      </c>
      <c r="B51" s="9" t="s">
        <v>353</v>
      </c>
      <c r="C51" s="168">
        <v>0</v>
      </c>
      <c r="D51" s="168">
        <v>80</v>
      </c>
      <c r="E51" s="168">
        <v>0</v>
      </c>
    </row>
    <row r="52" spans="1:5" x14ac:dyDescent="0.25">
      <c r="A52" s="9" t="s">
        <v>158</v>
      </c>
      <c r="B52" s="9" t="s">
        <v>361</v>
      </c>
      <c r="C52" s="168">
        <v>0</v>
      </c>
      <c r="D52" s="168">
        <v>70</v>
      </c>
      <c r="E52" s="168">
        <v>0</v>
      </c>
    </row>
    <row r="53" spans="1:5" x14ac:dyDescent="0.25">
      <c r="A53" s="9" t="s">
        <v>158</v>
      </c>
      <c r="B53" s="9" t="s">
        <v>363</v>
      </c>
      <c r="C53" s="168">
        <v>579</v>
      </c>
      <c r="D53" s="168">
        <v>70</v>
      </c>
      <c r="E53" s="168">
        <v>0</v>
      </c>
    </row>
    <row r="54" spans="1:5" x14ac:dyDescent="0.25">
      <c r="A54" s="9" t="s">
        <v>158</v>
      </c>
      <c r="B54" s="9" t="s">
        <v>101</v>
      </c>
      <c r="C54" s="168">
        <v>241</v>
      </c>
      <c r="D54" s="168">
        <v>80</v>
      </c>
      <c r="E54" s="168">
        <v>0</v>
      </c>
    </row>
    <row r="55" spans="1:5" x14ac:dyDescent="0.25">
      <c r="A55" s="9" t="s">
        <v>158</v>
      </c>
      <c r="B55" s="200" t="s">
        <v>107</v>
      </c>
      <c r="C55" s="168">
        <v>0</v>
      </c>
      <c r="D55" s="168">
        <v>70</v>
      </c>
      <c r="E55" s="168">
        <v>0</v>
      </c>
    </row>
    <row r="56" spans="1:5" x14ac:dyDescent="0.25">
      <c r="A56" s="9" t="s">
        <v>158</v>
      </c>
      <c r="B56" s="9" t="s">
        <v>113</v>
      </c>
      <c r="C56" s="168">
        <v>124</v>
      </c>
      <c r="D56" s="168">
        <v>80</v>
      </c>
      <c r="E56" s="168">
        <v>0</v>
      </c>
    </row>
    <row r="57" spans="1:5" x14ac:dyDescent="0.25">
      <c r="A57" s="9" t="s">
        <v>158</v>
      </c>
      <c r="B57" s="9" t="s">
        <v>365</v>
      </c>
      <c r="C57" s="168">
        <v>0</v>
      </c>
      <c r="D57" s="168">
        <v>70</v>
      </c>
      <c r="E57" s="168">
        <v>0</v>
      </c>
    </row>
    <row r="58" spans="1:5" x14ac:dyDescent="0.25">
      <c r="A58" s="9" t="s">
        <v>166</v>
      </c>
      <c r="B58" s="9" t="s">
        <v>251</v>
      </c>
      <c r="C58" s="168">
        <v>0</v>
      </c>
      <c r="D58" s="168">
        <v>80</v>
      </c>
      <c r="E58" s="168">
        <v>0</v>
      </c>
    </row>
    <row r="59" spans="1:5" x14ac:dyDescent="0.25">
      <c r="A59" s="9" t="s">
        <v>166</v>
      </c>
      <c r="B59" s="9" t="s">
        <v>40</v>
      </c>
      <c r="C59" s="168">
        <v>462</v>
      </c>
      <c r="D59" s="168">
        <v>80</v>
      </c>
      <c r="E59" s="168">
        <v>0</v>
      </c>
    </row>
    <row r="60" spans="1:5" x14ac:dyDescent="0.25">
      <c r="A60" s="9" t="s">
        <v>166</v>
      </c>
      <c r="B60" s="9" t="s">
        <v>41</v>
      </c>
      <c r="C60" s="168">
        <v>585</v>
      </c>
      <c r="D60" s="168">
        <v>80</v>
      </c>
      <c r="E60" s="168">
        <v>0</v>
      </c>
    </row>
    <row r="61" spans="1:5" x14ac:dyDescent="0.25">
      <c r="A61" s="9" t="s">
        <v>166</v>
      </c>
      <c r="B61" s="9" t="s">
        <v>53</v>
      </c>
      <c r="C61" s="168">
        <v>410</v>
      </c>
      <c r="D61" s="168">
        <v>80</v>
      </c>
      <c r="E61" s="168">
        <v>0</v>
      </c>
    </row>
    <row r="62" spans="1:5" x14ac:dyDescent="0.25">
      <c r="A62" s="9" t="s">
        <v>166</v>
      </c>
      <c r="B62" s="198" t="s">
        <v>91</v>
      </c>
      <c r="C62" s="168">
        <v>390</v>
      </c>
      <c r="D62" s="168">
        <v>80</v>
      </c>
      <c r="E62" s="168">
        <v>0</v>
      </c>
    </row>
    <row r="63" spans="1:5" x14ac:dyDescent="0.25">
      <c r="A63" s="9" t="s">
        <v>161</v>
      </c>
      <c r="B63" s="9" t="s">
        <v>344</v>
      </c>
      <c r="C63" s="168">
        <v>416</v>
      </c>
      <c r="D63" s="168">
        <v>80</v>
      </c>
      <c r="E63" s="168">
        <v>0</v>
      </c>
    </row>
    <row r="64" spans="1:5" x14ac:dyDescent="0.25">
      <c r="A64" s="9" t="s">
        <v>161</v>
      </c>
      <c r="B64" s="9" t="s">
        <v>341</v>
      </c>
      <c r="C64" s="168">
        <v>312</v>
      </c>
      <c r="D64" s="168">
        <v>80</v>
      </c>
      <c r="E64" s="168">
        <v>0</v>
      </c>
    </row>
    <row r="65" spans="1:5" x14ac:dyDescent="0.25">
      <c r="A65" s="9" t="s">
        <v>161</v>
      </c>
      <c r="B65" s="9" t="s">
        <v>36</v>
      </c>
      <c r="C65" s="168">
        <v>0</v>
      </c>
      <c r="D65" s="168">
        <v>75</v>
      </c>
      <c r="E65" s="168">
        <v>0</v>
      </c>
    </row>
    <row r="66" spans="1:5" x14ac:dyDescent="0.25">
      <c r="A66" s="9" t="s">
        <v>161</v>
      </c>
      <c r="B66" s="9" t="s">
        <v>88</v>
      </c>
      <c r="C66" s="168">
        <v>442</v>
      </c>
      <c r="D66" s="168">
        <v>90</v>
      </c>
      <c r="E66" s="168">
        <v>0</v>
      </c>
    </row>
    <row r="67" spans="1:5" x14ac:dyDescent="0.25">
      <c r="A67" s="9" t="s">
        <v>161</v>
      </c>
      <c r="B67" s="9" t="s">
        <v>52</v>
      </c>
      <c r="C67" s="168">
        <v>0</v>
      </c>
      <c r="D67" s="168">
        <v>90</v>
      </c>
      <c r="E67" s="168">
        <v>0</v>
      </c>
    </row>
    <row r="68" spans="1:5" x14ac:dyDescent="0.25">
      <c r="A68" s="9" t="s">
        <v>161</v>
      </c>
      <c r="B68" s="9" t="s">
        <v>79</v>
      </c>
      <c r="C68" s="168">
        <v>592</v>
      </c>
      <c r="D68" s="168">
        <v>90</v>
      </c>
      <c r="E68" s="168">
        <v>0</v>
      </c>
    </row>
    <row r="69" spans="1:5" x14ac:dyDescent="0.25">
      <c r="A69" s="9" t="s">
        <v>161</v>
      </c>
      <c r="B69" s="9" t="s">
        <v>17</v>
      </c>
      <c r="C69" s="168">
        <v>611</v>
      </c>
      <c r="D69" s="168">
        <v>80</v>
      </c>
      <c r="E69" s="168">
        <v>0</v>
      </c>
    </row>
    <row r="70" spans="1:5" x14ac:dyDescent="0.25">
      <c r="A70" s="9" t="s">
        <v>161</v>
      </c>
      <c r="B70" s="9" t="s">
        <v>77</v>
      </c>
      <c r="C70" s="168">
        <v>150</v>
      </c>
      <c r="D70" s="168">
        <v>80</v>
      </c>
      <c r="E70" s="168">
        <v>0</v>
      </c>
    </row>
    <row r="71" spans="1:5" x14ac:dyDescent="0.25">
      <c r="A71" s="9" t="s">
        <v>161</v>
      </c>
      <c r="B71" s="9" t="s">
        <v>82</v>
      </c>
      <c r="C71" s="168">
        <v>156</v>
      </c>
      <c r="D71" s="168">
        <v>80</v>
      </c>
      <c r="E71" s="168">
        <v>0</v>
      </c>
    </row>
    <row r="72" spans="1:5" x14ac:dyDescent="0.25">
      <c r="A72" s="9" t="s">
        <v>161</v>
      </c>
      <c r="B72" s="9" t="s">
        <v>87</v>
      </c>
      <c r="C72" s="168">
        <v>0</v>
      </c>
      <c r="D72" s="168">
        <v>80</v>
      </c>
      <c r="E72" s="168">
        <v>0</v>
      </c>
    </row>
    <row r="73" spans="1:5" x14ac:dyDescent="0.25">
      <c r="A73" s="9" t="s">
        <v>161</v>
      </c>
      <c r="B73" s="9" t="s">
        <v>98</v>
      </c>
      <c r="C73" s="168">
        <v>208</v>
      </c>
      <c r="D73" s="168">
        <v>90</v>
      </c>
      <c r="E73" s="168">
        <v>0</v>
      </c>
    </row>
    <row r="74" spans="1:5" x14ac:dyDescent="0.25">
      <c r="A74" s="9" t="s">
        <v>161</v>
      </c>
      <c r="B74" s="9" t="s">
        <v>102</v>
      </c>
      <c r="C74" s="168">
        <v>299</v>
      </c>
      <c r="D74" s="168">
        <v>90</v>
      </c>
      <c r="E74" s="168">
        <v>0</v>
      </c>
    </row>
    <row r="75" spans="1:5" x14ac:dyDescent="0.25">
      <c r="A75" s="9" t="s">
        <v>161</v>
      </c>
      <c r="B75" s="9" t="s">
        <v>360</v>
      </c>
      <c r="C75" s="168">
        <v>0</v>
      </c>
      <c r="D75" s="168">
        <v>70</v>
      </c>
      <c r="E75" s="168">
        <v>0</v>
      </c>
    </row>
    <row r="76" spans="1:5" x14ac:dyDescent="0.25">
      <c r="A76" s="9" t="s">
        <v>156</v>
      </c>
      <c r="B76" s="9" t="s">
        <v>3</v>
      </c>
      <c r="C76" s="168">
        <v>0</v>
      </c>
      <c r="D76" s="168">
        <v>90</v>
      </c>
      <c r="E76" s="168">
        <v>0</v>
      </c>
    </row>
    <row r="77" spans="1:5" x14ac:dyDescent="0.25">
      <c r="A77" s="9" t="s">
        <v>156</v>
      </c>
      <c r="B77" s="9" t="s">
        <v>83</v>
      </c>
      <c r="C77" s="168">
        <v>306</v>
      </c>
      <c r="D77" s="168">
        <v>90</v>
      </c>
      <c r="E77" s="168">
        <v>0</v>
      </c>
    </row>
    <row r="78" spans="1:5" x14ac:dyDescent="0.25">
      <c r="A78" s="9" t="s">
        <v>156</v>
      </c>
      <c r="B78" s="9" t="s">
        <v>275</v>
      </c>
      <c r="C78" s="168">
        <v>403</v>
      </c>
      <c r="D78" s="168">
        <v>90</v>
      </c>
      <c r="E78" s="168">
        <v>0</v>
      </c>
    </row>
    <row r="79" spans="1:5" x14ac:dyDescent="0.25">
      <c r="A79" s="9" t="s">
        <v>156</v>
      </c>
      <c r="B79" s="9" t="s">
        <v>20</v>
      </c>
      <c r="C79" s="168">
        <v>351</v>
      </c>
      <c r="D79" s="168">
        <v>90</v>
      </c>
      <c r="E79" s="168">
        <v>0</v>
      </c>
    </row>
    <row r="80" spans="1:5" x14ac:dyDescent="0.25">
      <c r="A80" s="9" t="s">
        <v>156</v>
      </c>
      <c r="B80" s="9" t="s">
        <v>70</v>
      </c>
      <c r="C80" s="168">
        <v>533</v>
      </c>
      <c r="D80" s="168">
        <v>90</v>
      </c>
      <c r="E80" s="168">
        <v>0</v>
      </c>
    </row>
    <row r="81" spans="1:5" x14ac:dyDescent="0.25">
      <c r="A81" s="9" t="s">
        <v>156</v>
      </c>
      <c r="B81" s="9" t="s">
        <v>64</v>
      </c>
      <c r="C81" s="168">
        <v>0</v>
      </c>
      <c r="D81" s="168">
        <v>75</v>
      </c>
      <c r="E81" s="168">
        <v>101</v>
      </c>
    </row>
    <row r="82" spans="1:5" x14ac:dyDescent="0.25">
      <c r="A82" s="9" t="s">
        <v>156</v>
      </c>
      <c r="B82" s="9" t="s">
        <v>74</v>
      </c>
      <c r="C82" s="168">
        <v>364</v>
      </c>
      <c r="D82" s="168">
        <v>80</v>
      </c>
      <c r="E82" s="168">
        <v>0</v>
      </c>
    </row>
    <row r="83" spans="1:5" x14ac:dyDescent="0.25">
      <c r="A83" s="9" t="s">
        <v>156</v>
      </c>
      <c r="B83" s="9" t="s">
        <v>90</v>
      </c>
      <c r="C83" s="168">
        <v>163</v>
      </c>
      <c r="D83" s="168">
        <v>90</v>
      </c>
      <c r="E83" s="168">
        <v>0</v>
      </c>
    </row>
    <row r="84" spans="1:5" x14ac:dyDescent="0.25">
      <c r="A84" s="9" t="s">
        <v>156</v>
      </c>
      <c r="B84" s="9" t="s">
        <v>94</v>
      </c>
      <c r="C84" s="168">
        <v>364</v>
      </c>
      <c r="D84" s="168">
        <v>80</v>
      </c>
      <c r="E84" s="168">
        <v>0</v>
      </c>
    </row>
    <row r="85" spans="1:5" x14ac:dyDescent="0.25">
      <c r="A85" s="9" t="s">
        <v>156</v>
      </c>
      <c r="B85" s="9" t="s">
        <v>99</v>
      </c>
      <c r="C85" s="168">
        <v>598</v>
      </c>
      <c r="D85" s="168">
        <v>90</v>
      </c>
      <c r="E85" s="168">
        <v>0</v>
      </c>
    </row>
    <row r="86" spans="1:5" x14ac:dyDescent="0.25">
      <c r="A86" s="9" t="s">
        <v>156</v>
      </c>
      <c r="B86" s="9" t="s">
        <v>335</v>
      </c>
      <c r="C86" s="168">
        <v>312</v>
      </c>
      <c r="D86" s="168">
        <v>80</v>
      </c>
      <c r="E86" s="168">
        <v>0</v>
      </c>
    </row>
    <row r="87" spans="1:5" x14ac:dyDescent="0.25">
      <c r="A87" s="9" t="s">
        <v>156</v>
      </c>
      <c r="B87" s="9" t="s">
        <v>110</v>
      </c>
      <c r="C87" s="168">
        <v>345</v>
      </c>
      <c r="D87" s="168">
        <v>90</v>
      </c>
      <c r="E87" s="168">
        <v>0</v>
      </c>
    </row>
    <row r="88" spans="1:5" x14ac:dyDescent="0.25">
      <c r="A88" s="9" t="s">
        <v>155</v>
      </c>
      <c r="B88" s="9" t="s">
        <v>10</v>
      </c>
      <c r="C88" s="168">
        <v>0</v>
      </c>
      <c r="D88" s="168">
        <v>75</v>
      </c>
      <c r="E88" s="168">
        <v>0</v>
      </c>
    </row>
    <row r="89" spans="1:5" x14ac:dyDescent="0.25">
      <c r="A89" s="9" t="s">
        <v>155</v>
      </c>
      <c r="B89" s="9" t="s">
        <v>11</v>
      </c>
      <c r="C89" s="168">
        <v>267</v>
      </c>
      <c r="D89" s="168">
        <v>140</v>
      </c>
      <c r="E89" s="168">
        <v>0</v>
      </c>
    </row>
    <row r="90" spans="1:5" x14ac:dyDescent="0.25">
      <c r="A90" s="9" t="s">
        <v>155</v>
      </c>
      <c r="B90" s="9" t="s">
        <v>350</v>
      </c>
      <c r="C90" s="168">
        <v>592</v>
      </c>
      <c r="D90" s="168">
        <v>80</v>
      </c>
      <c r="E90" s="168">
        <v>0</v>
      </c>
    </row>
    <row r="91" spans="1:5" x14ac:dyDescent="0.25">
      <c r="A91" s="9" t="s">
        <v>155</v>
      </c>
      <c r="B91" s="9" t="s">
        <v>26</v>
      </c>
      <c r="C91" s="168">
        <v>0</v>
      </c>
      <c r="D91" s="168">
        <v>75</v>
      </c>
      <c r="E91" s="168">
        <v>11</v>
      </c>
    </row>
    <row r="92" spans="1:5" x14ac:dyDescent="0.25">
      <c r="A92" s="9" t="s">
        <v>155</v>
      </c>
      <c r="B92" s="9" t="s">
        <v>337</v>
      </c>
      <c r="C92" s="168">
        <v>59</v>
      </c>
      <c r="D92" s="168">
        <v>80</v>
      </c>
      <c r="E92" s="168">
        <v>0</v>
      </c>
    </row>
    <row r="93" spans="1:5" x14ac:dyDescent="0.25">
      <c r="A93" s="9" t="s">
        <v>155</v>
      </c>
      <c r="B93" s="241" t="s">
        <v>48</v>
      </c>
      <c r="C93" s="168">
        <v>0</v>
      </c>
      <c r="D93" s="168">
        <v>140</v>
      </c>
      <c r="E93" s="168">
        <v>0</v>
      </c>
    </row>
    <row r="94" spans="1:5" x14ac:dyDescent="0.25">
      <c r="A94" s="9" t="s">
        <v>155</v>
      </c>
      <c r="B94" s="9" t="s">
        <v>89</v>
      </c>
      <c r="C94" s="168">
        <v>338</v>
      </c>
      <c r="D94" s="168">
        <v>80</v>
      </c>
      <c r="E94" s="168">
        <v>0</v>
      </c>
    </row>
    <row r="95" spans="1:5" x14ac:dyDescent="0.25">
      <c r="A95" s="9" t="s">
        <v>155</v>
      </c>
      <c r="B95" s="9" t="s">
        <v>92</v>
      </c>
      <c r="C95" s="168">
        <v>351</v>
      </c>
      <c r="D95" s="168">
        <v>80</v>
      </c>
      <c r="E95" s="168">
        <v>0</v>
      </c>
    </row>
    <row r="96" spans="1:5" x14ac:dyDescent="0.25">
      <c r="A96" s="9" t="s">
        <v>155</v>
      </c>
      <c r="B96" s="9" t="s">
        <v>351</v>
      </c>
      <c r="C96" s="168">
        <v>624</v>
      </c>
      <c r="D96" s="168">
        <v>70</v>
      </c>
      <c r="E96" s="168">
        <v>0</v>
      </c>
    </row>
    <row r="97" spans="1:5" x14ac:dyDescent="0.25">
      <c r="A97" s="9" t="s">
        <v>155</v>
      </c>
      <c r="B97" s="9" t="s">
        <v>345</v>
      </c>
      <c r="C97" s="168">
        <v>254</v>
      </c>
      <c r="D97" s="168">
        <v>80</v>
      </c>
      <c r="E97" s="168">
        <v>0</v>
      </c>
    </row>
    <row r="98" spans="1:5" x14ac:dyDescent="0.25">
      <c r="A98" s="9" t="s">
        <v>155</v>
      </c>
      <c r="B98" s="9" t="s">
        <v>38</v>
      </c>
      <c r="C98" s="168">
        <v>559</v>
      </c>
      <c r="D98" s="168">
        <v>80</v>
      </c>
      <c r="E98" s="168">
        <v>0</v>
      </c>
    </row>
    <row r="99" spans="1:5" x14ac:dyDescent="0.25">
      <c r="A99" s="9" t="s">
        <v>165</v>
      </c>
      <c r="B99" s="9" t="s">
        <v>32</v>
      </c>
      <c r="C99" s="168">
        <v>403</v>
      </c>
      <c r="D99" s="168">
        <v>80</v>
      </c>
      <c r="E99" s="168">
        <v>0</v>
      </c>
    </row>
    <row r="100" spans="1:5" x14ac:dyDescent="0.25">
      <c r="A100" s="9" t="s">
        <v>165</v>
      </c>
      <c r="B100" s="9" t="s">
        <v>46</v>
      </c>
      <c r="C100" s="168">
        <v>351</v>
      </c>
      <c r="D100" s="168">
        <v>80</v>
      </c>
      <c r="E100" s="168">
        <v>0</v>
      </c>
    </row>
    <row r="101" spans="1:5" x14ac:dyDescent="0.25">
      <c r="A101" s="9" t="s">
        <v>165</v>
      </c>
      <c r="B101" s="9" t="s">
        <v>51</v>
      </c>
      <c r="C101" s="168">
        <v>0</v>
      </c>
      <c r="D101" s="168">
        <v>75</v>
      </c>
      <c r="E101" s="168">
        <v>20</v>
      </c>
    </row>
    <row r="102" spans="1:5" x14ac:dyDescent="0.25">
      <c r="A102" s="9" t="s">
        <v>165</v>
      </c>
      <c r="B102" s="9" t="s">
        <v>75</v>
      </c>
      <c r="C102" s="168">
        <v>410</v>
      </c>
      <c r="D102" s="168">
        <v>90</v>
      </c>
      <c r="E102" s="168">
        <v>0</v>
      </c>
    </row>
    <row r="103" spans="1:5" x14ac:dyDescent="0.25">
      <c r="A103" s="9" t="s">
        <v>165</v>
      </c>
      <c r="B103" s="9" t="s">
        <v>364</v>
      </c>
      <c r="C103" s="168">
        <v>676</v>
      </c>
      <c r="D103" s="168">
        <v>70</v>
      </c>
      <c r="E103" s="168">
        <v>0</v>
      </c>
    </row>
    <row r="104" spans="1:5" x14ac:dyDescent="0.25">
      <c r="A104" s="9" t="s">
        <v>165</v>
      </c>
      <c r="B104" s="9" t="s">
        <v>356</v>
      </c>
      <c r="C104" s="168">
        <v>0</v>
      </c>
      <c r="D104" s="168">
        <v>70</v>
      </c>
      <c r="E104" s="168">
        <v>0</v>
      </c>
    </row>
    <row r="105" spans="1:5" x14ac:dyDescent="0.25">
      <c r="A105" s="9" t="s">
        <v>165</v>
      </c>
      <c r="B105" s="9" t="s">
        <v>85</v>
      </c>
      <c r="C105" s="168">
        <v>338</v>
      </c>
      <c r="D105" s="168">
        <v>80</v>
      </c>
      <c r="E105" s="168">
        <v>0</v>
      </c>
    </row>
    <row r="106" spans="1:5" x14ac:dyDescent="0.25">
      <c r="A106" s="9" t="s">
        <v>162</v>
      </c>
      <c r="B106" s="9" t="s">
        <v>12</v>
      </c>
      <c r="C106" s="168">
        <v>400</v>
      </c>
      <c r="D106" s="168">
        <v>150</v>
      </c>
      <c r="E106" s="168">
        <v>0</v>
      </c>
    </row>
    <row r="107" spans="1:5" x14ac:dyDescent="0.25">
      <c r="A107" s="9" t="s">
        <v>162</v>
      </c>
      <c r="B107" s="9" t="s">
        <v>18</v>
      </c>
      <c r="C107" s="168">
        <v>0</v>
      </c>
      <c r="D107" s="168">
        <v>80</v>
      </c>
      <c r="E107" s="168">
        <v>0</v>
      </c>
    </row>
    <row r="108" spans="1:5" x14ac:dyDescent="0.25">
      <c r="A108" s="9" t="s">
        <v>162</v>
      </c>
      <c r="B108" s="9" t="s">
        <v>23</v>
      </c>
      <c r="C108" s="168">
        <v>0</v>
      </c>
      <c r="D108" s="168">
        <v>80</v>
      </c>
      <c r="E108" s="168">
        <v>0</v>
      </c>
    </row>
    <row r="109" spans="1:5" x14ac:dyDescent="0.25">
      <c r="A109" s="9" t="s">
        <v>162</v>
      </c>
      <c r="B109" s="9" t="s">
        <v>24</v>
      </c>
      <c r="C109" s="168">
        <v>0</v>
      </c>
      <c r="D109" s="168">
        <v>80</v>
      </c>
      <c r="E109" s="168">
        <v>0</v>
      </c>
    </row>
    <row r="110" spans="1:5" x14ac:dyDescent="0.25">
      <c r="A110" s="9" t="s">
        <v>162</v>
      </c>
      <c r="B110" s="9" t="s">
        <v>25</v>
      </c>
      <c r="C110" s="168">
        <v>0</v>
      </c>
      <c r="D110" s="168">
        <v>75</v>
      </c>
      <c r="E110" s="168">
        <v>13</v>
      </c>
    </row>
    <row r="111" spans="1:5" x14ac:dyDescent="0.25">
      <c r="A111" s="9" t="s">
        <v>162</v>
      </c>
      <c r="B111" s="197" t="s">
        <v>27</v>
      </c>
      <c r="C111" s="168">
        <v>325</v>
      </c>
      <c r="D111" s="168">
        <v>80</v>
      </c>
      <c r="E111" s="168">
        <v>0</v>
      </c>
    </row>
    <row r="112" spans="1:5" x14ac:dyDescent="0.25">
      <c r="A112" s="9" t="s">
        <v>162</v>
      </c>
      <c r="B112" s="9" t="s">
        <v>42</v>
      </c>
      <c r="C112" s="168">
        <v>0</v>
      </c>
      <c r="D112" s="168">
        <v>90</v>
      </c>
      <c r="E112" s="168">
        <v>0</v>
      </c>
    </row>
    <row r="113" spans="1:5" x14ac:dyDescent="0.25">
      <c r="A113" s="9" t="s">
        <v>162</v>
      </c>
      <c r="B113" s="9" t="s">
        <v>45</v>
      </c>
      <c r="C113" s="168">
        <v>0</v>
      </c>
      <c r="D113" s="168">
        <v>90</v>
      </c>
      <c r="E113" s="168">
        <v>0</v>
      </c>
    </row>
    <row r="114" spans="1:5" x14ac:dyDescent="0.25">
      <c r="A114" s="9" t="s">
        <v>162</v>
      </c>
      <c r="B114" s="9" t="s">
        <v>63</v>
      </c>
      <c r="C114" s="168">
        <v>0</v>
      </c>
      <c r="D114" s="168">
        <v>80</v>
      </c>
      <c r="E114" s="168">
        <v>0</v>
      </c>
    </row>
    <row r="115" spans="1:5" x14ac:dyDescent="0.25">
      <c r="A115" s="9" t="s">
        <v>162</v>
      </c>
      <c r="B115" s="9" t="s">
        <v>68</v>
      </c>
      <c r="C115" s="168">
        <v>247</v>
      </c>
      <c r="D115" s="168">
        <v>80</v>
      </c>
      <c r="E115" s="168">
        <v>0</v>
      </c>
    </row>
    <row r="116" spans="1:5" x14ac:dyDescent="0.25">
      <c r="A116" s="9" t="s">
        <v>162</v>
      </c>
      <c r="B116" s="9" t="s">
        <v>100</v>
      </c>
      <c r="C116" s="168">
        <v>0</v>
      </c>
      <c r="D116" s="168">
        <v>90</v>
      </c>
      <c r="E116" s="168">
        <v>0</v>
      </c>
    </row>
    <row r="117" spans="1:5" x14ac:dyDescent="0.25">
      <c r="A117" s="9" t="s">
        <v>162</v>
      </c>
      <c r="B117" s="9" t="s">
        <v>109</v>
      </c>
      <c r="C117" s="168">
        <v>247</v>
      </c>
      <c r="D117" s="168">
        <v>80</v>
      </c>
      <c r="E117" s="168">
        <v>0</v>
      </c>
    </row>
    <row r="118" spans="1:5" x14ac:dyDescent="0.25">
      <c r="A118" s="9" t="s">
        <v>162</v>
      </c>
      <c r="B118" s="9" t="s">
        <v>114</v>
      </c>
      <c r="C118" s="168">
        <v>0</v>
      </c>
      <c r="D118" s="168">
        <v>90</v>
      </c>
      <c r="E118" s="168">
        <v>0</v>
      </c>
    </row>
    <row r="119" spans="1:5" x14ac:dyDescent="0.25">
      <c r="A119" s="9" t="s">
        <v>160</v>
      </c>
      <c r="B119" s="9" t="s">
        <v>248</v>
      </c>
      <c r="C119" s="168">
        <v>416</v>
      </c>
      <c r="D119" s="168">
        <v>80</v>
      </c>
      <c r="E119" s="168">
        <v>0</v>
      </c>
    </row>
    <row r="120" spans="1:5" x14ac:dyDescent="0.25">
      <c r="A120" s="9" t="s">
        <v>160</v>
      </c>
      <c r="B120" s="9" t="s">
        <v>9</v>
      </c>
      <c r="C120" s="168">
        <v>351</v>
      </c>
      <c r="D120" s="168">
        <v>70</v>
      </c>
      <c r="E120" s="168">
        <v>0</v>
      </c>
    </row>
    <row r="121" spans="1:5" x14ac:dyDescent="0.25">
      <c r="A121" s="9" t="s">
        <v>160</v>
      </c>
      <c r="B121" s="9" t="s">
        <v>14</v>
      </c>
      <c r="C121" s="168">
        <v>0</v>
      </c>
      <c r="D121" s="168">
        <v>80</v>
      </c>
      <c r="E121" s="168">
        <v>0</v>
      </c>
    </row>
    <row r="122" spans="1:5" x14ac:dyDescent="0.25">
      <c r="A122" s="9" t="s">
        <v>160</v>
      </c>
      <c r="B122" s="9" t="s">
        <v>352</v>
      </c>
      <c r="C122" s="168">
        <v>0</v>
      </c>
      <c r="D122" s="168">
        <v>80</v>
      </c>
      <c r="E122" s="168">
        <v>0</v>
      </c>
    </row>
    <row r="123" spans="1:5" x14ac:dyDescent="0.25">
      <c r="A123" s="9" t="s">
        <v>160</v>
      </c>
      <c r="B123" s="9" t="s">
        <v>249</v>
      </c>
      <c r="C123" s="168">
        <v>0</v>
      </c>
      <c r="D123" s="168">
        <v>80</v>
      </c>
      <c r="E123" s="168">
        <v>0</v>
      </c>
    </row>
    <row r="124" spans="1:5" x14ac:dyDescent="0.25">
      <c r="A124" s="9" t="s">
        <v>160</v>
      </c>
      <c r="B124" s="9" t="s">
        <v>80</v>
      </c>
      <c r="C124" s="168">
        <v>462</v>
      </c>
      <c r="D124" s="168">
        <v>90</v>
      </c>
      <c r="E124" s="168">
        <v>0</v>
      </c>
    </row>
    <row r="125" spans="1:5" x14ac:dyDescent="0.25">
      <c r="A125" s="9" t="s">
        <v>160</v>
      </c>
      <c r="B125" s="9" t="s">
        <v>78</v>
      </c>
      <c r="C125" s="168">
        <v>0</v>
      </c>
      <c r="D125" s="168">
        <v>70</v>
      </c>
      <c r="E125" s="168">
        <v>0</v>
      </c>
    </row>
    <row r="126" spans="1:5" x14ac:dyDescent="0.25">
      <c r="A126" s="9" t="s">
        <v>160</v>
      </c>
      <c r="B126" s="9" t="s">
        <v>97</v>
      </c>
      <c r="C126" s="168">
        <v>0</v>
      </c>
      <c r="D126" s="168">
        <v>80</v>
      </c>
      <c r="E126" s="168">
        <v>0</v>
      </c>
    </row>
    <row r="127" spans="1:5" x14ac:dyDescent="0.25">
      <c r="A127" s="9" t="s">
        <v>160</v>
      </c>
      <c r="B127" s="9" t="s">
        <v>211</v>
      </c>
      <c r="C127" s="168">
        <v>332</v>
      </c>
      <c r="D127" s="168">
        <v>80</v>
      </c>
      <c r="E127" s="168">
        <v>0</v>
      </c>
    </row>
    <row r="128" spans="1:5" x14ac:dyDescent="0.25">
      <c r="A128" s="9" t="s">
        <v>160</v>
      </c>
      <c r="B128" s="9" t="s">
        <v>116</v>
      </c>
      <c r="C128" s="168">
        <v>0</v>
      </c>
      <c r="D128" s="168">
        <v>80</v>
      </c>
      <c r="E128" s="168">
        <v>0</v>
      </c>
    </row>
    <row r="129" spans="1:5" x14ac:dyDescent="0.25">
      <c r="A129" s="9" t="s">
        <v>164</v>
      </c>
      <c r="B129" s="9" t="s">
        <v>29</v>
      </c>
      <c r="C129" s="168">
        <v>0</v>
      </c>
      <c r="D129" s="168">
        <v>80</v>
      </c>
      <c r="E129" s="168">
        <v>0</v>
      </c>
    </row>
    <row r="130" spans="1:5" x14ac:dyDescent="0.25">
      <c r="A130" s="9" t="s">
        <v>164</v>
      </c>
      <c r="B130" s="9" t="s">
        <v>44</v>
      </c>
      <c r="C130" s="168">
        <v>280</v>
      </c>
      <c r="D130" s="168">
        <v>140</v>
      </c>
      <c r="E130" s="168">
        <v>0</v>
      </c>
    </row>
    <row r="131" spans="1:5" x14ac:dyDescent="0.25">
      <c r="A131" s="9" t="s">
        <v>164</v>
      </c>
      <c r="B131" s="9" t="s">
        <v>47</v>
      </c>
      <c r="C131" s="168">
        <v>241</v>
      </c>
      <c r="D131" s="168">
        <v>80</v>
      </c>
      <c r="E131" s="168">
        <v>0</v>
      </c>
    </row>
    <row r="132" spans="1:5" x14ac:dyDescent="0.25">
      <c r="A132" s="9" t="s">
        <v>164</v>
      </c>
      <c r="B132" s="9" t="s">
        <v>225</v>
      </c>
      <c r="C132" s="168">
        <v>273</v>
      </c>
      <c r="D132" s="168">
        <v>140</v>
      </c>
      <c r="E132" s="168">
        <v>0</v>
      </c>
    </row>
    <row r="133" spans="1:5" x14ac:dyDescent="0.25">
      <c r="A133" s="9" t="s">
        <v>164</v>
      </c>
      <c r="B133" s="9" t="s">
        <v>55</v>
      </c>
      <c r="C133" s="168">
        <v>143</v>
      </c>
      <c r="D133" s="168">
        <v>140</v>
      </c>
      <c r="E133" s="168">
        <v>0</v>
      </c>
    </row>
    <row r="134" spans="1:5" x14ac:dyDescent="0.25">
      <c r="A134" s="9" t="s">
        <v>164</v>
      </c>
      <c r="B134" s="9" t="s">
        <v>59</v>
      </c>
      <c r="C134" s="168">
        <v>481</v>
      </c>
      <c r="D134" s="168">
        <v>140</v>
      </c>
      <c r="E134" s="168">
        <v>0</v>
      </c>
    </row>
    <row r="135" spans="1:5" x14ac:dyDescent="0.25">
      <c r="A135" s="9" t="s">
        <v>164</v>
      </c>
      <c r="B135" s="195" t="s">
        <v>67</v>
      </c>
      <c r="C135" s="168">
        <v>0</v>
      </c>
      <c r="D135" s="168">
        <v>75</v>
      </c>
      <c r="E135" s="168">
        <v>69</v>
      </c>
    </row>
    <row r="136" spans="1:5" x14ac:dyDescent="0.25">
      <c r="A136" s="9" t="s">
        <v>164</v>
      </c>
      <c r="B136" s="9" t="s">
        <v>72</v>
      </c>
      <c r="C136" s="168">
        <v>273</v>
      </c>
      <c r="D136" s="168">
        <v>80</v>
      </c>
      <c r="E136" s="168">
        <v>0</v>
      </c>
    </row>
    <row r="137" spans="1:5" x14ac:dyDescent="0.25">
      <c r="A137" s="9" t="s">
        <v>164</v>
      </c>
      <c r="B137" s="9" t="s">
        <v>43</v>
      </c>
      <c r="C137" s="168">
        <v>553</v>
      </c>
      <c r="D137" s="168">
        <v>140</v>
      </c>
      <c r="E137" s="168">
        <v>0</v>
      </c>
    </row>
    <row r="138" spans="1:5" x14ac:dyDescent="0.25">
      <c r="A138" s="9" t="s">
        <v>164</v>
      </c>
      <c r="B138" s="9" t="s">
        <v>342</v>
      </c>
      <c r="C138" s="168">
        <v>0</v>
      </c>
      <c r="D138" s="168">
        <v>80</v>
      </c>
      <c r="E138" s="168">
        <v>0</v>
      </c>
    </row>
    <row r="139" spans="1:5" x14ac:dyDescent="0.25">
      <c r="A139" s="9" t="s">
        <v>164</v>
      </c>
      <c r="B139" s="9" t="s">
        <v>108</v>
      </c>
      <c r="C139" s="168">
        <v>0</v>
      </c>
      <c r="D139" s="168">
        <v>75</v>
      </c>
      <c r="E139" s="168">
        <v>26</v>
      </c>
    </row>
    <row r="140" spans="1:5" x14ac:dyDescent="0.25">
      <c r="A140" s="9" t="s">
        <v>157</v>
      </c>
      <c r="B140" s="9" t="s">
        <v>226</v>
      </c>
      <c r="C140" s="168">
        <v>771</v>
      </c>
      <c r="D140" s="168">
        <v>0</v>
      </c>
      <c r="E140" s="168">
        <v>0</v>
      </c>
    </row>
    <row r="141" spans="1:5" x14ac:dyDescent="0.25">
      <c r="A141" s="9" t="s">
        <v>154</v>
      </c>
      <c r="B141" s="9" t="s">
        <v>227</v>
      </c>
      <c r="C141" s="168">
        <v>642</v>
      </c>
      <c r="D141" s="168">
        <v>50</v>
      </c>
      <c r="E141" s="168">
        <v>0</v>
      </c>
    </row>
    <row r="142" spans="1:5" x14ac:dyDescent="0.25">
      <c r="A142" s="9" t="s">
        <v>154</v>
      </c>
      <c r="B142" s="9" t="s">
        <v>230</v>
      </c>
      <c r="C142" s="168">
        <v>385</v>
      </c>
      <c r="D142" s="168">
        <v>50</v>
      </c>
      <c r="E142" s="168">
        <v>0</v>
      </c>
    </row>
    <row r="143" spans="1:5" x14ac:dyDescent="0.25">
      <c r="A143" s="9" t="s">
        <v>164</v>
      </c>
      <c r="B143" s="9" t="s">
        <v>229</v>
      </c>
      <c r="C143" s="168">
        <v>786</v>
      </c>
      <c r="D143" s="168"/>
      <c r="E143" s="168">
        <v>0</v>
      </c>
    </row>
    <row r="144" spans="1:5" x14ac:dyDescent="0.25">
      <c r="A144" s="9" t="s">
        <v>164</v>
      </c>
      <c r="B144" s="9" t="s">
        <v>228</v>
      </c>
      <c r="C144" s="168">
        <v>633</v>
      </c>
      <c r="D144" s="168">
        <v>50</v>
      </c>
      <c r="E144" s="168">
        <v>0</v>
      </c>
    </row>
    <row r="145" spans="1:6" x14ac:dyDescent="0.25">
      <c r="A145" s="9" t="s">
        <v>166</v>
      </c>
      <c r="B145" s="9" t="s">
        <v>149</v>
      </c>
      <c r="C145" s="168">
        <v>671</v>
      </c>
      <c r="D145" s="168">
        <v>350</v>
      </c>
      <c r="E145" s="168">
        <v>0</v>
      </c>
    </row>
    <row r="146" spans="1:6" x14ac:dyDescent="0.25">
      <c r="A146" s="9" t="s">
        <v>157</v>
      </c>
      <c r="B146" s="9" t="s">
        <v>151</v>
      </c>
      <c r="C146" s="168">
        <v>413</v>
      </c>
      <c r="D146" s="168"/>
      <c r="E146" s="168">
        <v>176</v>
      </c>
    </row>
    <row r="147" spans="1:6" x14ac:dyDescent="0.25">
      <c r="A147" s="9" t="s">
        <v>157</v>
      </c>
      <c r="B147" s="9" t="s">
        <v>142</v>
      </c>
      <c r="C147" s="168">
        <v>302</v>
      </c>
      <c r="D147" s="168"/>
      <c r="E147" s="168">
        <v>1211</v>
      </c>
      <c r="F147" s="242"/>
    </row>
    <row r="148" spans="1:6" x14ac:dyDescent="0.25">
      <c r="A148" s="9" t="s">
        <v>154</v>
      </c>
      <c r="B148" s="9" t="s">
        <v>134</v>
      </c>
      <c r="C148" s="168">
        <v>508</v>
      </c>
      <c r="D148" s="168"/>
      <c r="E148" s="168">
        <v>75</v>
      </c>
      <c r="F148" s="242"/>
    </row>
    <row r="149" spans="1:6" x14ac:dyDescent="0.25">
      <c r="A149" s="9" t="s">
        <v>153</v>
      </c>
      <c r="B149" s="9" t="s">
        <v>133</v>
      </c>
      <c r="C149" s="168">
        <v>692</v>
      </c>
      <c r="D149" s="168"/>
      <c r="E149" s="168">
        <v>75</v>
      </c>
      <c r="F149" s="242"/>
    </row>
    <row r="150" spans="1:6" x14ac:dyDescent="0.25">
      <c r="A150" s="9" t="s">
        <v>158</v>
      </c>
      <c r="B150" s="9" t="s">
        <v>137</v>
      </c>
      <c r="C150" s="168">
        <v>395</v>
      </c>
      <c r="D150" s="168"/>
      <c r="E150" s="168">
        <v>187</v>
      </c>
      <c r="F150" s="242"/>
    </row>
    <row r="151" spans="1:6" x14ac:dyDescent="0.25">
      <c r="A151" s="9" t="s">
        <v>158</v>
      </c>
      <c r="B151" s="9" t="s">
        <v>362</v>
      </c>
      <c r="C151" s="168">
        <v>441</v>
      </c>
      <c r="D151" s="168"/>
      <c r="E151" s="168">
        <v>192</v>
      </c>
      <c r="F151" s="242"/>
    </row>
    <row r="152" spans="1:6" x14ac:dyDescent="0.25">
      <c r="A152" s="9" t="s">
        <v>166</v>
      </c>
      <c r="B152" s="9" t="s">
        <v>111</v>
      </c>
      <c r="C152" s="168">
        <v>543</v>
      </c>
      <c r="D152" s="168"/>
      <c r="E152" s="168">
        <v>75</v>
      </c>
      <c r="F152" s="242"/>
    </row>
    <row r="153" spans="1:6" x14ac:dyDescent="0.25">
      <c r="A153" s="9" t="s">
        <v>161</v>
      </c>
      <c r="B153" s="203" t="s">
        <v>152</v>
      </c>
      <c r="C153" s="168">
        <v>492</v>
      </c>
      <c r="D153" s="168"/>
      <c r="E153" s="168">
        <v>209</v>
      </c>
      <c r="F153" s="242"/>
    </row>
    <row r="154" spans="1:6" x14ac:dyDescent="0.25">
      <c r="A154" s="9" t="s">
        <v>161</v>
      </c>
      <c r="B154" s="9" t="s">
        <v>148</v>
      </c>
      <c r="C154" s="168">
        <v>686</v>
      </c>
      <c r="D154" s="168"/>
      <c r="E154" s="168">
        <v>248</v>
      </c>
      <c r="F154" s="242"/>
    </row>
    <row r="155" spans="1:6" x14ac:dyDescent="0.25">
      <c r="A155" s="9" t="s">
        <v>156</v>
      </c>
      <c r="B155" s="9" t="s">
        <v>144</v>
      </c>
      <c r="C155" s="168">
        <v>478</v>
      </c>
      <c r="D155" s="168"/>
      <c r="E155" s="168">
        <v>80</v>
      </c>
      <c r="F155" s="242"/>
    </row>
    <row r="156" spans="1:6" x14ac:dyDescent="0.25">
      <c r="A156" s="9" t="s">
        <v>156</v>
      </c>
      <c r="B156" s="9" t="s">
        <v>136</v>
      </c>
      <c r="C156" s="168">
        <v>656</v>
      </c>
      <c r="D156" s="168"/>
      <c r="E156" s="168">
        <v>83</v>
      </c>
      <c r="F156" s="242"/>
    </row>
    <row r="157" spans="1:6" x14ac:dyDescent="0.25">
      <c r="A157" s="9" t="s">
        <v>155</v>
      </c>
      <c r="B157" s="9" t="s">
        <v>147</v>
      </c>
      <c r="C157" s="168">
        <v>689</v>
      </c>
      <c r="D157" s="168"/>
      <c r="E157" s="168">
        <v>196</v>
      </c>
      <c r="F157" s="242"/>
    </row>
    <row r="158" spans="1:6" x14ac:dyDescent="0.25">
      <c r="A158" s="9" t="s">
        <v>155</v>
      </c>
      <c r="B158" s="9" t="s">
        <v>135</v>
      </c>
      <c r="C158" s="168">
        <v>692</v>
      </c>
      <c r="D158" s="168"/>
      <c r="E158" s="168">
        <v>220</v>
      </c>
      <c r="F158" s="242"/>
    </row>
    <row r="159" spans="1:6" x14ac:dyDescent="0.25">
      <c r="A159" s="9" t="s">
        <v>155</v>
      </c>
      <c r="B159" s="9" t="s">
        <v>357</v>
      </c>
      <c r="C159" s="168">
        <v>474</v>
      </c>
      <c r="D159" s="168"/>
      <c r="E159" s="168">
        <v>183</v>
      </c>
      <c r="F159" s="242"/>
    </row>
    <row r="160" spans="1:6" x14ac:dyDescent="0.25">
      <c r="A160" s="9" t="s">
        <v>165</v>
      </c>
      <c r="B160" s="9" t="s">
        <v>71</v>
      </c>
      <c r="C160" s="168">
        <v>515</v>
      </c>
      <c r="D160" s="168"/>
      <c r="E160" s="168">
        <v>254</v>
      </c>
      <c r="F160" s="242"/>
    </row>
    <row r="161" spans="1:6" x14ac:dyDescent="0.25">
      <c r="A161" s="9" t="s">
        <v>162</v>
      </c>
      <c r="B161" s="9" t="s">
        <v>140</v>
      </c>
      <c r="C161" s="168">
        <v>367</v>
      </c>
      <c r="D161" s="168"/>
      <c r="E161" s="168">
        <v>160</v>
      </c>
      <c r="F161" s="242"/>
    </row>
    <row r="162" spans="1:6" x14ac:dyDescent="0.25">
      <c r="A162" s="9" t="s">
        <v>162</v>
      </c>
      <c r="B162" s="9" t="s">
        <v>141</v>
      </c>
      <c r="C162" s="168">
        <v>454</v>
      </c>
      <c r="D162" s="168"/>
      <c r="E162" s="168">
        <v>245</v>
      </c>
      <c r="F162" s="242"/>
    </row>
    <row r="163" spans="1:6" x14ac:dyDescent="0.25">
      <c r="A163" s="9" t="s">
        <v>162</v>
      </c>
      <c r="B163" s="9" t="s">
        <v>150</v>
      </c>
      <c r="C163" s="168">
        <v>334</v>
      </c>
      <c r="D163" s="168"/>
      <c r="E163" s="168">
        <v>163</v>
      </c>
      <c r="F163" s="242"/>
    </row>
    <row r="164" spans="1:6" x14ac:dyDescent="0.25">
      <c r="A164" s="9" t="s">
        <v>160</v>
      </c>
      <c r="B164" s="203" t="s">
        <v>145</v>
      </c>
      <c r="C164" s="168">
        <v>490</v>
      </c>
      <c r="D164" s="168">
        <v>250</v>
      </c>
      <c r="E164" s="168">
        <v>544</v>
      </c>
      <c r="F164" s="242"/>
    </row>
    <row r="165" spans="1:6" x14ac:dyDescent="0.25">
      <c r="A165" s="9" t="s">
        <v>160</v>
      </c>
      <c r="B165" s="9" t="s">
        <v>139</v>
      </c>
      <c r="C165" s="168">
        <v>552</v>
      </c>
      <c r="D165" s="168"/>
      <c r="E165" s="168">
        <v>123</v>
      </c>
      <c r="F165" s="242"/>
    </row>
    <row r="166" spans="1:6" x14ac:dyDescent="0.25">
      <c r="A166" s="9" t="s">
        <v>159</v>
      </c>
      <c r="B166" s="9" t="s">
        <v>138</v>
      </c>
      <c r="C166" s="168">
        <v>106</v>
      </c>
      <c r="D166" s="168"/>
      <c r="E166" s="168">
        <v>30</v>
      </c>
      <c r="F166" s="242"/>
    </row>
    <row r="167" spans="1:6" x14ac:dyDescent="0.25">
      <c r="A167" s="9" t="s">
        <v>164</v>
      </c>
      <c r="B167" s="9" t="s">
        <v>21</v>
      </c>
      <c r="C167" s="168">
        <v>316</v>
      </c>
      <c r="D167" s="168"/>
      <c r="E167" s="168">
        <v>156</v>
      </c>
      <c r="F167" s="242"/>
    </row>
    <row r="168" spans="1:6" x14ac:dyDescent="0.25">
      <c r="A168" s="9" t="s">
        <v>164</v>
      </c>
      <c r="B168" s="9" t="s">
        <v>143</v>
      </c>
      <c r="C168" s="168">
        <v>635</v>
      </c>
      <c r="D168" s="168"/>
      <c r="E168" s="168">
        <v>167</v>
      </c>
    </row>
    <row r="169" spans="1:6" x14ac:dyDescent="0.25">
      <c r="A169" s="9" t="s">
        <v>164</v>
      </c>
      <c r="B169" t="s">
        <v>146</v>
      </c>
      <c r="C169" s="168">
        <v>182</v>
      </c>
      <c r="D169" s="168"/>
      <c r="E169" s="168">
        <v>68</v>
      </c>
    </row>
    <row r="170" spans="1:6" x14ac:dyDescent="0.25">
      <c r="A170" s="9" t="s">
        <v>157</v>
      </c>
      <c r="B170" s="9" t="s">
        <v>346</v>
      </c>
      <c r="C170" s="168">
        <v>0</v>
      </c>
      <c r="D170" s="168">
        <v>70</v>
      </c>
      <c r="E170" s="168">
        <v>87</v>
      </c>
    </row>
    <row r="171" spans="1:6" x14ac:dyDescent="0.25">
      <c r="A171" s="9" t="s">
        <v>157</v>
      </c>
      <c r="B171" s="9" t="s">
        <v>366</v>
      </c>
      <c r="C171" s="168">
        <v>0</v>
      </c>
      <c r="D171" s="168">
        <v>70</v>
      </c>
      <c r="E171" s="168">
        <v>95</v>
      </c>
    </row>
    <row r="172" spans="1:6" x14ac:dyDescent="0.25">
      <c r="A172" s="9" t="s">
        <v>154</v>
      </c>
      <c r="B172" s="9" t="s">
        <v>367</v>
      </c>
      <c r="C172" s="168">
        <v>0</v>
      </c>
      <c r="D172" s="168">
        <v>120</v>
      </c>
      <c r="E172" s="168">
        <v>35</v>
      </c>
    </row>
    <row r="173" spans="1:6" x14ac:dyDescent="0.25">
      <c r="A173" s="9" t="s">
        <v>163</v>
      </c>
      <c r="B173" s="9" t="s">
        <v>368</v>
      </c>
      <c r="C173" s="168">
        <v>0</v>
      </c>
      <c r="D173" s="168">
        <v>70</v>
      </c>
      <c r="E173" s="168">
        <v>0</v>
      </c>
    </row>
    <row r="174" spans="1:6" x14ac:dyDescent="0.25">
      <c r="A174" s="9" t="s">
        <v>158</v>
      </c>
      <c r="B174" s="9" t="s">
        <v>369</v>
      </c>
      <c r="C174" s="168">
        <v>0</v>
      </c>
      <c r="D174" s="168">
        <v>120</v>
      </c>
      <c r="E174" s="168">
        <v>373</v>
      </c>
    </row>
    <row r="175" spans="1:6" x14ac:dyDescent="0.25">
      <c r="A175" s="9" t="s">
        <v>161</v>
      </c>
      <c r="B175" s="9" t="s">
        <v>370</v>
      </c>
      <c r="C175" s="168">
        <v>0</v>
      </c>
      <c r="D175" s="168">
        <v>120</v>
      </c>
      <c r="E175" s="168">
        <v>0</v>
      </c>
    </row>
    <row r="176" spans="1:6" x14ac:dyDescent="0.25">
      <c r="A176" s="9" t="s">
        <v>156</v>
      </c>
      <c r="B176" s="9" t="s">
        <v>371</v>
      </c>
      <c r="C176" s="168">
        <v>0</v>
      </c>
      <c r="D176" s="168">
        <v>70</v>
      </c>
      <c r="E176" s="168">
        <v>102</v>
      </c>
    </row>
    <row r="177" spans="1:5" x14ac:dyDescent="0.25">
      <c r="A177" s="9" t="s">
        <v>156</v>
      </c>
      <c r="B177" s="9" t="s">
        <v>81</v>
      </c>
      <c r="C177" s="168">
        <v>0</v>
      </c>
      <c r="D177" s="168">
        <v>70</v>
      </c>
      <c r="E177" s="168">
        <v>0</v>
      </c>
    </row>
    <row r="178" spans="1:5" x14ac:dyDescent="0.25">
      <c r="A178" s="9" t="s">
        <v>155</v>
      </c>
      <c r="B178" s="9" t="s">
        <v>372</v>
      </c>
      <c r="C178" s="168">
        <v>0</v>
      </c>
      <c r="D178" s="168">
        <v>130</v>
      </c>
      <c r="E178" s="168">
        <v>0</v>
      </c>
    </row>
    <row r="179" spans="1:5" x14ac:dyDescent="0.25">
      <c r="A179" s="9" t="s">
        <v>162</v>
      </c>
      <c r="B179" s="9" t="s">
        <v>57</v>
      </c>
      <c r="C179" s="168">
        <v>0</v>
      </c>
      <c r="D179" s="168">
        <v>0</v>
      </c>
      <c r="E179" s="168">
        <v>0</v>
      </c>
    </row>
    <row r="180" spans="1:5" x14ac:dyDescent="0.25">
      <c r="A180" s="9" t="s">
        <v>162</v>
      </c>
      <c r="B180" s="9" t="s">
        <v>373</v>
      </c>
      <c r="C180" s="168">
        <v>0</v>
      </c>
      <c r="D180" s="168">
        <v>120</v>
      </c>
      <c r="E180" s="168">
        <v>117</v>
      </c>
    </row>
    <row r="181" spans="1:5" x14ac:dyDescent="0.25">
      <c r="A181" s="9" t="s">
        <v>160</v>
      </c>
      <c r="B181" s="9" t="s">
        <v>374</v>
      </c>
      <c r="C181" s="168">
        <v>0</v>
      </c>
      <c r="D181" s="168">
        <v>70</v>
      </c>
      <c r="E181" s="168">
        <v>36</v>
      </c>
    </row>
    <row r="182" spans="1:5" x14ac:dyDescent="0.25">
      <c r="A182" s="9" t="s">
        <v>160</v>
      </c>
      <c r="B182" s="9" t="s">
        <v>375</v>
      </c>
      <c r="C182" s="168">
        <v>0</v>
      </c>
      <c r="D182" s="168">
        <v>70</v>
      </c>
      <c r="E182" s="168">
        <v>44</v>
      </c>
    </row>
    <row r="183" spans="1:5" x14ac:dyDescent="0.25">
      <c r="A183" s="9" t="s">
        <v>377</v>
      </c>
      <c r="B183" s="9" t="s">
        <v>224</v>
      </c>
      <c r="C183" s="168">
        <v>0</v>
      </c>
      <c r="D183" s="168">
        <v>70</v>
      </c>
      <c r="E183" s="168">
        <v>110</v>
      </c>
    </row>
    <row r="184" spans="1:5" x14ac:dyDescent="0.25">
      <c r="A184" s="9" t="s">
        <v>377</v>
      </c>
      <c r="B184" s="9" t="s">
        <v>13</v>
      </c>
      <c r="C184" s="168">
        <v>0</v>
      </c>
      <c r="D184" s="168">
        <v>70</v>
      </c>
      <c r="E184" s="168">
        <v>98</v>
      </c>
    </row>
    <row r="185" spans="1:5" x14ac:dyDescent="0.25">
      <c r="A185" s="9" t="s">
        <v>377</v>
      </c>
      <c r="B185" s="9" t="s">
        <v>343</v>
      </c>
      <c r="C185" s="168">
        <v>0</v>
      </c>
      <c r="D185" s="168">
        <v>70</v>
      </c>
      <c r="E185" s="168">
        <v>0</v>
      </c>
    </row>
    <row r="186" spans="1:5" x14ac:dyDescent="0.25">
      <c r="A186" s="9" t="s">
        <v>377</v>
      </c>
      <c r="B186" s="9" t="s">
        <v>95</v>
      </c>
      <c r="C186" s="168">
        <v>0</v>
      </c>
      <c r="D186" s="168">
        <v>70</v>
      </c>
      <c r="E186" s="168">
        <v>77</v>
      </c>
    </row>
    <row r="187" spans="1:5" x14ac:dyDescent="0.25">
      <c r="A187" s="9" t="s">
        <v>377</v>
      </c>
      <c r="B187" s="9" t="s">
        <v>105</v>
      </c>
      <c r="C187" s="168">
        <v>0</v>
      </c>
      <c r="D187" s="168">
        <v>70</v>
      </c>
      <c r="E187" s="168">
        <v>128</v>
      </c>
    </row>
    <row r="188" spans="1:5" x14ac:dyDescent="0.25">
      <c r="A188" s="9" t="s">
        <v>164</v>
      </c>
      <c r="B188" s="9" t="s">
        <v>376</v>
      </c>
      <c r="C188" s="168">
        <v>0</v>
      </c>
      <c r="D188" s="168">
        <v>130</v>
      </c>
      <c r="E188" s="168">
        <v>291</v>
      </c>
    </row>
    <row r="189" spans="1:5" x14ac:dyDescent="0.25">
      <c r="A189" s="9" t="s">
        <v>158</v>
      </c>
      <c r="B189" s="9" t="s">
        <v>378</v>
      </c>
      <c r="C189" s="168">
        <v>0</v>
      </c>
      <c r="D189" s="168">
        <v>0</v>
      </c>
      <c r="E189" s="168">
        <v>195</v>
      </c>
    </row>
    <row r="190" spans="1:5" x14ac:dyDescent="0.25">
      <c r="A190" s="9" t="s">
        <v>382</v>
      </c>
      <c r="B190" s="9" t="s">
        <v>379</v>
      </c>
      <c r="C190" s="168">
        <v>0</v>
      </c>
      <c r="D190" s="168">
        <v>0</v>
      </c>
      <c r="E190" s="168">
        <v>195</v>
      </c>
    </row>
    <row r="191" spans="1:5" x14ac:dyDescent="0.25">
      <c r="A191" s="9" t="s">
        <v>382</v>
      </c>
      <c r="B191" s="9" t="s">
        <v>380</v>
      </c>
      <c r="C191" s="168">
        <v>0</v>
      </c>
      <c r="D191" s="168">
        <v>0</v>
      </c>
      <c r="E191" s="168">
        <v>195</v>
      </c>
    </row>
    <row r="192" spans="1:5" x14ac:dyDescent="0.25">
      <c r="A192" s="9" t="s">
        <v>162</v>
      </c>
      <c r="B192" s="9" t="s">
        <v>381</v>
      </c>
      <c r="C192" s="168">
        <v>0</v>
      </c>
      <c r="D192" s="168">
        <v>120</v>
      </c>
      <c r="E192" s="168">
        <v>195</v>
      </c>
    </row>
    <row r="193" spans="1:5" x14ac:dyDescent="0.25">
      <c r="A193" s="9" t="s">
        <v>155</v>
      </c>
      <c r="B193" s="203" t="s">
        <v>387</v>
      </c>
      <c r="C193" s="168">
        <v>0</v>
      </c>
      <c r="D193" s="168">
        <v>0</v>
      </c>
      <c r="E193" s="168">
        <v>75</v>
      </c>
    </row>
    <row r="194" spans="1:5" x14ac:dyDescent="0.25">
      <c r="A194" s="9"/>
      <c r="B194" s="9"/>
      <c r="C194" s="168"/>
      <c r="D194" s="168"/>
      <c r="E194" s="168"/>
    </row>
    <row r="195" spans="1:5" x14ac:dyDescent="0.25">
      <c r="A195" s="9"/>
      <c r="B195" s="9"/>
      <c r="C195" s="168"/>
      <c r="D195" s="168"/>
      <c r="E195" s="168"/>
    </row>
    <row r="196" spans="1:5" x14ac:dyDescent="0.25">
      <c r="A196" s="9"/>
      <c r="B196" s="9"/>
      <c r="C196" s="168"/>
      <c r="D196" s="168"/>
      <c r="E196" s="168"/>
    </row>
    <row r="197" spans="1:5" x14ac:dyDescent="0.25">
      <c r="A197" s="9"/>
      <c r="B197" s="9"/>
      <c r="C197" s="168"/>
      <c r="D197" s="168"/>
      <c r="E197" s="168"/>
    </row>
    <row r="198" spans="1:5" x14ac:dyDescent="0.25">
      <c r="A198" s="9"/>
      <c r="B198" s="9"/>
      <c r="C198" s="168"/>
      <c r="D198" s="168"/>
      <c r="E198" s="168"/>
    </row>
    <row r="199" spans="1:5" x14ac:dyDescent="0.25">
      <c r="A199" s="9"/>
      <c r="B199" s="9"/>
      <c r="C199" s="168"/>
      <c r="D199" s="168"/>
      <c r="E199" s="168"/>
    </row>
    <row r="200" spans="1:5" x14ac:dyDescent="0.25">
      <c r="A200" s="9"/>
      <c r="B200" s="9"/>
      <c r="C200" s="168"/>
      <c r="D200" s="168"/>
      <c r="E200" s="168"/>
    </row>
    <row r="201" spans="1:5" x14ac:dyDescent="0.25">
      <c r="A201" s="9"/>
      <c r="B201" s="9"/>
      <c r="C201" s="168"/>
      <c r="D201" s="168"/>
      <c r="E201" s="168"/>
    </row>
    <row r="202" spans="1:5" x14ac:dyDescent="0.25">
      <c r="A202" s="9"/>
      <c r="B202" s="9"/>
      <c r="C202" s="168"/>
      <c r="D202" s="168"/>
      <c r="E202" s="168"/>
    </row>
    <row r="203" spans="1:5" x14ac:dyDescent="0.25">
      <c r="A203" s="9"/>
      <c r="B203" s="9"/>
      <c r="C203" s="168"/>
      <c r="D203" s="168"/>
      <c r="E203" s="168"/>
    </row>
    <row r="204" spans="1:5" x14ac:dyDescent="0.25">
      <c r="A204" s="9"/>
      <c r="B204" s="9"/>
      <c r="C204" s="168"/>
      <c r="D204" s="168"/>
      <c r="E204" s="168"/>
    </row>
    <row r="205" spans="1:5" x14ac:dyDescent="0.25">
      <c r="A205" s="9"/>
      <c r="B205" s="9"/>
      <c r="C205" s="168"/>
      <c r="D205" s="168"/>
      <c r="E205" s="168"/>
    </row>
    <row r="206" spans="1:5" x14ac:dyDescent="0.25">
      <c r="A206" s="9"/>
      <c r="B206" s="9"/>
      <c r="C206" s="168"/>
      <c r="D206" s="168"/>
      <c r="E206" s="168"/>
    </row>
    <row r="207" spans="1:5" x14ac:dyDescent="0.25">
      <c r="A207" s="9"/>
      <c r="B207" s="9"/>
      <c r="C207" s="168"/>
      <c r="D207" s="168"/>
      <c r="E207" s="168"/>
    </row>
    <row r="208" spans="1:5" x14ac:dyDescent="0.25">
      <c r="A208" s="9"/>
      <c r="B208" s="9"/>
      <c r="C208" s="168"/>
      <c r="D208" s="168"/>
      <c r="E208" s="168"/>
    </row>
    <row r="209" spans="1:5" x14ac:dyDescent="0.25">
      <c r="A209" s="9"/>
      <c r="B209" s="9"/>
      <c r="C209" s="168"/>
      <c r="D209" s="168"/>
      <c r="E209" s="168"/>
    </row>
    <row r="210" spans="1:5" x14ac:dyDescent="0.25">
      <c r="A210" s="9"/>
      <c r="B210" s="9"/>
      <c r="C210" s="168"/>
      <c r="D210" s="168"/>
      <c r="E210" s="168"/>
    </row>
    <row r="211" spans="1:5" x14ac:dyDescent="0.25">
      <c r="A211" s="9"/>
      <c r="B211" s="9"/>
      <c r="C211" s="168"/>
      <c r="D211" s="168"/>
      <c r="E211" s="168"/>
    </row>
  </sheetData>
  <autoFilter ref="A5:E212" xr:uid="{00000000-0009-0000-0000-000000000000}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0000"/>
  </sheetPr>
  <dimension ref="A1:AT13"/>
  <sheetViews>
    <sheetView zoomScaleNormal="100" workbookViewId="0">
      <pane xSplit="1" ySplit="6" topLeftCell="D7" activePane="bottomRight" state="frozen"/>
      <selection pane="topRight" activeCell="D1" sqref="D1"/>
      <selection pane="bottomLeft" activeCell="A5" sqref="A5"/>
      <selection pane="bottomRight" activeCell="E7" sqref="E7"/>
    </sheetView>
  </sheetViews>
  <sheetFormatPr defaultColWidth="3.28515625" defaultRowHeight="15" x14ac:dyDescent="0.25"/>
  <cols>
    <col min="1" max="1" width="26.85546875" bestFit="1" customWidth="1"/>
    <col min="2" max="3" width="8.42578125" hidden="1" customWidth="1"/>
    <col min="4" max="4" width="11" customWidth="1"/>
    <col min="5" max="5" width="17" style="5" customWidth="1"/>
    <col min="6" max="7" width="15.7109375" style="4" customWidth="1"/>
    <col min="8" max="8" width="14" style="52" customWidth="1"/>
    <col min="9" max="10" width="20.85546875" style="14" customWidth="1"/>
    <col min="11" max="11" width="14" style="52" customWidth="1"/>
    <col min="12" max="13" width="21.42578125" style="4" customWidth="1"/>
    <col min="14" max="14" width="14" style="52" customWidth="1"/>
    <col min="15" max="16" width="21.42578125" style="14" customWidth="1"/>
    <col min="17" max="17" width="14" style="52" customWidth="1"/>
    <col min="18" max="18" width="16.28515625" style="5" customWidth="1"/>
    <col min="19" max="19" width="22.140625" style="5" customWidth="1"/>
    <col min="20" max="20" width="21.28515625" style="56" customWidth="1"/>
    <col min="21" max="21" width="22.28515625" style="5" customWidth="1"/>
    <col min="22" max="22" width="20.140625" style="56" customWidth="1"/>
    <col min="23" max="23" width="13.85546875" style="5" customWidth="1"/>
    <col min="24" max="24" width="16.140625" style="52" customWidth="1"/>
    <col min="25" max="25" width="11.7109375" style="4" customWidth="1"/>
    <col min="26" max="26" width="10.28515625" style="52" customWidth="1"/>
    <col min="27" max="27" width="11.85546875" style="4" bestFit="1" customWidth="1"/>
    <col min="28" max="28" width="9.42578125" style="52" customWidth="1"/>
    <col min="29" max="29" width="14.85546875" style="1" bestFit="1" customWidth="1"/>
    <col min="30" max="30" width="16.42578125" style="19" customWidth="1"/>
    <col min="31" max="31" width="20.42578125" style="19" customWidth="1"/>
    <col min="32" max="32" width="22.42578125" style="19" customWidth="1"/>
    <col min="33" max="33" width="22.28515625" style="19" customWidth="1"/>
    <col min="34" max="34" width="10.28515625" style="19" customWidth="1"/>
    <col min="35" max="35" width="9.42578125" style="19" customWidth="1"/>
    <col min="36" max="36" width="14" style="19" customWidth="1"/>
    <col min="37" max="37" width="14.140625" style="19" customWidth="1"/>
    <col min="38" max="38" width="12.85546875" style="19" customWidth="1"/>
    <col min="39" max="39" width="8" style="37" customWidth="1"/>
    <col min="40" max="40" width="10.28515625" style="29" customWidth="1"/>
    <col min="41" max="41" width="9.85546875" style="29" bestFit="1" customWidth="1"/>
    <col min="42" max="42" width="18.85546875" style="29" bestFit="1" customWidth="1"/>
    <col min="43" max="43" width="19.28515625" style="29" customWidth="1"/>
    <col min="44" max="44" width="21.28515625" style="29" customWidth="1"/>
    <col min="45" max="45" width="12.42578125" style="29" customWidth="1"/>
    <col min="46" max="46" width="15.7109375" style="67" customWidth="1"/>
    <col min="50" max="50" width="4.140625" bestFit="1" customWidth="1"/>
  </cols>
  <sheetData>
    <row r="1" spans="1:46" x14ac:dyDescent="0.25">
      <c r="A1" s="20"/>
      <c r="B1" s="20"/>
      <c r="C1" s="20"/>
      <c r="D1" s="20"/>
      <c r="E1" s="47" t="s">
        <v>219</v>
      </c>
      <c r="F1" s="14">
        <f>COUNTIFS(LO!B$7:B$288,$E1)</f>
        <v>75</v>
      </c>
      <c r="H1" s="4"/>
      <c r="I1" s="4"/>
      <c r="J1" s="4"/>
      <c r="K1" s="4"/>
      <c r="N1" s="4"/>
      <c r="O1" s="4"/>
      <c r="P1" s="4"/>
      <c r="Q1" s="4"/>
      <c r="R1" s="3"/>
      <c r="S1" s="3"/>
      <c r="T1" s="8"/>
      <c r="U1" s="3"/>
      <c r="V1" s="5"/>
      <c r="W1" s="8" t="s">
        <v>223</v>
      </c>
      <c r="X1" s="8" t="s">
        <v>130</v>
      </c>
      <c r="Y1" s="5"/>
      <c r="Z1" s="5"/>
      <c r="AA1" s="5"/>
      <c r="AB1" s="75" t="s">
        <v>176</v>
      </c>
      <c r="AC1" s="143" t="s">
        <v>317</v>
      </c>
      <c r="AD1" s="16">
        <v>10</v>
      </c>
      <c r="AE1" s="16">
        <v>0</v>
      </c>
      <c r="AF1" s="16">
        <v>25</v>
      </c>
      <c r="AG1" s="16">
        <v>0</v>
      </c>
      <c r="AH1" s="16">
        <v>15</v>
      </c>
      <c r="AI1" s="16">
        <v>40</v>
      </c>
      <c r="AJ1" s="16">
        <v>5</v>
      </c>
      <c r="AK1" s="16">
        <v>5</v>
      </c>
      <c r="AL1" s="16">
        <v>0</v>
      </c>
      <c r="AM1" s="33">
        <f>SUM(AD1:AL1)</f>
        <v>100</v>
      </c>
      <c r="AN1" s="16" t="s">
        <v>213</v>
      </c>
      <c r="AO1" s="16">
        <v>50</v>
      </c>
      <c r="AP1" s="16" t="s">
        <v>262</v>
      </c>
      <c r="AQ1" s="111">
        <v>0</v>
      </c>
      <c r="AR1" s="16"/>
      <c r="AS1" s="16"/>
      <c r="AT1" s="64"/>
    </row>
    <row r="2" spans="1:46" x14ac:dyDescent="0.25">
      <c r="A2" s="20"/>
      <c r="B2" s="20"/>
      <c r="C2" s="20"/>
      <c r="D2" s="20"/>
      <c r="E2" s="47" t="s">
        <v>218</v>
      </c>
      <c r="F2" s="14">
        <f>COUNTIFS(LO!B$7:B$288,$E2)</f>
        <v>9</v>
      </c>
      <c r="G2" s="61" t="s">
        <v>198</v>
      </c>
      <c r="H2" s="4"/>
      <c r="I2" s="4"/>
      <c r="J2" s="61" t="s">
        <v>198</v>
      </c>
      <c r="K2" s="4"/>
      <c r="M2" s="61" t="s">
        <v>198</v>
      </c>
      <c r="N2" s="4"/>
      <c r="O2" s="4"/>
      <c r="P2" s="61" t="s">
        <v>198</v>
      </c>
      <c r="Q2" s="4"/>
      <c r="V2" s="57" t="s">
        <v>219</v>
      </c>
      <c r="W2" s="69">
        <f>LO!W2</f>
        <v>168.26666666666668</v>
      </c>
      <c r="X2" s="76">
        <f>'LOS Incentive'!V3</f>
        <v>250</v>
      </c>
      <c r="Y2" s="60" t="e">
        <f>SUBTOTAL(101,Z$7:Z$51)</f>
        <v>#DIV/0!</v>
      </c>
      <c r="Z2" s="59"/>
      <c r="AA2" s="60" t="e">
        <f>SUBTOTAL(101,AB$7:AB$51)</f>
        <v>#DIV/0!</v>
      </c>
      <c r="AB2" s="75" t="s">
        <v>177</v>
      </c>
      <c r="AC2" s="143" t="s">
        <v>318</v>
      </c>
      <c r="AD2" s="17">
        <v>1</v>
      </c>
      <c r="AE2" s="17">
        <v>1</v>
      </c>
      <c r="AF2" s="17">
        <v>1</v>
      </c>
      <c r="AG2" s="17">
        <v>1</v>
      </c>
      <c r="AH2" s="17">
        <v>0.02</v>
      </c>
      <c r="AI2" s="17">
        <v>0.05</v>
      </c>
      <c r="AJ2" s="17">
        <v>1</v>
      </c>
      <c r="AK2" s="17">
        <v>0.7</v>
      </c>
      <c r="AL2" s="17">
        <v>0.3</v>
      </c>
      <c r="AM2" s="34" t="e">
        <f>AVERAGE(AM7:AM13)</f>
        <v>#DIV/0!</v>
      </c>
      <c r="AN2" s="26"/>
      <c r="AO2" s="26"/>
      <c r="AP2" s="16" t="s">
        <v>261</v>
      </c>
      <c r="AQ2" s="111">
        <v>-400</v>
      </c>
      <c r="AR2" s="26"/>
      <c r="AS2" s="26"/>
      <c r="AT2" s="17"/>
    </row>
    <row r="3" spans="1:46" x14ac:dyDescent="0.25">
      <c r="A3" s="20"/>
      <c r="B3" s="20"/>
      <c r="C3" s="20"/>
      <c r="D3" s="20"/>
      <c r="E3" s="51">
        <f>SUBTOTAL(109,E$7:E$13)</f>
        <v>88</v>
      </c>
      <c r="F3" s="49">
        <f>SUBTOTAL(109,F$7:F$13)</f>
        <v>54922713.404937752</v>
      </c>
      <c r="G3" s="72">
        <f>SUBTOTAL(109,G$7:G$13)</f>
        <v>56444444.444444463</v>
      </c>
      <c r="I3" s="51">
        <f>SUBTOTAL(109,I$7:I$13)</f>
        <v>15068</v>
      </c>
      <c r="J3" s="73">
        <f>SUBTOTAL(109,J$7:J$13)</f>
        <v>45823</v>
      </c>
      <c r="L3" s="49">
        <f>SUBTOTAL(109,L$7:L$13)</f>
        <v>4087083.333333333</v>
      </c>
      <c r="M3" s="72">
        <f>SUBTOTAL(109,M$7:M$13)</f>
        <v>5909090.6999999993</v>
      </c>
      <c r="O3" s="51">
        <f>SUBTOTAL(109,O$7:O$13)</f>
        <v>778</v>
      </c>
      <c r="P3" s="73">
        <f>SUBTOTAL(109,P$7:P$13)</f>
        <v>1037</v>
      </c>
      <c r="R3" s="73">
        <f>SUBTOTAL(109,R$7:R$13)</f>
        <v>776</v>
      </c>
      <c r="S3" s="73">
        <f>SUBTOTAL(109,S$7:S$13)</f>
        <v>403</v>
      </c>
      <c r="U3" s="73">
        <f>SUBTOTAL(109,U$7:U$13)</f>
        <v>317</v>
      </c>
      <c r="V3" s="57" t="s">
        <v>218</v>
      </c>
      <c r="W3" s="69">
        <f>LO!W3</f>
        <v>76.555555555555557</v>
      </c>
      <c r="X3" s="76">
        <f>'LOS Incentive'!V4</f>
        <v>100</v>
      </c>
      <c r="Y3" s="49">
        <f>SUBTOTAL(109,Y$7:Y$51)</f>
        <v>1470247.6543920771</v>
      </c>
      <c r="AA3" s="49">
        <f>SUBTOTAL(109,AA$7:AA$51)</f>
        <v>1134051.7774087407</v>
      </c>
      <c r="AB3" s="75" t="s">
        <v>178</v>
      </c>
      <c r="AC3" s="143" t="s">
        <v>319</v>
      </c>
      <c r="AD3" s="17">
        <v>0.7</v>
      </c>
      <c r="AE3" s="17">
        <v>0.8</v>
      </c>
      <c r="AF3" s="17">
        <v>0.7</v>
      </c>
      <c r="AG3" s="17">
        <v>0.5</v>
      </c>
      <c r="AH3" s="17">
        <v>7.0000000000000007E-2</v>
      </c>
      <c r="AI3" s="17">
        <v>0.15</v>
      </c>
      <c r="AJ3" s="17">
        <v>0.5</v>
      </c>
      <c r="AK3" s="17">
        <v>0.2</v>
      </c>
      <c r="AL3" s="17">
        <v>0</v>
      </c>
      <c r="AM3" s="34"/>
      <c r="AN3" s="26"/>
      <c r="AO3" s="17">
        <v>0.7</v>
      </c>
      <c r="AP3" s="17">
        <f>100%-AO3</f>
        <v>0.30000000000000004</v>
      </c>
      <c r="AQ3" s="17"/>
      <c r="AR3" s="26"/>
      <c r="AS3" s="40" t="e">
        <f>AS5</f>
        <v>#DIV/0!</v>
      </c>
      <c r="AT3" s="17"/>
    </row>
    <row r="4" spans="1:46" x14ac:dyDescent="0.25"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 s="143" t="s">
        <v>320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ht="15.75" thickBot="1" x14ac:dyDescent="0.3"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 s="143" t="s">
        <v>321</v>
      </c>
      <c r="AD5"/>
      <c r="AE5"/>
      <c r="AF5"/>
      <c r="AG5"/>
      <c r="AH5"/>
      <c r="AI5"/>
      <c r="AJ5"/>
      <c r="AK5"/>
      <c r="AL5"/>
      <c r="AM5"/>
      <c r="AN5" s="40">
        <f t="shared" ref="AN5:AS5" si="0">SUBTOTAL(109,AN7:AN313)</f>
        <v>13688</v>
      </c>
      <c r="AO5" s="40">
        <f t="shared" si="0"/>
        <v>9779</v>
      </c>
      <c r="AP5" s="40">
        <f t="shared" si="0"/>
        <v>4104</v>
      </c>
      <c r="AQ5" s="40" t="e">
        <f t="shared" si="0"/>
        <v>#DIV/0!</v>
      </c>
      <c r="AR5" s="40" t="e">
        <f t="shared" si="0"/>
        <v>#DIV/0!</v>
      </c>
      <c r="AS5" s="40" t="e">
        <f t="shared" si="0"/>
        <v>#DIV/0!</v>
      </c>
      <c r="AT5" s="68" t="e">
        <f>SUBTOTAL(101,AT7:AT313)</f>
        <v>#DIV/0!</v>
      </c>
    </row>
    <row r="6" spans="1:46" s="13" customFormat="1" x14ac:dyDescent="0.25">
      <c r="A6" s="21" t="s">
        <v>124</v>
      </c>
      <c r="B6" s="112"/>
      <c r="C6" s="112"/>
      <c r="D6" s="112" t="s">
        <v>125</v>
      </c>
      <c r="E6" s="8" t="s">
        <v>172</v>
      </c>
      <c r="F6" s="8" t="s">
        <v>194</v>
      </c>
      <c r="G6" s="8" t="s">
        <v>191</v>
      </c>
      <c r="H6" s="8" t="s">
        <v>195</v>
      </c>
      <c r="I6" s="30" t="s">
        <v>193</v>
      </c>
      <c r="J6" s="30" t="s">
        <v>192</v>
      </c>
      <c r="K6" s="8" t="s">
        <v>195</v>
      </c>
      <c r="L6" s="8" t="s">
        <v>196</v>
      </c>
      <c r="M6" s="8" t="s">
        <v>197</v>
      </c>
      <c r="N6" s="8" t="s">
        <v>195</v>
      </c>
      <c r="O6" s="8" t="s">
        <v>220</v>
      </c>
      <c r="P6" s="8" t="s">
        <v>221</v>
      </c>
      <c r="Q6" s="8" t="s">
        <v>195</v>
      </c>
      <c r="R6" s="8" t="s">
        <v>170</v>
      </c>
      <c r="S6" s="8" t="s">
        <v>216</v>
      </c>
      <c r="T6" s="8" t="s">
        <v>169</v>
      </c>
      <c r="U6" s="8" t="s">
        <v>167</v>
      </c>
      <c r="V6" s="8" t="s">
        <v>171</v>
      </c>
      <c r="W6" s="8" t="s">
        <v>126</v>
      </c>
      <c r="X6" s="62" t="s">
        <v>173</v>
      </c>
      <c r="Y6" s="8" t="s">
        <v>201</v>
      </c>
      <c r="Z6" s="8" t="s">
        <v>202</v>
      </c>
      <c r="AA6" s="8" t="s">
        <v>175</v>
      </c>
      <c r="AB6" s="8" t="s">
        <v>128</v>
      </c>
      <c r="AC6" s="144"/>
      <c r="AD6" s="23" t="s">
        <v>263</v>
      </c>
      <c r="AE6" s="23" t="s">
        <v>314</v>
      </c>
      <c r="AF6" s="23" t="s">
        <v>231</v>
      </c>
      <c r="AG6" s="23" t="s">
        <v>199</v>
      </c>
      <c r="AH6" s="23" t="s">
        <v>214</v>
      </c>
      <c r="AI6" s="23" t="s">
        <v>128</v>
      </c>
      <c r="AJ6" s="23" t="s">
        <v>181</v>
      </c>
      <c r="AK6" s="23" t="s">
        <v>179</v>
      </c>
      <c r="AL6" s="23" t="s">
        <v>180</v>
      </c>
      <c r="AM6" s="35" t="s">
        <v>182</v>
      </c>
      <c r="AN6" s="27" t="s">
        <v>185</v>
      </c>
      <c r="AO6" s="82" t="s">
        <v>186</v>
      </c>
      <c r="AP6" s="27" t="s">
        <v>187</v>
      </c>
      <c r="AQ6" s="82" t="s">
        <v>188</v>
      </c>
      <c r="AR6" s="27" t="s">
        <v>189</v>
      </c>
      <c r="AS6" s="27" t="s">
        <v>190</v>
      </c>
      <c r="AT6" s="65" t="s">
        <v>222</v>
      </c>
    </row>
    <row r="7" spans="1:46" x14ac:dyDescent="0.25">
      <c r="A7" s="166" t="s">
        <v>226</v>
      </c>
      <c r="B7" s="114"/>
      <c r="C7" s="114"/>
      <c r="D7" s="9" t="s">
        <v>160</v>
      </c>
      <c r="E7" s="10">
        <f>COUNTIFS(LO!E:E,$A7)</f>
        <v>0</v>
      </c>
      <c r="F7" s="11">
        <f>SUMIFS(LO!F:F,LO!$E:$E,$A7)</f>
        <v>0</v>
      </c>
      <c r="G7" s="11">
        <f>SUMIFS(LO!G:G,LO!$E:$E,$A7)</f>
        <v>0</v>
      </c>
      <c r="H7" s="53" t="e">
        <f t="shared" ref="H7:H13" si="1">F7/G7</f>
        <v>#DIV/0!</v>
      </c>
      <c r="I7" s="10">
        <f>SUMIFS(LO!I:I,LO!$E:$E,$A7)</f>
        <v>0</v>
      </c>
      <c r="J7" s="10">
        <f>SUMIFS(LO!J:J,LO!$E:$E,$A7)</f>
        <v>0</v>
      </c>
      <c r="K7" s="53" t="e">
        <f t="shared" ref="K7:K13" si="2">I7/J7</f>
        <v>#DIV/0!</v>
      </c>
      <c r="L7" s="11">
        <f>SUMIFS(LO!L:L,LO!$E:$E,$A7)</f>
        <v>0</v>
      </c>
      <c r="M7" s="11">
        <f>SUMIFS(LO!M:M,LO!$E:$E,$A7)</f>
        <v>0</v>
      </c>
      <c r="N7" s="53" t="e">
        <f t="shared" ref="N7:N13" si="3">L7/M7</f>
        <v>#DIV/0!</v>
      </c>
      <c r="O7" s="10">
        <f>SUMIFS(LO!O:O,LO!$E:$E,$A7)</f>
        <v>0</v>
      </c>
      <c r="P7" s="10">
        <f>SUMIFS(LO!P:P,LO!$E:$E,$A7)</f>
        <v>0</v>
      </c>
      <c r="Q7" s="53" t="e">
        <f t="shared" ref="Q7:Q13" si="4">O7/P7</f>
        <v>#DIV/0!</v>
      </c>
      <c r="R7" s="10">
        <f>SUMIFS(LO!R:R,LO!$E:$E,$A7)</f>
        <v>0</v>
      </c>
      <c r="S7" s="10">
        <f>SUMIFS(LO!S:S,LO!$E:$E,$A7)</f>
        <v>0</v>
      </c>
      <c r="T7" s="53" t="e">
        <f t="shared" ref="T7:T13" si="5">S7/R7</f>
        <v>#DIV/0!</v>
      </c>
      <c r="U7" s="10">
        <f>SUMIFS(LO!U:U,LO!$E:$E,$A7)</f>
        <v>0</v>
      </c>
      <c r="V7" s="53" t="e">
        <f t="shared" ref="V7:V13" si="6">(U7)/R7</f>
        <v>#DIV/0!</v>
      </c>
      <c r="W7" s="10">
        <f>SUMIFS(LO!W:W,LO!$E:$E,$A7)</f>
        <v>0</v>
      </c>
      <c r="X7" s="53" t="e">
        <f>AVERAGEIFS(LO!X:X,LO!$E:$E,$A7)</f>
        <v>#DIV/0!</v>
      </c>
      <c r="Y7" s="11">
        <f>SUMIFS(LO!Y:Y,LO!$E:$E,$A7)</f>
        <v>0</v>
      </c>
      <c r="Z7" s="53" t="e">
        <f t="shared" ref="Z7:Z13" si="7">Y7/$F7</f>
        <v>#DIV/0!</v>
      </c>
      <c r="AA7" s="11">
        <f>SUMIFS(LO!AA:AA,LO!$E:$E,$A7)</f>
        <v>0</v>
      </c>
      <c r="AB7" s="53" t="e">
        <f t="shared" ref="AB7:AB13" si="8">AA7/$F7</f>
        <v>#DIV/0!</v>
      </c>
      <c r="AD7" s="87" t="e">
        <f t="shared" ref="AD7:AD13" si="9">MAX(0,MIN(AD$1,AD$1*(H7/(AD$2-AD$3)-(AD$3/(AD$2-AD$3)))))</f>
        <v>#DIV/0!</v>
      </c>
      <c r="AE7" s="87" t="e">
        <f t="shared" ref="AE7:AE13" si="10">MAX(0,MIN(AE$1,AE$1*(K7/(AE$2-AE$3)-(AE$3/(AE$2-AE$3)))))</f>
        <v>#DIV/0!</v>
      </c>
      <c r="AF7" s="87" t="e">
        <f t="shared" ref="AF7:AF13" si="11">MAX(0,MIN(AF$1,AF$1*(N7/(AF$2-AF$3)-(AF$3/(AF$2-AF$3)))))</f>
        <v>#DIV/0!</v>
      </c>
      <c r="AG7" s="87" t="e">
        <f t="shared" ref="AG7:AG13" si="12">MAX(0,MIN(AG$1,AG$1*(Q7/(AG$2-AG$3)-(AG$3/(AG$2-AG$3)))))</f>
        <v>#DIV/0!</v>
      </c>
      <c r="AH7" s="87" t="e">
        <f t="shared" ref="AH7:AH13" si="13">MIN(AH$1,MAX(0,AH$1-AH$1*(Z7/(AH$3-AH$2)-(AH$2/(AH$3-AH$2)))))</f>
        <v>#DIV/0!</v>
      </c>
      <c r="AI7" s="87" t="e">
        <f t="shared" ref="AI7:AI13" si="14">MIN(AI$1,MAX(0,AI$1-AI$1*(AB7/(AI$3-AI$2)-(AI$2/(AI$3-AI$2)))))</f>
        <v>#DIV/0!</v>
      </c>
      <c r="AJ7" s="87" t="e">
        <f t="shared" ref="AJ7:AJ13" si="15">MAX(0,MIN(AJ$1,AJ$1*(X7/(AJ$2-AJ$3)-(AJ$3/(AJ$2-AJ$3)))))</f>
        <v>#DIV/0!</v>
      </c>
      <c r="AK7" s="87" t="e">
        <f t="shared" ref="AK7:AK13" si="16">MAX(0,MIN(AK$1,AK$1*(T7/(AK$2-AK$3)-(AK$3/(AK$2-AK$3)))))</f>
        <v>#DIV/0!</v>
      </c>
      <c r="AL7" s="87" t="e">
        <f t="shared" ref="AL7:AL13" si="17">MAX(0,MIN(AL$1,AL$1*(V7/(AL$2-AL$3)-(AL$3/(AL$2-AL$3)))))</f>
        <v>#DIV/0!</v>
      </c>
      <c r="AM7" s="88" t="e">
        <f>ROUND(SUM(AD7:AL7),0)</f>
        <v>#DIV/0!</v>
      </c>
      <c r="AN7" s="74">
        <v>2573</v>
      </c>
      <c r="AO7" s="28">
        <f t="shared" ref="AO7:AO13" si="18">ROUNDUP($AN7*AO$3,0)</f>
        <v>1802</v>
      </c>
      <c r="AP7" s="28">
        <f t="shared" ref="AP7:AP13" si="19">ROUNDDOWN($AN7*AP$3,0)</f>
        <v>771</v>
      </c>
      <c r="AQ7" s="28" t="e">
        <f t="shared" ref="AQ7:AQ13" si="20">MIN($AP7+$AQ$1,MAX($AP7+$AQ$2,MAX(0,$AP7/$AO$1*$AM7)))</f>
        <v>#DIV/0!</v>
      </c>
      <c r="AR7" s="74" t="e">
        <f t="shared" ref="AR7:AR13" si="21">AQ7+AO7</f>
        <v>#DIV/0!</v>
      </c>
      <c r="AS7" s="74" t="e">
        <f t="shared" ref="AS7:AS13" si="22">AR7-AN7</f>
        <v>#DIV/0!</v>
      </c>
      <c r="AT7" s="89" t="e">
        <f t="shared" ref="AT7:AT11" si="23">AR7/AN7</f>
        <v>#DIV/0!</v>
      </c>
    </row>
    <row r="8" spans="1:46" x14ac:dyDescent="0.25">
      <c r="A8" s="193" t="s">
        <v>227</v>
      </c>
      <c r="B8" s="114"/>
      <c r="C8" s="114"/>
      <c r="D8" s="9" t="s">
        <v>154</v>
      </c>
      <c r="E8" s="10">
        <f>COUNTIFS(LO!E:E,$A8)</f>
        <v>26</v>
      </c>
      <c r="F8" s="11">
        <f>SUMIFS(LO!F:F,LO!$E:$E,$A8)</f>
        <v>16394151.861488381</v>
      </c>
      <c r="G8" s="11">
        <f>SUMIFS(LO!G:G,LO!$E:$E,$A8)</f>
        <v>10444444.444444446</v>
      </c>
      <c r="H8" s="53">
        <f t="shared" si="1"/>
        <v>1.5696528378020789</v>
      </c>
      <c r="I8" s="10">
        <f>SUMIFS(LO!I:I,LO!$E:$E,$A8)</f>
        <v>5818</v>
      </c>
      <c r="J8" s="10">
        <f>SUMIFS(LO!J:J,LO!$E:$E,$A8)</f>
        <v>12356</v>
      </c>
      <c r="K8" s="53">
        <f t="shared" si="2"/>
        <v>0.47086435739721594</v>
      </c>
      <c r="L8" s="11">
        <f>SUMIFS(LO!L:L,LO!$E:$E,$A8)</f>
        <v>1394659.0909090906</v>
      </c>
      <c r="M8" s="11">
        <f>SUMIFS(LO!M:M,LO!$E:$E,$A8)</f>
        <v>1568181.76</v>
      </c>
      <c r="N8" s="53">
        <f t="shared" si="3"/>
        <v>0.88934785908305081</v>
      </c>
      <c r="O8" s="10">
        <f>SUMIFS(LO!O:O,LO!$E:$E,$A8)</f>
        <v>309</v>
      </c>
      <c r="P8" s="10">
        <f>SUMIFS(LO!P:P,LO!$E:$E,$A8)</f>
        <v>362</v>
      </c>
      <c r="Q8" s="53">
        <f t="shared" si="4"/>
        <v>0.85359116022099446</v>
      </c>
      <c r="R8" s="10">
        <f>SUMIFS(LO!R:R,LO!$E:$E,$A8)</f>
        <v>307</v>
      </c>
      <c r="S8" s="10">
        <f>SUMIFS(LO!S:S,LO!$E:$E,$A8)</f>
        <v>159</v>
      </c>
      <c r="T8" s="53">
        <f t="shared" si="5"/>
        <v>0.51791530944625408</v>
      </c>
      <c r="U8" s="10">
        <f>SUMIFS(LO!U:U,LO!$E:$E,$A8)</f>
        <v>170</v>
      </c>
      <c r="V8" s="53">
        <f t="shared" si="6"/>
        <v>0.55374592833876224</v>
      </c>
      <c r="W8" s="10">
        <f>SUMIFS(LO!W:W,LO!$E:$E,$A8)</f>
        <v>5818</v>
      </c>
      <c r="X8" s="53">
        <f>AVERAGEIFS(LO!X:X,LO!$E:$E,$A8)</f>
        <v>0.8950769230769231</v>
      </c>
      <c r="Y8" s="11">
        <f>SUMIFS(LO!Y:Y,LO!$E:$E,$A8)</f>
        <v>377933.55301817786</v>
      </c>
      <c r="Z8" s="53">
        <f t="shared" si="7"/>
        <v>2.3052949381662389E-2</v>
      </c>
      <c r="AA8" s="11">
        <f>SUMIFS(LO!AA:AA,LO!$E:$E,$A8)</f>
        <v>287523.29621497379</v>
      </c>
      <c r="AB8" s="53">
        <f t="shared" si="8"/>
        <v>1.7538162305937691E-2</v>
      </c>
      <c r="AD8" s="87">
        <f t="shared" si="9"/>
        <v>10</v>
      </c>
      <c r="AE8" s="87">
        <f t="shared" si="10"/>
        <v>0</v>
      </c>
      <c r="AF8" s="87">
        <f t="shared" si="11"/>
        <v>15.778988256920901</v>
      </c>
      <c r="AG8" s="87">
        <f t="shared" si="12"/>
        <v>0</v>
      </c>
      <c r="AH8" s="87">
        <f t="shared" si="13"/>
        <v>14.084115185501282</v>
      </c>
      <c r="AI8" s="87">
        <f t="shared" si="14"/>
        <v>40</v>
      </c>
      <c r="AJ8" s="87">
        <f t="shared" si="15"/>
        <v>3.950769230769231</v>
      </c>
      <c r="AK8" s="87">
        <f t="shared" si="16"/>
        <v>3.1791530944625412</v>
      </c>
      <c r="AL8" s="87">
        <f t="shared" si="17"/>
        <v>0</v>
      </c>
      <c r="AM8" s="88">
        <f t="shared" ref="AM8:AM13" si="24">ROUND(SUM(AD8:AL8),0)</f>
        <v>87</v>
      </c>
      <c r="AN8" s="74">
        <v>2141</v>
      </c>
      <c r="AO8" s="28">
        <f t="shared" si="18"/>
        <v>1499</v>
      </c>
      <c r="AP8" s="28">
        <f t="shared" si="19"/>
        <v>642</v>
      </c>
      <c r="AQ8" s="28">
        <f t="shared" si="20"/>
        <v>642</v>
      </c>
      <c r="AR8" s="74">
        <f t="shared" si="21"/>
        <v>2141</v>
      </c>
      <c r="AS8" s="74">
        <f t="shared" si="22"/>
        <v>0</v>
      </c>
      <c r="AT8" s="89">
        <f t="shared" si="23"/>
        <v>1</v>
      </c>
    </row>
    <row r="9" spans="1:46" x14ac:dyDescent="0.25">
      <c r="A9" s="166" t="s">
        <v>230</v>
      </c>
      <c r="B9" s="190"/>
      <c r="C9" s="32"/>
      <c r="D9" s="9" t="s">
        <v>154</v>
      </c>
      <c r="E9" s="10">
        <f>COUNTIFS(LO!E:E,$A9)</f>
        <v>10</v>
      </c>
      <c r="F9" s="11">
        <f>SUMIFS(LO!F:F,LO!$E:$E,$A9)</f>
        <v>10193926.565715471</v>
      </c>
      <c r="G9" s="11">
        <f>SUMIFS(LO!G:G,LO!$E:$E,$A9)</f>
        <v>19333333.333333336</v>
      </c>
      <c r="H9" s="53">
        <f t="shared" si="1"/>
        <v>0.52727206374390367</v>
      </c>
      <c r="I9" s="10">
        <f>SUMIFS(LO!I:I,LO!$E:$E,$A9)</f>
        <v>952</v>
      </c>
      <c r="J9" s="10">
        <f>SUMIFS(LO!J:J,LO!$E:$E,$A9)</f>
        <v>2398</v>
      </c>
      <c r="K9" s="53">
        <f t="shared" si="2"/>
        <v>0.39699749791492911</v>
      </c>
      <c r="L9" s="11">
        <f>SUMIFS(LO!L:L,LO!$E:$E,$A9)</f>
        <v>566136.36363636365</v>
      </c>
      <c r="M9" s="11">
        <f>SUMIFS(LO!M:M,LO!$E:$E,$A9)</f>
        <v>909090.90999999992</v>
      </c>
      <c r="N9" s="53">
        <f t="shared" si="3"/>
        <v>0.62274999937725006</v>
      </c>
      <c r="O9" s="10">
        <f>SUMIFS(LO!O:O,LO!$E:$E,$A9)</f>
        <v>37</v>
      </c>
      <c r="P9" s="10">
        <f>SUMIFS(LO!P:P,LO!$E:$E,$A9)</f>
        <v>42</v>
      </c>
      <c r="Q9" s="53">
        <f t="shared" si="4"/>
        <v>0.88095238095238093</v>
      </c>
      <c r="R9" s="10">
        <f>SUMIFS(LO!R:R,LO!$E:$E,$A9)</f>
        <v>37</v>
      </c>
      <c r="S9" s="10">
        <f>SUMIFS(LO!S:S,LO!$E:$E,$A9)</f>
        <v>25</v>
      </c>
      <c r="T9" s="53">
        <f t="shared" si="5"/>
        <v>0.67567567567567566</v>
      </c>
      <c r="U9" s="10">
        <f>SUMIFS(LO!U:U,LO!$E:$E,$A9)</f>
        <v>16</v>
      </c>
      <c r="V9" s="53">
        <f t="shared" si="6"/>
        <v>0.43243243243243246</v>
      </c>
      <c r="W9" s="10">
        <f>SUMIFS(LO!W:W,LO!$E:$E,$A9)</f>
        <v>952</v>
      </c>
      <c r="X9" s="53">
        <f>AVERAGEIFS(LO!X:X,LO!$E:$E,$A9)</f>
        <v>0.7941999999999998</v>
      </c>
      <c r="Y9" s="11">
        <f>SUMIFS(LO!Y:Y,LO!$E:$E,$A9)</f>
        <v>251369.85438956687</v>
      </c>
      <c r="Z9" s="53">
        <f t="shared" si="7"/>
        <v>2.4658786069244577E-2</v>
      </c>
      <c r="AA9" s="11">
        <f>SUMIFS(LO!AA:AA,LO!$E:$E,$A9)</f>
        <v>292087.45679698134</v>
      </c>
      <c r="AB9" s="53">
        <f t="shared" si="8"/>
        <v>2.8653086218939312E-2</v>
      </c>
      <c r="AD9" s="87">
        <f t="shared" si="9"/>
        <v>0</v>
      </c>
      <c r="AE9" s="87">
        <f t="shared" si="10"/>
        <v>0</v>
      </c>
      <c r="AF9" s="87">
        <f t="shared" si="11"/>
        <v>0</v>
      </c>
      <c r="AG9" s="87">
        <f t="shared" si="12"/>
        <v>0</v>
      </c>
      <c r="AH9" s="87">
        <f t="shared" si="13"/>
        <v>13.602364179226626</v>
      </c>
      <c r="AI9" s="87">
        <f t="shared" si="14"/>
        <v>40</v>
      </c>
      <c r="AJ9" s="87">
        <f t="shared" si="15"/>
        <v>2.941999999999998</v>
      </c>
      <c r="AK9" s="87">
        <f t="shared" si="16"/>
        <v>4.756756756756757</v>
      </c>
      <c r="AL9" s="87">
        <f t="shared" si="17"/>
        <v>0</v>
      </c>
      <c r="AM9" s="88">
        <f t="shared" si="24"/>
        <v>61</v>
      </c>
      <c r="AN9" s="74">
        <v>2006</v>
      </c>
      <c r="AO9" s="28">
        <f>ROUNDUP($AN9*AO$3,0)+195</f>
        <v>1600</v>
      </c>
      <c r="AP9" s="28">
        <f t="shared" si="19"/>
        <v>601</v>
      </c>
      <c r="AQ9" s="28">
        <f t="shared" si="20"/>
        <v>601</v>
      </c>
      <c r="AR9" s="74">
        <f t="shared" si="21"/>
        <v>2201</v>
      </c>
      <c r="AS9" s="74">
        <f t="shared" si="22"/>
        <v>195</v>
      </c>
      <c r="AT9" s="89">
        <f t="shared" si="23"/>
        <v>1.0972083748753738</v>
      </c>
    </row>
    <row r="10" spans="1:46" x14ac:dyDescent="0.25">
      <c r="A10" s="166" t="s">
        <v>229</v>
      </c>
      <c r="B10" s="113"/>
      <c r="C10" s="113"/>
      <c r="D10" s="9" t="s">
        <v>164</v>
      </c>
      <c r="E10" s="10">
        <f>COUNTIFS(LO!E:E,$A10)</f>
        <v>11</v>
      </c>
      <c r="F10" s="11">
        <f>SUMIFS(LO!F:F,LO!$E:$E,$A10)</f>
        <v>6431720.3067626934</v>
      </c>
      <c r="G10" s="11">
        <f>SUMIFS(LO!G:G,LO!$E:$E,$A10)</f>
        <v>6777777.7777777771</v>
      </c>
      <c r="H10" s="53">
        <f t="shared" si="1"/>
        <v>0.94894234034203684</v>
      </c>
      <c r="I10" s="10">
        <f>SUMIFS(LO!I:I,LO!$E:$E,$A10)</f>
        <v>1618</v>
      </c>
      <c r="J10" s="10">
        <f>SUMIFS(LO!J:J,LO!$E:$E,$A10)</f>
        <v>7823</v>
      </c>
      <c r="K10" s="53">
        <f t="shared" si="2"/>
        <v>0.20682602582129617</v>
      </c>
      <c r="L10" s="11">
        <f>SUMIFS(LO!L:L,LO!$E:$E,$A10)</f>
        <v>443333.33333333337</v>
      </c>
      <c r="M10" s="11">
        <f>SUMIFS(LO!M:M,LO!$E:$E,$A10)</f>
        <v>784090.87000000011</v>
      </c>
      <c r="N10" s="53">
        <f t="shared" si="3"/>
        <v>0.56541065620791287</v>
      </c>
      <c r="O10" s="10">
        <f>SUMIFS(LO!O:O,LO!$E:$E,$A10)</f>
        <v>75</v>
      </c>
      <c r="P10" s="10">
        <f>SUMIFS(LO!P:P,LO!$E:$E,$A10)</f>
        <v>116</v>
      </c>
      <c r="Q10" s="53">
        <f t="shared" si="4"/>
        <v>0.64655172413793105</v>
      </c>
      <c r="R10" s="10">
        <f>SUMIFS(LO!R:R,LO!$E:$E,$A10)</f>
        <v>75</v>
      </c>
      <c r="S10" s="10">
        <f>SUMIFS(LO!S:S,LO!$E:$E,$A10)</f>
        <v>42</v>
      </c>
      <c r="T10" s="53">
        <f t="shared" si="5"/>
        <v>0.56000000000000005</v>
      </c>
      <c r="U10" s="10">
        <f>SUMIFS(LO!U:U,LO!$E:$E,$A10)</f>
        <v>8</v>
      </c>
      <c r="V10" s="53">
        <f t="shared" si="6"/>
        <v>0.10666666666666667</v>
      </c>
      <c r="W10" s="10">
        <f>SUMIFS(LO!W:W,LO!$E:$E,$A10)</f>
        <v>1618</v>
      </c>
      <c r="X10" s="53">
        <f>AVERAGEIFS(LO!X:X,LO!$E:$E,$A10)</f>
        <v>0.58836363636363642</v>
      </c>
      <c r="Y10" s="11">
        <f>SUMIFS(LO!Y:Y,LO!$E:$E,$A10)</f>
        <v>211587.01610651333</v>
      </c>
      <c r="Z10" s="53">
        <f t="shared" si="7"/>
        <v>3.2897421842805905E-2</v>
      </c>
      <c r="AA10" s="11">
        <f>SUMIFS(LO!AA:AA,LO!$E:$E,$A10)</f>
        <v>207759.3338011312</v>
      </c>
      <c r="AB10" s="53">
        <f t="shared" si="8"/>
        <v>3.230229610306292E-2</v>
      </c>
      <c r="AD10" s="18">
        <f t="shared" si="9"/>
        <v>8.2980780114012234</v>
      </c>
      <c r="AE10" s="18">
        <f t="shared" si="10"/>
        <v>0</v>
      </c>
      <c r="AF10" s="18">
        <f t="shared" si="11"/>
        <v>0</v>
      </c>
      <c r="AG10" s="18">
        <f t="shared" si="12"/>
        <v>0</v>
      </c>
      <c r="AH10" s="18">
        <f t="shared" si="13"/>
        <v>11.13077344715823</v>
      </c>
      <c r="AI10" s="18">
        <f t="shared" si="14"/>
        <v>40</v>
      </c>
      <c r="AJ10" s="18">
        <f t="shared" si="15"/>
        <v>0.88363636363636422</v>
      </c>
      <c r="AK10" s="18">
        <f t="shared" si="16"/>
        <v>3.600000000000001</v>
      </c>
      <c r="AL10" s="18">
        <f t="shared" si="17"/>
        <v>0</v>
      </c>
      <c r="AM10" s="88">
        <f t="shared" si="24"/>
        <v>64</v>
      </c>
      <c r="AN10" s="28">
        <v>2620</v>
      </c>
      <c r="AO10" s="28">
        <f t="shared" si="18"/>
        <v>1834</v>
      </c>
      <c r="AP10" s="28">
        <f t="shared" si="19"/>
        <v>786</v>
      </c>
      <c r="AQ10" s="28">
        <f t="shared" si="20"/>
        <v>786</v>
      </c>
      <c r="AR10" s="28">
        <f t="shared" si="21"/>
        <v>2620</v>
      </c>
      <c r="AS10" s="28">
        <f t="shared" si="22"/>
        <v>0</v>
      </c>
      <c r="AT10" s="66">
        <f t="shared" si="23"/>
        <v>1</v>
      </c>
    </row>
    <row r="11" spans="1:46" x14ac:dyDescent="0.25">
      <c r="A11" s="166" t="s">
        <v>228</v>
      </c>
      <c r="B11" s="113"/>
      <c r="C11" s="113"/>
      <c r="D11" s="9" t="s">
        <v>359</v>
      </c>
      <c r="E11" s="10">
        <f>COUNTIFS(LO!E:E,$A11)</f>
        <v>8</v>
      </c>
      <c r="F11" s="11">
        <f>SUMIFS(LO!F:F,LO!$E:$E,$A11)</f>
        <v>4541722.6882617231</v>
      </c>
      <c r="G11" s="11">
        <f>SUMIFS(LO!G:G,LO!$E:$E,$A11)</f>
        <v>3555555.555555556</v>
      </c>
      <c r="H11" s="53">
        <f t="shared" si="1"/>
        <v>1.2773595060736096</v>
      </c>
      <c r="I11" s="10">
        <f>SUMIFS(LO!I:I,LO!$E:$E,$A11)</f>
        <v>1351</v>
      </c>
      <c r="J11" s="10">
        <f>SUMIFS(LO!J:J,LO!$E:$E,$A11)</f>
        <v>4178</v>
      </c>
      <c r="K11" s="53">
        <f t="shared" si="2"/>
        <v>0.32336045955002396</v>
      </c>
      <c r="L11" s="11">
        <f>SUMIFS(LO!L:L,LO!$E:$E,$A11)</f>
        <v>323484.84848484851</v>
      </c>
      <c r="M11" s="11">
        <f>SUMIFS(LO!M:M,LO!$E:$E,$A11)</f>
        <v>499999.98</v>
      </c>
      <c r="N11" s="53">
        <f t="shared" si="3"/>
        <v>0.64696972284848597</v>
      </c>
      <c r="O11" s="10">
        <f>SUMIFS(LO!O:O,LO!$E:$E,$A11)</f>
        <v>63</v>
      </c>
      <c r="P11" s="10">
        <f>SUMIFS(LO!P:P,LO!$E:$E,$A11)</f>
        <v>106</v>
      </c>
      <c r="Q11" s="53">
        <f t="shared" si="4"/>
        <v>0.59433962264150941</v>
      </c>
      <c r="R11" s="10">
        <f>SUMIFS(LO!R:R,LO!$E:$E,$A11)</f>
        <v>63</v>
      </c>
      <c r="S11" s="10">
        <f>SUMIFS(LO!S:S,LO!$E:$E,$A11)</f>
        <v>37</v>
      </c>
      <c r="T11" s="53">
        <f t="shared" si="5"/>
        <v>0.58730158730158732</v>
      </c>
      <c r="U11" s="10">
        <f>SUMIFS(LO!U:U,LO!$E:$E,$A11)</f>
        <v>9</v>
      </c>
      <c r="V11" s="53">
        <f t="shared" si="6"/>
        <v>0.14285714285714285</v>
      </c>
      <c r="W11" s="10">
        <f>SUMIFS(LO!W:W,LO!$E:$E,$A11)</f>
        <v>1351</v>
      </c>
      <c r="X11" s="53">
        <f>AVERAGEIFS(LO!X:X,LO!$E:$E,$A11)</f>
        <v>0.67549999999999999</v>
      </c>
      <c r="Y11" s="11">
        <f>SUMIFS(LO!Y:Y,LO!$E:$E,$A11)</f>
        <v>89083.413802585041</v>
      </c>
      <c r="Z11" s="53">
        <f t="shared" si="7"/>
        <v>1.9614454672194085E-2</v>
      </c>
      <c r="AA11" s="11">
        <f>SUMIFS(LO!AA:AA,LO!$E:$E,$A11)</f>
        <v>97034.674492456499</v>
      </c>
      <c r="AB11" s="53">
        <f t="shared" si="8"/>
        <v>2.1365169375762806E-2</v>
      </c>
      <c r="AD11" s="18">
        <f t="shared" si="9"/>
        <v>10</v>
      </c>
      <c r="AE11" s="18">
        <f t="shared" si="10"/>
        <v>0</v>
      </c>
      <c r="AF11" s="18">
        <f t="shared" si="11"/>
        <v>0</v>
      </c>
      <c r="AG11" s="18">
        <f t="shared" si="12"/>
        <v>0</v>
      </c>
      <c r="AH11" s="18">
        <f t="shared" si="13"/>
        <v>15</v>
      </c>
      <c r="AI11" s="18">
        <f t="shared" si="14"/>
        <v>40</v>
      </c>
      <c r="AJ11" s="18">
        <f t="shared" si="15"/>
        <v>1.7549999999999999</v>
      </c>
      <c r="AK11" s="18">
        <f t="shared" si="16"/>
        <v>3.8730158730158735</v>
      </c>
      <c r="AL11" s="18">
        <f t="shared" si="17"/>
        <v>0</v>
      </c>
      <c r="AM11" s="88">
        <f t="shared" si="24"/>
        <v>71</v>
      </c>
      <c r="AN11" s="28">
        <v>2111</v>
      </c>
      <c r="AO11" s="28">
        <f t="shared" si="18"/>
        <v>1478</v>
      </c>
      <c r="AP11" s="28">
        <f t="shared" si="19"/>
        <v>633</v>
      </c>
      <c r="AQ11" s="28">
        <f t="shared" si="20"/>
        <v>633</v>
      </c>
      <c r="AR11" s="28">
        <f t="shared" si="21"/>
        <v>2111</v>
      </c>
      <c r="AS11" s="28">
        <f t="shared" si="22"/>
        <v>0</v>
      </c>
      <c r="AT11" s="66">
        <f t="shared" si="23"/>
        <v>1</v>
      </c>
    </row>
    <row r="12" spans="1:46" hidden="1" x14ac:dyDescent="0.25">
      <c r="A12" s="166" t="s">
        <v>336</v>
      </c>
      <c r="B12" s="113"/>
      <c r="C12" s="113"/>
      <c r="D12" s="9"/>
      <c r="E12" s="10">
        <f>COUNTIFS(LO!E:E,$A12)</f>
        <v>7</v>
      </c>
      <c r="F12" s="11">
        <f>SUMIFS(LO!F:F,LO!$E:$E,$A12)</f>
        <v>5005488.8589815106</v>
      </c>
      <c r="G12" s="11">
        <f>SUMIFS(LO!G:G,LO!$E:$E,$A12)</f>
        <v>4111111.1111111115</v>
      </c>
      <c r="H12" s="53">
        <f>F12/G12</f>
        <v>1.2175513440765835</v>
      </c>
      <c r="I12" s="10">
        <f>SUMIFS(LO!I:I,LO!$E:$E,$A12)</f>
        <v>1304</v>
      </c>
      <c r="J12" s="10">
        <f>SUMIFS(LO!J:J,LO!$E:$E,$A12)</f>
        <v>4756</v>
      </c>
      <c r="K12" s="53">
        <f>I12/J12</f>
        <v>0.27417998317914216</v>
      </c>
      <c r="L12" s="11">
        <f>SUMIFS(LO!L:L,LO!$E:$E,$A12)</f>
        <v>188446.9696969697</v>
      </c>
      <c r="M12" s="11">
        <f>SUMIFS(LO!M:M,LO!$E:$E,$A12)</f>
        <v>488636.34</v>
      </c>
      <c r="N12" s="53">
        <f>L12/M12</f>
        <v>0.38565893338381196</v>
      </c>
      <c r="O12" s="10">
        <f>SUMIFS(LO!O:O,LO!$E:$E,$A12)</f>
        <v>48</v>
      </c>
      <c r="P12" s="10">
        <f>SUMIFS(LO!P:P,LO!$E:$E,$A12)</f>
        <v>77</v>
      </c>
      <c r="Q12" s="53">
        <f>O12/P12</f>
        <v>0.62337662337662336</v>
      </c>
      <c r="R12" s="10">
        <f>SUMIFS(LO!R:R,LO!$E:$E,$A12)</f>
        <v>48</v>
      </c>
      <c r="S12" s="10">
        <f>SUMIFS(LO!S:S,LO!$E:$E,$A12)</f>
        <v>28</v>
      </c>
      <c r="T12" s="53">
        <f>S12/R12</f>
        <v>0.58333333333333337</v>
      </c>
      <c r="U12" s="10">
        <f>SUMIFS(LO!U:U,LO!$E:$E,$A12)</f>
        <v>32</v>
      </c>
      <c r="V12" s="53">
        <f>(U12)/R12</f>
        <v>0.66666666666666663</v>
      </c>
      <c r="W12" s="10">
        <f>SUMIFS(LO!W:W,LO!$E:$E,$A12)</f>
        <v>1304</v>
      </c>
      <c r="X12" s="53">
        <f>AVERAGEIFS(LO!X:X,LO!$E:$E,$A12)</f>
        <v>0.745142857142857</v>
      </c>
      <c r="Y12" s="11">
        <f>SUMIFS(LO!Y:Y,LO!$E:$E,$A12)</f>
        <v>182417.59922867006</v>
      </c>
      <c r="Z12" s="53">
        <f>Y12/$F12</f>
        <v>3.6443513184801574E-2</v>
      </c>
      <c r="AA12" s="11">
        <f>SUMIFS(LO!AA:AA,LO!$E:$E,$A12)</f>
        <v>298531.17541055667</v>
      </c>
      <c r="AB12" s="53">
        <f>AA12/$F12</f>
        <v>5.9640763134432416E-2</v>
      </c>
      <c r="AD12" s="18">
        <f t="shared" ref="AD12" si="25">MAX(0,MIN(AD$1,AD$1*(H12/(AD$2-AD$3)-(AD$3/(AD$2-AD$3)))))</f>
        <v>10</v>
      </c>
      <c r="AE12" s="18">
        <f t="shared" ref="AE12" si="26">MAX(0,MIN(AE$1,AE$1*(K12/(AE$2-AE$3)-(AE$3/(AE$2-AE$3)))))</f>
        <v>0</v>
      </c>
      <c r="AF12" s="18">
        <f t="shared" ref="AF12" si="27">MAX(0,MIN(AF$1,AF$1*(N12/(AF$2-AF$3)-(AF$3/(AF$2-AF$3)))))</f>
        <v>0</v>
      </c>
      <c r="AG12" s="18">
        <f t="shared" ref="AG12" si="28">MAX(0,MIN(AG$1,AG$1*(Q12/(AG$2-AG$3)-(AG$3/(AG$2-AG$3)))))</f>
        <v>0</v>
      </c>
      <c r="AH12" s="18">
        <f t="shared" ref="AH12" si="29">MIN(AH$1,MAX(0,AH$1-AH$1*(Z12/(AH$3-AH$2)-(AH$2/(AH$3-AH$2)))))</f>
        <v>10.066946044559527</v>
      </c>
      <c r="AI12" s="18">
        <f t="shared" ref="AI12" si="30">MIN(AI$1,MAX(0,AI$1-AI$1*(AB12/(AI$3-AI$2)-(AI$2/(AI$3-AI$2)))))</f>
        <v>36.143694746227041</v>
      </c>
      <c r="AJ12" s="18">
        <f t="shared" ref="AJ12" si="31">MAX(0,MIN(AJ$1,AJ$1*(X12/(AJ$2-AJ$3)-(AJ$3/(AJ$2-AJ$3)))))</f>
        <v>2.4514285714285702</v>
      </c>
      <c r="AK12" s="18">
        <f t="shared" ref="AK12" si="32">MAX(0,MIN(AK$1,AK$1*(T12/(AK$2-AK$3)-(AK$3/(AK$2-AK$3)))))</f>
        <v>3.8333333333333339</v>
      </c>
      <c r="AL12" s="18">
        <f t="shared" ref="AL12" si="33">MAX(0,MIN(AL$1,AL$1*(V12/(AL$2-AL$3)-(AL$3/(AL$2-AL$3)))))</f>
        <v>0</v>
      </c>
      <c r="AM12" s="88">
        <f t="shared" ref="AM12" si="34">ROUND(SUM(AD12:AL12),0)</f>
        <v>62</v>
      </c>
      <c r="AN12" s="28">
        <v>2296</v>
      </c>
      <c r="AO12" s="28">
        <f t="shared" si="18"/>
        <v>1608</v>
      </c>
      <c r="AP12" s="28">
        <f t="shared" si="19"/>
        <v>688</v>
      </c>
      <c r="AQ12" s="28">
        <f t="shared" si="20"/>
        <v>688</v>
      </c>
      <c r="AR12" s="28">
        <f t="shared" ref="AR12" si="35">AQ12+AO12</f>
        <v>2296</v>
      </c>
      <c r="AS12" s="28">
        <f t="shared" ref="AS12" si="36">AR12-AN12</f>
        <v>0</v>
      </c>
      <c r="AT12" s="66">
        <f t="shared" ref="AT12" si="37">AR12/AN12</f>
        <v>1</v>
      </c>
    </row>
    <row r="13" spans="1:46" x14ac:dyDescent="0.25">
      <c r="A13" s="166" t="s">
        <v>149</v>
      </c>
      <c r="B13" s="114"/>
      <c r="C13" s="114"/>
      <c r="D13" s="9" t="s">
        <v>166</v>
      </c>
      <c r="E13" s="10">
        <f>COUNTIFS(LO!E:E,$A13)</f>
        <v>33</v>
      </c>
      <c r="F13" s="11">
        <f>SUMIFS(LO!F:F,LO!$E:$E,$A13)</f>
        <v>17361191.982709482</v>
      </c>
      <c r="G13" s="11">
        <f>SUMIFS(LO!G:G,LO!$E:$E,$A13)</f>
        <v>16333333.333333341</v>
      </c>
      <c r="H13" s="53">
        <f t="shared" si="1"/>
        <v>1.0629301213903759</v>
      </c>
      <c r="I13" s="10">
        <f>SUMIFS(LO!I:I,LO!$E:$E,$A13)</f>
        <v>5329</v>
      </c>
      <c r="J13" s="10">
        <f>SUMIFS(LO!J:J,LO!$E:$E,$A13)</f>
        <v>19068</v>
      </c>
      <c r="K13" s="53">
        <f t="shared" si="2"/>
        <v>0.27947346339416823</v>
      </c>
      <c r="L13" s="11">
        <f>SUMIFS(LO!L:L,LO!$E:$E,$A13)</f>
        <v>1359469.696969697</v>
      </c>
      <c r="M13" s="11">
        <f>SUMIFS(LO!M:M,LO!$E:$E,$A13)</f>
        <v>2147727.1799999992</v>
      </c>
      <c r="N13" s="53">
        <f t="shared" si="3"/>
        <v>0.63298062697595392</v>
      </c>
      <c r="O13" s="10">
        <f>SUMIFS(LO!O:O,LO!$E:$E,$A13)</f>
        <v>294</v>
      </c>
      <c r="P13" s="10">
        <f>SUMIFS(LO!P:P,LO!$E:$E,$A13)</f>
        <v>411</v>
      </c>
      <c r="Q13" s="53">
        <f t="shared" si="4"/>
        <v>0.71532846715328469</v>
      </c>
      <c r="R13" s="10">
        <f>SUMIFS(LO!R:R,LO!$E:$E,$A13)</f>
        <v>294</v>
      </c>
      <c r="S13" s="10">
        <f>SUMIFS(LO!S:S,LO!$E:$E,$A13)</f>
        <v>140</v>
      </c>
      <c r="T13" s="53">
        <f t="shared" si="5"/>
        <v>0.47619047619047616</v>
      </c>
      <c r="U13" s="10">
        <f>SUMIFS(LO!U:U,LO!$E:$E,$A13)</f>
        <v>114</v>
      </c>
      <c r="V13" s="53">
        <f t="shared" si="6"/>
        <v>0.38775510204081631</v>
      </c>
      <c r="W13" s="10">
        <f>SUMIFS(LO!W:W,LO!$E:$E,$A13)</f>
        <v>5329</v>
      </c>
      <c r="X13" s="53">
        <f>AVERAGEIFS(LO!X:X,LO!$E:$E,$A13)</f>
        <v>0.64593939393939381</v>
      </c>
      <c r="Y13" s="11">
        <f>SUMIFS(LO!Y:Y,LO!$E:$E,$A13)</f>
        <v>540273.81707523391</v>
      </c>
      <c r="Z13" s="53">
        <f t="shared" si="7"/>
        <v>3.1119626901960899E-2</v>
      </c>
      <c r="AA13" s="11">
        <f>SUMIFS(LO!AA:AA,LO!$E:$E,$A13)</f>
        <v>249647.01610319788</v>
      </c>
      <c r="AB13" s="53">
        <f t="shared" si="8"/>
        <v>1.4379601144427677E-2</v>
      </c>
      <c r="AD13" s="87">
        <f t="shared" si="9"/>
        <v>10</v>
      </c>
      <c r="AE13" s="87">
        <f t="shared" si="10"/>
        <v>0</v>
      </c>
      <c r="AF13" s="87">
        <f t="shared" si="11"/>
        <v>0</v>
      </c>
      <c r="AG13" s="87">
        <f t="shared" si="12"/>
        <v>0</v>
      </c>
      <c r="AH13" s="87">
        <f t="shared" si="13"/>
        <v>11.664111929411732</v>
      </c>
      <c r="AI13" s="87">
        <f t="shared" si="14"/>
        <v>40</v>
      </c>
      <c r="AJ13" s="87">
        <f t="shared" si="15"/>
        <v>1.4593939393939381</v>
      </c>
      <c r="AK13" s="87">
        <f t="shared" si="16"/>
        <v>2.7619047619047619</v>
      </c>
      <c r="AL13" s="87">
        <f t="shared" si="17"/>
        <v>0</v>
      </c>
      <c r="AM13" s="88">
        <f t="shared" si="24"/>
        <v>66</v>
      </c>
      <c r="AN13" s="74">
        <v>2237</v>
      </c>
      <c r="AO13" s="28">
        <f t="shared" si="18"/>
        <v>1566</v>
      </c>
      <c r="AP13" s="28">
        <f t="shared" si="19"/>
        <v>671</v>
      </c>
      <c r="AQ13" s="28">
        <f t="shared" si="20"/>
        <v>671</v>
      </c>
      <c r="AR13" s="74">
        <f t="shared" si="21"/>
        <v>2237</v>
      </c>
      <c r="AS13" s="74">
        <f t="shared" si="22"/>
        <v>0</v>
      </c>
      <c r="AT13" s="89">
        <f>AR13/AN13</f>
        <v>1</v>
      </c>
    </row>
  </sheetData>
  <autoFilter ref="A6:AV13" xr:uid="{00000000-0009-0000-0000-000001000000}">
    <filterColumn colId="0">
      <filters>
        <filter val="Alaa Kamil Qassim"/>
        <filter val="Ammar Jawad hasan"/>
        <filter val="Ezat Shamkhy Jaber"/>
        <filter val="Hayder Hashim Mohammed"/>
        <filter val="Khalid Musa Jumaa"/>
        <filter val="Mustafa Sabeeh Hadi"/>
      </filters>
    </filterColumn>
    <sortState xmlns:xlrd2="http://schemas.microsoft.com/office/spreadsheetml/2017/richdata2" ref="A7:AT14">
      <sortCondition ref="AS6:AS14"/>
    </sortState>
  </autoFilter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R29"/>
  <sheetViews>
    <sheetView zoomScaleNormal="100" workbookViewId="0">
      <pane xSplit="2" ySplit="5" topLeftCell="D6" activePane="bottomRight" state="frozen"/>
      <selection pane="topRight" activeCell="D1" sqref="D1"/>
      <selection pane="bottomLeft" activeCell="A5" sqref="A5"/>
      <selection pane="bottomRight" activeCell="L6" sqref="L6"/>
    </sheetView>
  </sheetViews>
  <sheetFormatPr defaultColWidth="3.28515625" defaultRowHeight="15" x14ac:dyDescent="0.25"/>
  <cols>
    <col min="1" max="1" width="26.140625" bestFit="1" customWidth="1"/>
    <col min="2" max="2" width="10" bestFit="1" customWidth="1"/>
    <col min="3" max="3" width="17.140625" style="5" bestFit="1" customWidth="1"/>
    <col min="4" max="5" width="15.85546875" style="4" bestFit="1" customWidth="1"/>
    <col min="6" max="6" width="14.140625" style="52" bestFit="1" customWidth="1"/>
    <col min="7" max="8" width="21" style="14" bestFit="1" customWidth="1"/>
    <col min="9" max="9" width="14.140625" style="52" bestFit="1" customWidth="1"/>
    <col min="10" max="11" width="21.5703125" style="4" bestFit="1" customWidth="1"/>
    <col min="12" max="12" width="14.140625" style="52" bestFit="1" customWidth="1"/>
    <col min="13" max="14" width="21.5703125" style="14" bestFit="1" customWidth="1"/>
    <col min="15" max="15" width="14.140625" style="52" bestFit="1" customWidth="1"/>
    <col min="16" max="16" width="16.42578125" style="5" bestFit="1" customWidth="1"/>
    <col min="17" max="17" width="22.28515625" style="5" bestFit="1" customWidth="1"/>
    <col min="18" max="18" width="21.42578125" style="56" bestFit="1" customWidth="1"/>
    <col min="19" max="19" width="22.42578125" style="5" bestFit="1" customWidth="1"/>
    <col min="20" max="20" width="20.28515625" style="56" bestFit="1" customWidth="1"/>
    <col min="21" max="21" width="14" style="5" bestFit="1" customWidth="1"/>
    <col min="22" max="22" width="16.28515625" style="52" bestFit="1" customWidth="1"/>
    <col min="23" max="23" width="14.5703125" style="4" bestFit="1" customWidth="1"/>
    <col min="24" max="24" width="10.42578125" style="52" bestFit="1" customWidth="1"/>
    <col min="25" max="25" width="12.5703125" style="4" bestFit="1" customWidth="1"/>
    <col min="26" max="26" width="9.5703125" style="52" bestFit="1" customWidth="1"/>
    <col min="27" max="28" width="21" style="19" bestFit="1" customWidth="1"/>
    <col min="29" max="29" width="21.140625" style="19" bestFit="1" customWidth="1"/>
    <col min="30" max="30" width="22.42578125" style="19" hidden="1" customWidth="1"/>
    <col min="31" max="31" width="10.42578125" style="19" bestFit="1" customWidth="1"/>
    <col min="32" max="32" width="9.5703125" style="19" bestFit="1" customWidth="1"/>
    <col min="33" max="33" width="11" style="19" hidden="1" customWidth="1"/>
    <col min="34" max="34" width="14.28515625" style="19" bestFit="1" customWidth="1"/>
    <col min="35" max="35" width="13" style="19" bestFit="1" customWidth="1"/>
    <col min="36" max="36" width="7.7109375" style="37" bestFit="1" customWidth="1"/>
    <col min="37" max="37" width="10.5703125" style="29" bestFit="1" customWidth="1"/>
    <col min="38" max="38" width="11.140625" style="29" bestFit="1" customWidth="1"/>
    <col min="39" max="39" width="11.140625" style="29" customWidth="1"/>
    <col min="40" max="40" width="20.28515625" style="29" bestFit="1" customWidth="1"/>
    <col min="41" max="41" width="19.28515625" style="29" customWidth="1"/>
    <col min="42" max="42" width="21.28515625" style="29" customWidth="1"/>
    <col min="43" max="43" width="12.42578125" style="29" customWidth="1"/>
    <col min="44" max="44" width="15.7109375" style="67" customWidth="1"/>
  </cols>
  <sheetData>
    <row r="1" spans="1:44" x14ac:dyDescent="0.25">
      <c r="A1">
        <v>1</v>
      </c>
      <c r="B1">
        <v>2</v>
      </c>
      <c r="C1" s="5">
        <v>3</v>
      </c>
      <c r="D1">
        <v>4</v>
      </c>
      <c r="E1">
        <v>5</v>
      </c>
      <c r="F1" s="5">
        <v>6</v>
      </c>
      <c r="G1">
        <v>7</v>
      </c>
      <c r="H1">
        <v>8</v>
      </c>
      <c r="I1" s="5">
        <v>9</v>
      </c>
      <c r="J1">
        <v>10</v>
      </c>
      <c r="K1">
        <v>11</v>
      </c>
      <c r="L1" s="5">
        <v>12</v>
      </c>
      <c r="M1">
        <v>13</v>
      </c>
      <c r="N1">
        <v>14</v>
      </c>
      <c r="O1" s="5">
        <v>15</v>
      </c>
      <c r="P1">
        <v>16</v>
      </c>
      <c r="Q1">
        <v>17</v>
      </c>
      <c r="R1" s="5">
        <v>18</v>
      </c>
      <c r="S1">
        <v>19</v>
      </c>
      <c r="T1">
        <v>20</v>
      </c>
      <c r="U1" s="5">
        <v>21</v>
      </c>
      <c r="V1">
        <v>22</v>
      </c>
      <c r="W1">
        <v>23</v>
      </c>
      <c r="X1" s="5">
        <v>24</v>
      </c>
      <c r="Y1">
        <v>25</v>
      </c>
      <c r="Z1">
        <v>26</v>
      </c>
    </row>
    <row r="2" spans="1:44" x14ac:dyDescent="0.25">
      <c r="B2" s="47" t="s">
        <v>219</v>
      </c>
      <c r="C2" s="14">
        <f>COUNTIFS(LO!B$7:B$288,$B2)</f>
        <v>75</v>
      </c>
      <c r="E2" s="7">
        <f>LO!G5</f>
        <v>72000000</v>
      </c>
      <c r="F2" s="4"/>
      <c r="G2" s="4"/>
      <c r="H2" s="31">
        <v>32000</v>
      </c>
      <c r="I2" s="4"/>
      <c r="L2" s="4"/>
      <c r="M2" s="4"/>
      <c r="N2" s="31">
        <v>2900</v>
      </c>
      <c r="O2" s="4"/>
      <c r="P2" s="14"/>
      <c r="Q2" s="3"/>
      <c r="S2" s="3"/>
      <c r="T2" s="5"/>
      <c r="U2" s="8" t="s">
        <v>223</v>
      </c>
      <c r="V2" s="8" t="s">
        <v>130</v>
      </c>
      <c r="X2" s="5"/>
      <c r="Z2" s="75" t="s">
        <v>176</v>
      </c>
      <c r="AA2" s="16">
        <v>0</v>
      </c>
      <c r="AB2" s="16">
        <v>0</v>
      </c>
      <c r="AC2" s="16">
        <v>30</v>
      </c>
      <c r="AD2" s="16">
        <v>0</v>
      </c>
      <c r="AE2" s="16">
        <v>20</v>
      </c>
      <c r="AF2" s="16">
        <v>40</v>
      </c>
      <c r="AG2" s="16">
        <v>0</v>
      </c>
      <c r="AH2" s="16">
        <v>5</v>
      </c>
      <c r="AI2" s="16">
        <v>5</v>
      </c>
      <c r="AJ2" s="33">
        <f>SUM(AC2:AI2)</f>
        <v>100</v>
      </c>
      <c r="AK2" s="16" t="s">
        <v>213</v>
      </c>
      <c r="AL2" s="16">
        <v>50</v>
      </c>
      <c r="AM2" s="16"/>
      <c r="AN2" s="16" t="s">
        <v>262</v>
      </c>
      <c r="AO2" s="111">
        <v>300</v>
      </c>
      <c r="AP2" s="26"/>
    </row>
    <row r="3" spans="1:44" ht="15.75" thickBot="1" x14ac:dyDescent="0.3">
      <c r="B3" s="47" t="s">
        <v>218</v>
      </c>
      <c r="C3" s="14">
        <f>COUNTIFS(LO!B$7:B$288,$B3)</f>
        <v>9</v>
      </c>
      <c r="E3" s="61" t="s">
        <v>198</v>
      </c>
      <c r="F3" s="4"/>
      <c r="G3" s="4"/>
      <c r="H3" s="61" t="s">
        <v>198</v>
      </c>
      <c r="I3" s="4"/>
      <c r="K3" s="61" t="s">
        <v>198</v>
      </c>
      <c r="L3" s="4"/>
      <c r="M3" s="4"/>
      <c r="N3" s="61" t="s">
        <v>198</v>
      </c>
      <c r="O3" s="4"/>
      <c r="P3" s="14"/>
      <c r="T3" s="57" t="s">
        <v>219</v>
      </c>
      <c r="U3" s="70">
        <f>AVERAGEIFS(LO!$W$7:$W$291,LO!$B$7:$B$291,$T3)</f>
        <v>168.26666666666668</v>
      </c>
      <c r="V3" s="71">
        <v>250</v>
      </c>
      <c r="W3" s="60">
        <f>SUBTOTAL(101,X$6:X$44)</f>
        <v>2.5603635595509527E-2</v>
      </c>
      <c r="X3" s="59"/>
      <c r="Y3" s="60">
        <f>SUBTOTAL(101,Z$6:Z$44)</f>
        <v>2.2986133257021295E-2</v>
      </c>
      <c r="Z3" s="75" t="s">
        <v>177</v>
      </c>
      <c r="AA3" s="17">
        <v>1</v>
      </c>
      <c r="AB3" s="17">
        <v>1</v>
      </c>
      <c r="AC3" s="17">
        <v>1</v>
      </c>
      <c r="AD3" s="17">
        <v>1</v>
      </c>
      <c r="AE3" s="17">
        <v>0.02</v>
      </c>
      <c r="AF3" s="17">
        <v>0.05</v>
      </c>
      <c r="AG3" s="17">
        <v>1</v>
      </c>
      <c r="AH3" s="17">
        <v>0.7</v>
      </c>
      <c r="AI3" s="17">
        <v>0.3</v>
      </c>
      <c r="AJ3" s="34">
        <f>AVERAGE(AJ6:AJ27)</f>
        <v>74.181818181818187</v>
      </c>
      <c r="AN3" s="16" t="s">
        <v>261</v>
      </c>
      <c r="AO3" s="111">
        <v>-400</v>
      </c>
      <c r="AP3" s="26"/>
    </row>
    <row r="4" spans="1:44" ht="15.75" thickBot="1" x14ac:dyDescent="0.3">
      <c r="C4" s="51">
        <f>SUBTOTAL(109,C$6:C$44)</f>
        <v>120</v>
      </c>
      <c r="D4" s="49">
        <f>SUBTOTAL(109,D$6:D$44)</f>
        <v>73211824.620598108</v>
      </c>
      <c r="E4" s="49">
        <f>SUBTOTAL(109,E$6:E$44)</f>
        <v>72000000</v>
      </c>
      <c r="G4" s="51">
        <f>SUBTOTAL(109,G$6:G$44)</f>
        <v>20184</v>
      </c>
      <c r="H4" s="51">
        <f>SUBTOTAL(109,H$6:H$44)</f>
        <v>64002</v>
      </c>
      <c r="J4" s="49">
        <f>SUBTOTAL(109,J$6:J$44)</f>
        <v>5604166.666666667</v>
      </c>
      <c r="K4" s="110">
        <f>SUBTOTAL(109,K6:K28)</f>
        <v>7977272.4300000006</v>
      </c>
      <c r="M4" s="51">
        <f>SUBTOTAL(109,M$6:M$44)</f>
        <v>1094</v>
      </c>
      <c r="N4" s="51">
        <f>SUBTOTAL(109,N$6:N$44)</f>
        <v>1440</v>
      </c>
      <c r="P4" s="51">
        <f>SUBTOTAL(109,P$6:P$44)</f>
        <v>1092</v>
      </c>
      <c r="Q4" s="51">
        <f>SUBTOTAL(109,Q$6:Q$44)</f>
        <v>556</v>
      </c>
      <c r="S4" s="51">
        <f>SUBTOTAL(109,S$6:S$44)</f>
        <v>474</v>
      </c>
      <c r="T4" s="57" t="s">
        <v>218</v>
      </c>
      <c r="U4" s="70">
        <f>AVERAGEIFS(LO!$W$7:$W$291,LO!$B$7:$B$291,$T4)</f>
        <v>76.555555555555557</v>
      </c>
      <c r="V4" s="71">
        <v>100</v>
      </c>
      <c r="W4" s="49">
        <f>SUBTOTAL(109,W$6:W$44)</f>
        <v>1954070.2306260802</v>
      </c>
      <c r="Y4" s="49">
        <f>SUBTOTAL(109,Y$6:Y$44)</f>
        <v>1641872.738170407</v>
      </c>
      <c r="Z4" s="75" t="s">
        <v>178</v>
      </c>
      <c r="AA4" s="17">
        <v>0.7</v>
      </c>
      <c r="AB4" s="17">
        <v>0.8</v>
      </c>
      <c r="AC4" s="17">
        <v>0.7</v>
      </c>
      <c r="AD4" s="17">
        <v>0.8</v>
      </c>
      <c r="AE4" s="17">
        <v>7.0000000000000007E-2</v>
      </c>
      <c r="AF4" s="17">
        <v>0.15</v>
      </c>
      <c r="AG4" s="17">
        <v>0.5</v>
      </c>
      <c r="AH4" s="17">
        <v>0.2</v>
      </c>
      <c r="AI4" s="17">
        <v>0</v>
      </c>
      <c r="AJ4" s="34"/>
      <c r="AK4" s="40">
        <f>AK29</f>
        <v>36164</v>
      </c>
      <c r="AL4" s="17">
        <v>0.6</v>
      </c>
      <c r="AM4" s="17">
        <v>0.2</v>
      </c>
      <c r="AN4" s="17">
        <f>100%-AL4-AM4</f>
        <v>0.2</v>
      </c>
      <c r="AO4" s="17"/>
      <c r="AP4" s="26"/>
      <c r="AQ4" s="191">
        <f>AQ29</f>
        <v>3373.74</v>
      </c>
      <c r="AR4" s="17"/>
    </row>
    <row r="5" spans="1:44" s="13" customFormat="1" x14ac:dyDescent="0.25">
      <c r="A5" s="21" t="s">
        <v>123</v>
      </c>
      <c r="B5" s="21" t="s">
        <v>125</v>
      </c>
      <c r="C5" s="8" t="s">
        <v>172</v>
      </c>
      <c r="D5" s="8" t="s">
        <v>194</v>
      </c>
      <c r="E5" s="8" t="s">
        <v>191</v>
      </c>
      <c r="F5" s="8" t="s">
        <v>195</v>
      </c>
      <c r="G5" s="30" t="s">
        <v>193</v>
      </c>
      <c r="H5" s="30" t="s">
        <v>192</v>
      </c>
      <c r="I5" s="8" t="s">
        <v>195</v>
      </c>
      <c r="J5" s="8" t="s">
        <v>196</v>
      </c>
      <c r="K5" s="8" t="s">
        <v>197</v>
      </c>
      <c r="L5" s="8" t="s">
        <v>195</v>
      </c>
      <c r="M5" s="8" t="s">
        <v>220</v>
      </c>
      <c r="N5" s="8" t="s">
        <v>221</v>
      </c>
      <c r="O5" s="8" t="s">
        <v>195</v>
      </c>
      <c r="P5" s="8" t="s">
        <v>170</v>
      </c>
      <c r="Q5" s="8" t="s">
        <v>216</v>
      </c>
      <c r="R5" s="8" t="s">
        <v>169</v>
      </c>
      <c r="S5" s="8" t="s">
        <v>167</v>
      </c>
      <c r="T5" s="8" t="s">
        <v>171</v>
      </c>
      <c r="U5" s="8" t="s">
        <v>126</v>
      </c>
      <c r="V5" s="62" t="s">
        <v>173</v>
      </c>
      <c r="W5" s="8" t="s">
        <v>201</v>
      </c>
      <c r="X5" s="8" t="s">
        <v>202</v>
      </c>
      <c r="Y5" s="8" t="s">
        <v>175</v>
      </c>
      <c r="Z5" s="8" t="s">
        <v>128</v>
      </c>
      <c r="AA5" s="23" t="s">
        <v>263</v>
      </c>
      <c r="AB5" s="23" t="s">
        <v>314</v>
      </c>
      <c r="AC5" s="23" t="s">
        <v>231</v>
      </c>
      <c r="AD5" s="23" t="s">
        <v>199</v>
      </c>
      <c r="AE5" s="23" t="s">
        <v>214</v>
      </c>
      <c r="AF5" s="23" t="s">
        <v>128</v>
      </c>
      <c r="AG5" s="23" t="s">
        <v>181</v>
      </c>
      <c r="AH5" s="23" t="s">
        <v>179</v>
      </c>
      <c r="AI5" s="23" t="s">
        <v>180</v>
      </c>
      <c r="AJ5" s="35" t="s">
        <v>182</v>
      </c>
      <c r="AK5" s="27" t="s">
        <v>185</v>
      </c>
      <c r="AL5" s="27" t="s">
        <v>348</v>
      </c>
      <c r="AM5" s="27" t="s">
        <v>347</v>
      </c>
      <c r="AN5" s="27" t="s">
        <v>187</v>
      </c>
      <c r="AO5" s="27" t="s">
        <v>188</v>
      </c>
      <c r="AP5" s="27" t="s">
        <v>189</v>
      </c>
      <c r="AQ5" s="27" t="s">
        <v>190</v>
      </c>
      <c r="AR5" s="65" t="s">
        <v>222</v>
      </c>
    </row>
    <row r="6" spans="1:44" x14ac:dyDescent="0.25">
      <c r="A6" s="9" t="s">
        <v>464</v>
      </c>
      <c r="B6" s="9" t="str">
        <f>VLOOKUP($A6,MainData!$C:$E,2,FALSE)</f>
        <v>Basra</v>
      </c>
      <c r="C6" s="10">
        <f>COUNTIFS(LO!C:C,$A6)</f>
        <v>5</v>
      </c>
      <c r="D6" s="11">
        <f>SUMIFS(LO!F:F,LO!$C:$C,$A6)</f>
        <v>3853073.7607563231</v>
      </c>
      <c r="E6" s="11">
        <f>SUMIFS(LO!G:G,LO!$C:$C,$A6)</f>
        <v>4777777.7777777771</v>
      </c>
      <c r="F6" s="53">
        <f t="shared" ref="F6:F7" si="0">D6/E6</f>
        <v>0.80645729876295147</v>
      </c>
      <c r="G6" s="10">
        <f>SUMIFS(LO!I:I,LO!$C:$C,$A6)</f>
        <v>834</v>
      </c>
      <c r="H6" s="10">
        <f>SUMIFS(LO!J:J,LO!$C:$C,$A6)</f>
        <v>3289</v>
      </c>
      <c r="I6" s="53">
        <f t="shared" ref="I6:I7" si="1">G6/H6</f>
        <v>0.25357251444207968</v>
      </c>
      <c r="J6" s="11">
        <f>SUMIFS(LO!L:L,LO!$C:$C,$A6)</f>
        <v>286742.42424242425</v>
      </c>
      <c r="K6" s="11">
        <f>SUMIFS(LO!M:M,LO!$C:$C,$A6)</f>
        <v>390151.5</v>
      </c>
      <c r="L6" s="53">
        <f t="shared" ref="L6:L7" si="2">J6/K6</f>
        <v>0.73495148485248485</v>
      </c>
      <c r="M6" s="10">
        <f>SUMIFS(LO!O:O,LO!$C:$C,$A6)</f>
        <v>51</v>
      </c>
      <c r="N6" s="10">
        <f>SUMIFS(LO!P:P,LO!$C:$C,$A6)</f>
        <v>42</v>
      </c>
      <c r="O6" s="53">
        <f t="shared" ref="O6:O7" si="3">M6/N6</f>
        <v>1.2142857142857142</v>
      </c>
      <c r="P6" s="10">
        <f>SUMIFS(LO!R:R,LO!$C:$C,$A6)</f>
        <v>51</v>
      </c>
      <c r="Q6" s="10">
        <f>SUMIFS(LO!S:S,LO!$C:$C,$A6)</f>
        <v>24</v>
      </c>
      <c r="R6" s="53">
        <f t="shared" ref="R6:R7" si="4">IFERROR(Q6/P6,0)</f>
        <v>0.47058823529411764</v>
      </c>
      <c r="S6" s="10">
        <f>SUMIFS(LO!U:U,LO!$C:$C,$A6)</f>
        <v>22</v>
      </c>
      <c r="T6" s="53">
        <f t="shared" ref="T6:T7" si="5">IFERROR((S6)/P6,0)</f>
        <v>0.43137254901960786</v>
      </c>
      <c r="U6" s="10">
        <f>SUMIFS(LO!W:W,LO!$C:$C,$A6)</f>
        <v>834</v>
      </c>
      <c r="V6" s="53">
        <f>AVERAGEIFS(LO!X:X,LO!$C:$C,$A6)</f>
        <v>0.72240000000000004</v>
      </c>
      <c r="W6" s="11">
        <f>SUMIFS(LO!Y:Y,LO!$C:$C,$A6)</f>
        <v>84724.716386363652</v>
      </c>
      <c r="X6" s="53">
        <f t="shared" ref="X6:X7" si="6">W6/$D6</f>
        <v>2.1988864383881652E-2</v>
      </c>
      <c r="Y6" s="11">
        <f>SUMIFS(LO!AA:AA,LO!$C:$C,$A6)</f>
        <v>171180.19141973247</v>
      </c>
      <c r="Z6" s="53">
        <f t="shared" ref="Z6:Z7" si="7">Y6/$D6</f>
        <v>4.4426917844970444E-2</v>
      </c>
      <c r="AA6" s="18"/>
      <c r="AB6" s="18"/>
      <c r="AC6" s="18">
        <f t="shared" ref="AC6:AC7" si="8">MAX(0,MIN(AC$2,AC$2*(L6/(AC$3-AC$4)-(AC$4/(AC$3-AC$4)))))</f>
        <v>3.4951484852484782</v>
      </c>
      <c r="AD6" s="18">
        <f t="shared" ref="AD6:AD7" si="9">MAX(0,MIN(AD$2,AD$2*(O6/(AD$3-AD$4)-(AD$4/(AD$3-AD$4)))))</f>
        <v>0</v>
      </c>
      <c r="AE6" s="18">
        <f t="shared" ref="AE6:AE7" si="10">MIN(AE$2,MAX(0,AE$2-AE$2*(X6/(AE$4-AE$3)-(AE$3/(AE$4-AE$3)))))</f>
        <v>19.204454246447337</v>
      </c>
      <c r="AF6" s="18">
        <f t="shared" ref="AF6:AF7" si="11">MIN(AF$2,MAX(0,AF$2-AF$2*(Z6/(AF$4-AF$3)-(AF$3/(AF$4-AF$3)))))</f>
        <v>40</v>
      </c>
      <c r="AG6" s="18">
        <f t="shared" ref="AG6:AG7" si="12">MAX(0,MIN(AG$2,AG$2*(V6/(AG$3-AG$4)-(AG$4/(AG$3-AG$4)))))</f>
        <v>0</v>
      </c>
      <c r="AH6" s="18">
        <f t="shared" ref="AH6:AH7" si="13">MAX(0,MIN(AH$2,AH$2*(R6/(AH$3-AH$4)-(AH$4/(AH$3-AH$4)))))</f>
        <v>2.7058823529411766</v>
      </c>
      <c r="AI6" s="18">
        <f t="shared" ref="AI6:AI7" si="14">MAX(0,MIN(AI$2,AI$2*(T6/(AI$3-AI$4)-(AI$4/(AI$3-AI$4)))))</f>
        <v>5</v>
      </c>
      <c r="AJ6" s="36">
        <f t="shared" ref="AJ6:AJ27" si="15">ROUND(SUM(AC6:AI6),0)</f>
        <v>70</v>
      </c>
      <c r="AK6" s="28">
        <v>1040</v>
      </c>
      <c r="AL6" s="28">
        <f t="shared" ref="AL6:AL28" si="16">ROUNDUP($AK6*AL$4,0)</f>
        <v>624</v>
      </c>
      <c r="AM6" s="28">
        <f t="shared" ref="AM6:AN28" si="17">ROUNDDOWN($AK6*AM$4,0)</f>
        <v>208</v>
      </c>
      <c r="AN6" s="28">
        <f t="shared" si="17"/>
        <v>208</v>
      </c>
      <c r="AO6" s="28">
        <f t="shared" ref="AO6:AO28" si="18">MIN($AN6+$AO$2,MAX($AN6+$AO$3,MAX(0,$AN6/$AL$2*$AJ6)))</f>
        <v>291.2</v>
      </c>
      <c r="AP6" s="28">
        <f t="shared" ref="AP6:AP7" si="19">AO6+AL6+AM6</f>
        <v>1123.2</v>
      </c>
      <c r="AQ6" s="28">
        <f t="shared" ref="AQ6:AQ7" si="20">AP6-AK6</f>
        <v>83.200000000000045</v>
      </c>
      <c r="AR6" s="66">
        <f t="shared" ref="AR6:AR7" si="21">AP6/AK6</f>
        <v>1.08</v>
      </c>
    </row>
    <row r="7" spans="1:44" s="261" customFormat="1" x14ac:dyDescent="0.25">
      <c r="A7" s="255" t="s">
        <v>276</v>
      </c>
      <c r="B7" s="255" t="str">
        <f>VLOOKUP($A7,MainData!$C:$E,2,FALSE)</f>
        <v>Hashimiyah</v>
      </c>
      <c r="C7" s="256">
        <f>COUNTIFS(LO!C:C,$A7)</f>
        <v>4</v>
      </c>
      <c r="D7" s="257">
        <f>SUMIFS(LO!F:F,LO!$C:$C,$A7)</f>
        <v>2812110.9564993395</v>
      </c>
      <c r="E7" s="257">
        <f>SUMIFS(LO!G:G,LO!$C:$C,$A7)</f>
        <v>1333333.3333333333</v>
      </c>
      <c r="F7" s="258">
        <f t="shared" si="0"/>
        <v>2.1090832173745047</v>
      </c>
      <c r="G7" s="256">
        <f>SUMIFS(LO!I:I,LO!$C:$C,$A7)</f>
        <v>943</v>
      </c>
      <c r="H7" s="256">
        <f>SUMIFS(LO!J:J,LO!$C:$C,$A7)</f>
        <v>1600</v>
      </c>
      <c r="I7" s="258">
        <f t="shared" si="1"/>
        <v>0.58937499999999998</v>
      </c>
      <c r="J7" s="257">
        <f>SUMIFS(LO!L:L,LO!$C:$C,$A7)</f>
        <v>245454.54545454547</v>
      </c>
      <c r="K7" s="257">
        <f>SUMIFS(LO!M:M,LO!$C:$C,$A7)</f>
        <v>227272.72</v>
      </c>
      <c r="L7" s="258">
        <f t="shared" si="2"/>
        <v>1.0800000345600012</v>
      </c>
      <c r="M7" s="256">
        <f>SUMIFS(LO!O:O,LO!$C:$C,$A7)</f>
        <v>53</v>
      </c>
      <c r="N7" s="256">
        <f>SUMIFS(LO!P:P,LO!$C:$C,$A7)</f>
        <v>60</v>
      </c>
      <c r="O7" s="258">
        <f t="shared" si="3"/>
        <v>0.8833333333333333</v>
      </c>
      <c r="P7" s="256">
        <f>SUMIFS(LO!R:R,LO!$C:$C,$A7)</f>
        <v>53</v>
      </c>
      <c r="Q7" s="256">
        <f>SUMIFS(LO!S:S,LO!$C:$C,$A7)</f>
        <v>25</v>
      </c>
      <c r="R7" s="258">
        <f t="shared" si="4"/>
        <v>0.47169811320754718</v>
      </c>
      <c r="S7" s="256">
        <f>SUMIFS(LO!U:U,LO!$C:$C,$A7)</f>
        <v>21</v>
      </c>
      <c r="T7" s="258">
        <f t="shared" si="5"/>
        <v>0.39622641509433965</v>
      </c>
      <c r="U7" s="256">
        <f>SUMIFS(LO!W:W,LO!$C:$C,$A7)</f>
        <v>943</v>
      </c>
      <c r="V7" s="258">
        <f>AVERAGEIFS(LO!X:X,LO!$C:$C,$A7)</f>
        <v>0.94300000000000006</v>
      </c>
      <c r="W7" s="257">
        <f>SUMIFS(LO!Y:Y,LO!$C:$C,$A7)</f>
        <v>23790.535288758234</v>
      </c>
      <c r="X7" s="258">
        <f t="shared" si="6"/>
        <v>8.4600272381762341E-3</v>
      </c>
      <c r="Y7" s="257">
        <f>SUMIFS(LO!AA:AA,LO!$C:$C,$A7)</f>
        <v>19164.651249999999</v>
      </c>
      <c r="Z7" s="258">
        <f t="shared" si="7"/>
        <v>6.8150409235121874E-3</v>
      </c>
      <c r="AA7" s="256"/>
      <c r="AB7" s="256"/>
      <c r="AC7" s="256">
        <f t="shared" si="8"/>
        <v>30</v>
      </c>
      <c r="AD7" s="256">
        <f t="shared" si="9"/>
        <v>0</v>
      </c>
      <c r="AE7" s="256">
        <f t="shared" si="10"/>
        <v>20</v>
      </c>
      <c r="AF7" s="256">
        <f t="shared" si="11"/>
        <v>40</v>
      </c>
      <c r="AG7" s="256">
        <f t="shared" si="12"/>
        <v>0</v>
      </c>
      <c r="AH7" s="256">
        <f t="shared" si="13"/>
        <v>2.716981132075472</v>
      </c>
      <c r="AI7" s="256">
        <f t="shared" si="14"/>
        <v>5</v>
      </c>
      <c r="AJ7" s="259">
        <f t="shared" ref="AJ7" si="22">ROUND(SUM(AC7:AI7),0)</f>
        <v>98</v>
      </c>
      <c r="AK7" s="257">
        <v>1411</v>
      </c>
      <c r="AL7" s="257">
        <f t="shared" si="16"/>
        <v>847</v>
      </c>
      <c r="AM7" s="257">
        <f t="shared" si="17"/>
        <v>282</v>
      </c>
      <c r="AN7" s="257">
        <f t="shared" si="17"/>
        <v>282</v>
      </c>
      <c r="AO7" s="257">
        <f t="shared" si="18"/>
        <v>552.71999999999991</v>
      </c>
      <c r="AP7" s="257">
        <f t="shared" si="19"/>
        <v>1681.7199999999998</v>
      </c>
      <c r="AQ7" s="257">
        <f t="shared" si="20"/>
        <v>270.7199999999998</v>
      </c>
      <c r="AR7" s="260">
        <f t="shared" si="21"/>
        <v>1.1918639262934088</v>
      </c>
    </row>
    <row r="8" spans="1:44" x14ac:dyDescent="0.25">
      <c r="A8" s="9" t="s">
        <v>134</v>
      </c>
      <c r="B8" s="9" t="str">
        <f>VLOOKUP($A8,MainData!$C:$E,2,FALSE)</f>
        <v>Dewaniya</v>
      </c>
      <c r="C8" s="10">
        <f>COUNTIFS(LO!C:C,$A8)</f>
        <v>5</v>
      </c>
      <c r="D8" s="11">
        <f>SUMIFS(LO!F:F,LO!$C:$C,$A8)</f>
        <v>3242751.4647000264</v>
      </c>
      <c r="E8" s="11">
        <f>SUMIFS(LO!G:G,LO!$C:$C,$A8)</f>
        <v>2555555.5555555555</v>
      </c>
      <c r="F8" s="53">
        <f t="shared" ref="F8:F27" si="23">D8/E8</f>
        <v>1.2689027470565322</v>
      </c>
      <c r="G8" s="10">
        <f>SUMIFS(LO!I:I,LO!$C:$C,$A8)</f>
        <v>794</v>
      </c>
      <c r="H8" s="10">
        <f>SUMIFS(LO!J:J,LO!$C:$C,$A8)</f>
        <v>2978</v>
      </c>
      <c r="I8" s="53">
        <f t="shared" ref="I8:I27" si="24">G8/H8</f>
        <v>0.26662189388851576</v>
      </c>
      <c r="J8" s="11">
        <f>SUMIFS(LO!L:L,LO!$C:$C,$A8)</f>
        <v>320227.27272727271</v>
      </c>
      <c r="K8" s="11">
        <f>SUMIFS(LO!M:M,LO!$C:$C,$A8)</f>
        <v>329545.44</v>
      </c>
      <c r="L8" s="53">
        <f t="shared" ref="L8:L27" si="25">J8/K8</f>
        <v>0.97172418082092926</v>
      </c>
      <c r="M8" s="10">
        <f>SUMIFS(LO!O:O,LO!$C:$C,$A8)</f>
        <v>59</v>
      </c>
      <c r="N8" s="10">
        <f>SUMIFS(LO!P:P,LO!$C:$C,$A8)</f>
        <v>61</v>
      </c>
      <c r="O8" s="53">
        <f t="shared" ref="O8:O27" si="26">M8/N8</f>
        <v>0.96721311475409832</v>
      </c>
      <c r="P8" s="10">
        <f>SUMIFS(LO!R:R,LO!$C:$C,$A8)</f>
        <v>57</v>
      </c>
      <c r="Q8" s="10">
        <f>SUMIFS(LO!S:S,LO!$C:$C,$A8)</f>
        <v>37</v>
      </c>
      <c r="R8" s="53">
        <f t="shared" ref="R8:R27" si="27">IFERROR(Q8/P8,0)</f>
        <v>0.64912280701754388</v>
      </c>
      <c r="S8" s="10">
        <f>SUMIFS(LO!U:U,LO!$C:$C,$A8)</f>
        <v>20</v>
      </c>
      <c r="T8" s="53">
        <f t="shared" ref="T8:T27" si="28">IFERROR((S8)/P8,0)</f>
        <v>0.35087719298245612</v>
      </c>
      <c r="U8" s="10">
        <f>SUMIFS(LO!W:W,LO!$C:$C,$A8)</f>
        <v>794</v>
      </c>
      <c r="V8" s="53">
        <f>AVERAGEIFS(LO!X:X,LO!$C:$C,$A8)</f>
        <v>0.63519999999999999</v>
      </c>
      <c r="W8" s="11">
        <f>SUMIFS(LO!Y:Y,LO!$C:$C,$A8)</f>
        <v>100170.16793557252</v>
      </c>
      <c r="X8" s="53">
        <f t="shared" ref="X8:X27" si="29">W8/$D8</f>
        <v>3.0890485757544436E-2</v>
      </c>
      <c r="Y8" s="11">
        <f>SUMIFS(LO!AA:AA,LO!$C:$C,$A8)</f>
        <v>78300.406633360879</v>
      </c>
      <c r="Z8" s="53">
        <f t="shared" ref="Z8:Z27" si="30">Y8/$D8</f>
        <v>2.4146286721546242E-2</v>
      </c>
      <c r="AA8" s="18"/>
      <c r="AB8" s="18"/>
      <c r="AC8" s="18">
        <f t="shared" ref="AC8:AC27" si="31">MAX(0,MIN(AC$2,AC$2*(L8/(AC$3-AC$4)-(AC$4/(AC$3-AC$4)))))</f>
        <v>27.172418082092925</v>
      </c>
      <c r="AD8" s="18">
        <f t="shared" ref="AD8:AD27" si="32">MAX(0,MIN(AD$2,AD$2*(O8/(AD$3-AD$4)-(AD$4/(AD$3-AD$4)))))</f>
        <v>0</v>
      </c>
      <c r="AE8" s="18">
        <f t="shared" ref="AE8:AE27" si="33">MIN(AE$2,MAX(0,AE$2-AE$2*(X8/(AE$4-AE$3)-(AE$3/(AE$4-AE$3)))))</f>
        <v>15.643805696982227</v>
      </c>
      <c r="AF8" s="18">
        <f t="shared" ref="AF8:AF27" si="34">MIN(AF$2,MAX(0,AF$2-AF$2*(Z8/(AF$4-AF$3)-(AF$3/(AF$4-AF$3)))))</f>
        <v>40</v>
      </c>
      <c r="AG8" s="18">
        <f t="shared" ref="AG8:AG27" si="35">MAX(0,MIN(AG$2,AG$2*(V8/(AG$3-AG$4)-(AG$4/(AG$3-AG$4)))))</f>
        <v>0</v>
      </c>
      <c r="AH8" s="18">
        <f t="shared" ref="AH8:AH27" si="36">MAX(0,MIN(AH$2,AH$2*(R8/(AH$3-AH$4)-(AH$4/(AH$3-AH$4)))))</f>
        <v>4.4912280701754392</v>
      </c>
      <c r="AI8" s="18">
        <f t="shared" ref="AI8:AI27" si="37">MAX(0,MIN(AI$2,AI$2*(T8/(AI$3-AI$4)-(AI$4/(AI$3-AI$4)))))</f>
        <v>5</v>
      </c>
      <c r="AJ8" s="36">
        <f t="shared" si="15"/>
        <v>92</v>
      </c>
      <c r="AK8" s="28">
        <v>1411</v>
      </c>
      <c r="AL8" s="28">
        <f t="shared" si="16"/>
        <v>847</v>
      </c>
      <c r="AM8" s="28">
        <f t="shared" si="17"/>
        <v>282</v>
      </c>
      <c r="AN8" s="28">
        <f t="shared" si="17"/>
        <v>282</v>
      </c>
      <c r="AO8" s="28">
        <f t="shared" si="18"/>
        <v>518.88</v>
      </c>
      <c r="AP8" s="28">
        <f t="shared" ref="AP8:AP27" si="38">AO8+AL8+AM8</f>
        <v>1647.88</v>
      </c>
      <c r="AQ8" s="28">
        <f t="shared" ref="AQ8:AQ27" si="39">AP8-AK8</f>
        <v>236.88000000000011</v>
      </c>
      <c r="AR8" s="66">
        <f t="shared" ref="AR8:AR27" si="40">AP8/AK8</f>
        <v>1.167880935506733</v>
      </c>
    </row>
    <row r="9" spans="1:44" x14ac:dyDescent="0.25">
      <c r="A9" s="9" t="s">
        <v>465</v>
      </c>
      <c r="B9" s="9" t="str">
        <f>VLOOKUP($A9,MainData!$C:$E,2,FALSE)</f>
        <v>Hashimiyah</v>
      </c>
      <c r="C9" s="10">
        <f>COUNTIFS(LO!C:C,$A9)</f>
        <v>4</v>
      </c>
      <c r="D9" s="11">
        <f>SUMIFS(LO!F:F,LO!$C:$C,$A9)</f>
        <v>2445334.1417132639</v>
      </c>
      <c r="E9" s="11">
        <f>SUMIFS(LO!G:G,LO!$C:$C,$A9)</f>
        <v>3111111.111111111</v>
      </c>
      <c r="F9" s="53">
        <f t="shared" si="23"/>
        <v>0.78600025983640631</v>
      </c>
      <c r="G9" s="10">
        <f>SUMIFS(LO!I:I,LO!$C:$C,$A9)</f>
        <v>636</v>
      </c>
      <c r="H9" s="10">
        <f>SUMIFS(LO!J:J,LO!$C:$C,$A9)</f>
        <v>1422</v>
      </c>
      <c r="I9" s="53">
        <f t="shared" si="24"/>
        <v>0.4472573839662447</v>
      </c>
      <c r="J9" s="11">
        <f>SUMIFS(LO!L:L,LO!$C:$C,$A9)</f>
        <v>263560.60606060608</v>
      </c>
      <c r="K9" s="11">
        <f>SUMIFS(LO!M:M,LO!$C:$C,$A9)</f>
        <v>265151.51</v>
      </c>
      <c r="L9" s="53">
        <f t="shared" si="25"/>
        <v>0.99400001931200044</v>
      </c>
      <c r="M9" s="10">
        <f>SUMIFS(LO!O:O,LO!$C:$C,$A9)</f>
        <v>48</v>
      </c>
      <c r="N9" s="10">
        <f>SUMIFS(LO!P:P,LO!$C:$C,$A9)</f>
        <v>48</v>
      </c>
      <c r="O9" s="53">
        <f t="shared" si="26"/>
        <v>1</v>
      </c>
      <c r="P9" s="10">
        <f>SUMIFS(LO!R:R,LO!$C:$C,$A9)</f>
        <v>48</v>
      </c>
      <c r="Q9" s="10">
        <f>SUMIFS(LO!S:S,LO!$C:$C,$A9)</f>
        <v>27</v>
      </c>
      <c r="R9" s="53">
        <f t="shared" si="27"/>
        <v>0.5625</v>
      </c>
      <c r="S9" s="10">
        <f>SUMIFS(LO!U:U,LO!$C:$C,$A9)</f>
        <v>24</v>
      </c>
      <c r="T9" s="53">
        <f t="shared" si="28"/>
        <v>0.5</v>
      </c>
      <c r="U9" s="10">
        <f>SUMIFS(LO!W:W,LO!$C:$C,$A9)</f>
        <v>636</v>
      </c>
      <c r="V9" s="53">
        <f>AVERAGEIFS(LO!X:X,LO!$C:$C,$A9)</f>
        <v>0.76049999999999995</v>
      </c>
      <c r="W9" s="11">
        <f>SUMIFS(LO!Y:Y,LO!$C:$C,$A9)</f>
        <v>14831.415651515152</v>
      </c>
      <c r="X9" s="53">
        <f t="shared" si="29"/>
        <v>6.0651897826625367E-3</v>
      </c>
      <c r="Y9" s="11">
        <f>SUMIFS(LO!AA:AA,LO!$C:$C,$A9)</f>
        <v>8242.8172690534448</v>
      </c>
      <c r="Z9" s="53">
        <f t="shared" si="30"/>
        <v>3.3708347372430319E-3</v>
      </c>
      <c r="AA9" s="18"/>
      <c r="AB9" s="18"/>
      <c r="AC9" s="18">
        <f t="shared" si="31"/>
        <v>29.400001931200038</v>
      </c>
      <c r="AD9" s="18">
        <f t="shared" si="32"/>
        <v>0</v>
      </c>
      <c r="AE9" s="18">
        <f t="shared" si="33"/>
        <v>20</v>
      </c>
      <c r="AF9" s="18">
        <f t="shared" si="34"/>
        <v>40</v>
      </c>
      <c r="AG9" s="18">
        <f t="shared" si="35"/>
        <v>0</v>
      </c>
      <c r="AH9" s="18">
        <f t="shared" si="36"/>
        <v>3.6250000000000004</v>
      </c>
      <c r="AI9" s="18">
        <f t="shared" si="37"/>
        <v>5</v>
      </c>
      <c r="AJ9" s="36">
        <f t="shared" si="15"/>
        <v>98</v>
      </c>
      <c r="AK9" s="28">
        <v>1962</v>
      </c>
      <c r="AL9" s="28">
        <f t="shared" si="16"/>
        <v>1178</v>
      </c>
      <c r="AM9" s="28">
        <f t="shared" si="17"/>
        <v>392</v>
      </c>
      <c r="AN9" s="28">
        <f t="shared" si="17"/>
        <v>392</v>
      </c>
      <c r="AO9" s="28">
        <f t="shared" si="18"/>
        <v>692</v>
      </c>
      <c r="AP9" s="28">
        <f t="shared" si="38"/>
        <v>2262</v>
      </c>
      <c r="AQ9" s="28">
        <f t="shared" si="39"/>
        <v>300</v>
      </c>
      <c r="AR9" s="66">
        <f t="shared" si="40"/>
        <v>1.1529051987767585</v>
      </c>
    </row>
    <row r="10" spans="1:44" x14ac:dyDescent="0.25">
      <c r="A10" s="9" t="s">
        <v>466</v>
      </c>
      <c r="B10" s="9" t="str">
        <f>VLOOKUP($A10,MainData!$C:$E,2,FALSE)</f>
        <v>Hilla</v>
      </c>
      <c r="C10" s="10">
        <f>COUNTIFS(LO!C:C,$A10)</f>
        <v>10</v>
      </c>
      <c r="D10" s="11">
        <f>SUMIFS(LO!F:F,LO!$C:$C,$A10)</f>
        <v>4612674.3530013599</v>
      </c>
      <c r="E10" s="11">
        <f>SUMIFS(LO!G:G,LO!$C:$C,$A10)</f>
        <v>6444444.444444444</v>
      </c>
      <c r="F10" s="53">
        <f t="shared" si="23"/>
        <v>0.71575981339676276</v>
      </c>
      <c r="G10" s="10">
        <f>SUMIFS(LO!I:I,LO!$C:$C,$A10)</f>
        <v>945</v>
      </c>
      <c r="H10" s="10">
        <f>SUMIFS(LO!J:J,LO!$C:$C,$A10)</f>
        <v>5289</v>
      </c>
      <c r="I10" s="53">
        <f t="shared" si="24"/>
        <v>0.17867271695972772</v>
      </c>
      <c r="J10" s="11">
        <f>SUMIFS(LO!L:L,LO!$C:$C,$A10)</f>
        <v>292575.75757575763</v>
      </c>
      <c r="K10" s="11">
        <f>SUMIFS(LO!M:M,LO!$C:$C,$A10)</f>
        <v>674242.40000000014</v>
      </c>
      <c r="L10" s="53">
        <f t="shared" si="25"/>
        <v>0.43393259987173394</v>
      </c>
      <c r="M10" s="10">
        <f>SUMIFS(LO!O:O,LO!$C:$C,$A10)</f>
        <v>52</v>
      </c>
      <c r="N10" s="10">
        <f>SUMIFS(LO!P:P,LO!$C:$C,$A10)</f>
        <v>117</v>
      </c>
      <c r="O10" s="53">
        <f t="shared" si="26"/>
        <v>0.44444444444444442</v>
      </c>
      <c r="P10" s="10">
        <f>SUMIFS(LO!R:R,LO!$C:$C,$A10)</f>
        <v>52</v>
      </c>
      <c r="Q10" s="10">
        <f>SUMIFS(LO!S:S,LO!$C:$C,$A10)</f>
        <v>22</v>
      </c>
      <c r="R10" s="53">
        <f t="shared" si="27"/>
        <v>0.42307692307692307</v>
      </c>
      <c r="S10" s="10">
        <f>SUMIFS(LO!U:U,LO!$C:$C,$A10)</f>
        <v>17</v>
      </c>
      <c r="T10" s="53">
        <f t="shared" si="28"/>
        <v>0.32692307692307693</v>
      </c>
      <c r="U10" s="10">
        <f>SUMIFS(LO!W:W,LO!$C:$C,$A10)</f>
        <v>945</v>
      </c>
      <c r="V10" s="53">
        <f>AVERAGEIFS(LO!X:X,LO!$C:$C,$A10)</f>
        <v>0.4217999999999999</v>
      </c>
      <c r="W10" s="11">
        <f>SUMIFS(LO!Y:Y,LO!$C:$C,$A10)</f>
        <v>104435.95723009025</v>
      </c>
      <c r="X10" s="53">
        <f t="shared" si="29"/>
        <v>2.2641086111387033E-2</v>
      </c>
      <c r="Y10" s="11">
        <f>SUMIFS(LO!AA:AA,LO!$C:$C,$A10)</f>
        <v>148572.19613385526</v>
      </c>
      <c r="Z10" s="53">
        <f t="shared" si="30"/>
        <v>3.2209556704817628E-2</v>
      </c>
      <c r="AA10" s="18"/>
      <c r="AB10" s="18"/>
      <c r="AC10" s="18">
        <f t="shared" si="31"/>
        <v>0</v>
      </c>
      <c r="AD10" s="18">
        <f t="shared" si="32"/>
        <v>0</v>
      </c>
      <c r="AE10" s="18">
        <f t="shared" si="33"/>
        <v>18.943565555445186</v>
      </c>
      <c r="AF10" s="18">
        <f t="shared" si="34"/>
        <v>40</v>
      </c>
      <c r="AG10" s="18">
        <f t="shared" si="35"/>
        <v>0</v>
      </c>
      <c r="AH10" s="18">
        <f t="shared" si="36"/>
        <v>2.2307692307692308</v>
      </c>
      <c r="AI10" s="18">
        <f t="shared" si="37"/>
        <v>5</v>
      </c>
      <c r="AJ10" s="36">
        <f t="shared" si="15"/>
        <v>66</v>
      </c>
      <c r="AK10" s="28">
        <v>1623</v>
      </c>
      <c r="AL10" s="28">
        <f t="shared" si="16"/>
        <v>974</v>
      </c>
      <c r="AM10" s="28">
        <f t="shared" si="17"/>
        <v>324</v>
      </c>
      <c r="AN10" s="28">
        <f t="shared" si="17"/>
        <v>324</v>
      </c>
      <c r="AO10" s="28">
        <f t="shared" si="18"/>
        <v>427.68</v>
      </c>
      <c r="AP10" s="28">
        <f t="shared" si="38"/>
        <v>1725.68</v>
      </c>
      <c r="AQ10" s="28">
        <f t="shared" si="39"/>
        <v>102.68000000000006</v>
      </c>
      <c r="AR10" s="66">
        <f t="shared" si="40"/>
        <v>1.0632655576093655</v>
      </c>
    </row>
    <row r="11" spans="1:44" x14ac:dyDescent="0.25">
      <c r="A11" s="9" t="s">
        <v>467</v>
      </c>
      <c r="B11" s="9" t="str">
        <f>VLOOKUP($A11,MainData!$C:$E,2,FALSE)</f>
        <v>Hilla</v>
      </c>
      <c r="C11" s="10">
        <f>COUNTIFS(LO!C:C,$A11)</f>
        <v>9</v>
      </c>
      <c r="D11" s="11">
        <f>SUMIFS(LO!F:F,LO!$C:$C,$A11)</f>
        <v>4684525.4682330107</v>
      </c>
      <c r="E11" s="11">
        <f>SUMIFS(LO!G:G,LO!$C:$C,$A11)</f>
        <v>4777777.7777777771</v>
      </c>
      <c r="F11" s="53">
        <f t="shared" si="23"/>
        <v>0.98048207474644422</v>
      </c>
      <c r="G11" s="10">
        <f>SUMIFS(LO!I:I,LO!$C:$C,$A11)</f>
        <v>1269</v>
      </c>
      <c r="H11" s="10">
        <f>SUMIFS(LO!J:J,LO!$C:$C,$A11)</f>
        <v>5556</v>
      </c>
      <c r="I11" s="53">
        <f t="shared" si="24"/>
        <v>0.22840172786177107</v>
      </c>
      <c r="J11" s="11">
        <f>SUMIFS(LO!L:L,LO!$C:$C,$A11)</f>
        <v>283636.36363636365</v>
      </c>
      <c r="K11" s="11">
        <f>SUMIFS(LO!M:M,LO!$C:$C,$A11)</f>
        <v>602272.70000000007</v>
      </c>
      <c r="L11" s="53">
        <f t="shared" si="25"/>
        <v>0.47094341755215474</v>
      </c>
      <c r="M11" s="10">
        <f>SUMIFS(LO!O:O,LO!$C:$C,$A11)</f>
        <v>60</v>
      </c>
      <c r="N11" s="10">
        <f>SUMIFS(LO!P:P,LO!$C:$C,$A11)</f>
        <v>107</v>
      </c>
      <c r="O11" s="53">
        <f t="shared" si="26"/>
        <v>0.56074766355140182</v>
      </c>
      <c r="P11" s="10">
        <f>SUMIFS(LO!R:R,LO!$C:$C,$A11)</f>
        <v>60</v>
      </c>
      <c r="Q11" s="10">
        <f>SUMIFS(LO!S:S,LO!$C:$C,$A11)</f>
        <v>24</v>
      </c>
      <c r="R11" s="53">
        <f t="shared" si="27"/>
        <v>0.4</v>
      </c>
      <c r="S11" s="10">
        <f>SUMIFS(LO!U:U,LO!$C:$C,$A11)</f>
        <v>29</v>
      </c>
      <c r="T11" s="53">
        <f t="shared" si="28"/>
        <v>0.48333333333333334</v>
      </c>
      <c r="U11" s="10">
        <f>SUMIFS(LO!W:W,LO!$C:$C,$A11)</f>
        <v>1269</v>
      </c>
      <c r="V11" s="53">
        <f>AVERAGEIFS(LO!X:X,LO!$C:$C,$A11)</f>
        <v>0.56399999999999995</v>
      </c>
      <c r="W11" s="11">
        <f>SUMIFS(LO!Y:Y,LO!$C:$C,$A11)</f>
        <v>87511.92922614851</v>
      </c>
      <c r="X11" s="53">
        <f t="shared" si="29"/>
        <v>1.8681065952056347E-2</v>
      </c>
      <c r="Y11" s="11">
        <f>SUMIFS(LO!AA:AA,LO!$C:$C,$A11)</f>
        <v>99803.869919333083</v>
      </c>
      <c r="Z11" s="53">
        <f t="shared" si="30"/>
        <v>2.1305011702066549E-2</v>
      </c>
      <c r="AA11" s="18"/>
      <c r="AB11" s="18"/>
      <c r="AC11" s="18">
        <f t="shared" si="31"/>
        <v>0</v>
      </c>
      <c r="AD11" s="18">
        <f t="shared" si="32"/>
        <v>0</v>
      </c>
      <c r="AE11" s="18">
        <f t="shared" si="33"/>
        <v>20</v>
      </c>
      <c r="AF11" s="18">
        <f t="shared" si="34"/>
        <v>40</v>
      </c>
      <c r="AG11" s="18">
        <f t="shared" si="35"/>
        <v>0</v>
      </c>
      <c r="AH11" s="18">
        <f t="shared" si="36"/>
        <v>2.0000000000000004</v>
      </c>
      <c r="AI11" s="18">
        <f t="shared" si="37"/>
        <v>5</v>
      </c>
      <c r="AJ11" s="36">
        <f t="shared" si="15"/>
        <v>67</v>
      </c>
      <c r="AK11" s="28">
        <v>1621</v>
      </c>
      <c r="AL11" s="28">
        <f t="shared" si="16"/>
        <v>973</v>
      </c>
      <c r="AM11" s="28">
        <f t="shared" si="17"/>
        <v>324</v>
      </c>
      <c r="AN11" s="28">
        <f t="shared" si="17"/>
        <v>324</v>
      </c>
      <c r="AO11" s="28">
        <f t="shared" si="18"/>
        <v>434.16</v>
      </c>
      <c r="AP11" s="28">
        <f t="shared" si="38"/>
        <v>1731.16</v>
      </c>
      <c r="AQ11" s="28">
        <f t="shared" si="39"/>
        <v>110.16000000000008</v>
      </c>
      <c r="AR11" s="66">
        <f t="shared" si="40"/>
        <v>1.067958050586058</v>
      </c>
    </row>
    <row r="12" spans="1:44" x14ac:dyDescent="0.25">
      <c r="A12" s="9" t="s">
        <v>111</v>
      </c>
      <c r="B12" s="9" t="str">
        <f>VLOOKUP($A12,MainData!$C:$E,2,FALSE)</f>
        <v>Hindiyah</v>
      </c>
      <c r="C12" s="10">
        <f>COUNTIFS(LO!C:C,$A12)</f>
        <v>5</v>
      </c>
      <c r="D12" s="11">
        <f>SUMIFS(LO!F:F,LO!$C:$C,$A12)</f>
        <v>3037659.1347138574</v>
      </c>
      <c r="E12" s="11">
        <f>SUMIFS(LO!G:G,LO!$C:$C,$A12)</f>
        <v>1666666.6666666665</v>
      </c>
      <c r="F12" s="53">
        <f t="shared" si="23"/>
        <v>1.8225954808283147</v>
      </c>
      <c r="G12" s="10">
        <f>SUMIFS(LO!I:I,LO!$C:$C,$A12)</f>
        <v>1133</v>
      </c>
      <c r="H12" s="10">
        <f>SUMIFS(LO!J:J,LO!$C:$C,$A12)</f>
        <v>2000</v>
      </c>
      <c r="I12" s="53">
        <f t="shared" si="24"/>
        <v>0.5665</v>
      </c>
      <c r="J12" s="11">
        <f>SUMIFS(LO!L:L,LO!$C:$C,$A12)</f>
        <v>283333.33333333331</v>
      </c>
      <c r="K12" s="11">
        <f>SUMIFS(LO!M:M,LO!$C:$C,$A12)</f>
        <v>284090.90000000002</v>
      </c>
      <c r="L12" s="53">
        <f t="shared" si="25"/>
        <v>0.99733336524800087</v>
      </c>
      <c r="M12" s="10">
        <f>SUMIFS(LO!O:O,LO!$C:$C,$A12)</f>
        <v>74</v>
      </c>
      <c r="N12" s="10">
        <f>SUMIFS(LO!P:P,LO!$C:$C,$A12)</f>
        <v>75</v>
      </c>
      <c r="O12" s="53">
        <f t="shared" si="26"/>
        <v>0.98666666666666669</v>
      </c>
      <c r="P12" s="10">
        <f>SUMIFS(LO!R:R,LO!$C:$C,$A12)</f>
        <v>74</v>
      </c>
      <c r="Q12" s="10">
        <f>SUMIFS(LO!S:S,LO!$C:$C,$A12)</f>
        <v>38</v>
      </c>
      <c r="R12" s="53">
        <f t="shared" si="27"/>
        <v>0.51351351351351349</v>
      </c>
      <c r="S12" s="10">
        <f>SUMIFS(LO!U:U,LO!$C:$C,$A12)</f>
        <v>31</v>
      </c>
      <c r="T12" s="53">
        <f t="shared" si="28"/>
        <v>0.41891891891891891</v>
      </c>
      <c r="U12" s="10">
        <f>SUMIFS(LO!W:W,LO!$C:$C,$A12)</f>
        <v>1133</v>
      </c>
      <c r="V12" s="53">
        <f>AVERAGEIFS(LO!X:X,LO!$C:$C,$A12)</f>
        <v>0.90639999999999998</v>
      </c>
      <c r="W12" s="11">
        <f>SUMIFS(LO!Y:Y,LO!$C:$C,$A12)</f>
        <v>1345.619393224265</v>
      </c>
      <c r="X12" s="53">
        <f t="shared" si="29"/>
        <v>4.4297906168824308E-4</v>
      </c>
      <c r="Y12" s="11">
        <f>SUMIFS(LO!AA:AA,LO!$C:$C,$A12)</f>
        <v>0</v>
      </c>
      <c r="Z12" s="53">
        <f t="shared" si="30"/>
        <v>0</v>
      </c>
      <c r="AA12" s="18"/>
      <c r="AB12" s="18"/>
      <c r="AC12" s="18">
        <f t="shared" si="31"/>
        <v>29.733336524800077</v>
      </c>
      <c r="AD12" s="18">
        <f t="shared" si="32"/>
        <v>0</v>
      </c>
      <c r="AE12" s="18">
        <f t="shared" si="33"/>
        <v>20</v>
      </c>
      <c r="AF12" s="18">
        <f t="shared" si="34"/>
        <v>40</v>
      </c>
      <c r="AG12" s="18">
        <f t="shared" si="35"/>
        <v>0</v>
      </c>
      <c r="AH12" s="18">
        <f t="shared" si="36"/>
        <v>3.1351351351351351</v>
      </c>
      <c r="AI12" s="18">
        <f t="shared" si="37"/>
        <v>5</v>
      </c>
      <c r="AJ12" s="36">
        <f t="shared" si="15"/>
        <v>98</v>
      </c>
      <c r="AK12" s="28">
        <v>1387</v>
      </c>
      <c r="AL12" s="28">
        <f t="shared" si="16"/>
        <v>833</v>
      </c>
      <c r="AM12" s="28">
        <f t="shared" si="17"/>
        <v>277</v>
      </c>
      <c r="AN12" s="28">
        <f t="shared" si="17"/>
        <v>277</v>
      </c>
      <c r="AO12" s="28">
        <f t="shared" si="18"/>
        <v>542.91999999999996</v>
      </c>
      <c r="AP12" s="28">
        <f t="shared" si="38"/>
        <v>1652.92</v>
      </c>
      <c r="AQ12" s="28">
        <f t="shared" si="39"/>
        <v>265.92000000000007</v>
      </c>
      <c r="AR12" s="66">
        <f t="shared" si="40"/>
        <v>1.1917231434751263</v>
      </c>
    </row>
    <row r="13" spans="1:44" x14ac:dyDescent="0.25">
      <c r="A13" s="9" t="s">
        <v>468</v>
      </c>
      <c r="B13" s="9" t="str">
        <f>VLOOKUP($A13,MainData!$C:$E,2,FALSE)</f>
        <v>Karbala</v>
      </c>
      <c r="C13" s="10">
        <f>COUNTIFS(LO!C:C,$A13)</f>
        <v>5</v>
      </c>
      <c r="D13" s="11">
        <f>SUMIFS(LO!F:F,LO!$C:$C,$A13)</f>
        <v>3508592.97742132</v>
      </c>
      <c r="E13" s="11">
        <f>SUMIFS(LO!G:G,LO!$C:$C,$A13)</f>
        <v>3000000</v>
      </c>
      <c r="F13" s="53">
        <f t="shared" si="23"/>
        <v>1.1695309924737733</v>
      </c>
      <c r="G13" s="10">
        <f>SUMIFS(LO!I:I,LO!$C:$C,$A13)</f>
        <v>1056</v>
      </c>
      <c r="H13" s="10">
        <f>SUMIFS(LO!J:J,LO!$C:$C,$A13)</f>
        <v>3467</v>
      </c>
      <c r="I13" s="53">
        <f t="shared" si="24"/>
        <v>0.30458609749062593</v>
      </c>
      <c r="J13" s="11">
        <f>SUMIFS(LO!L:L,LO!$C:$C,$A13)</f>
        <v>318181.81818181823</v>
      </c>
      <c r="K13" s="11">
        <f>SUMIFS(LO!M:M,LO!$C:$C,$A13)</f>
        <v>352272.71</v>
      </c>
      <c r="L13" s="53">
        <f t="shared" si="25"/>
        <v>0.90322585073881601</v>
      </c>
      <c r="M13" s="10">
        <f>SUMIFS(LO!O:O,LO!$C:$C,$A13)</f>
        <v>65</v>
      </c>
      <c r="N13" s="10">
        <f>SUMIFS(LO!P:P,LO!$C:$C,$A13)</f>
        <v>54</v>
      </c>
      <c r="O13" s="53">
        <f t="shared" si="26"/>
        <v>1.2037037037037037</v>
      </c>
      <c r="P13" s="10">
        <f>SUMIFS(LO!R:R,LO!$C:$C,$A13)</f>
        <v>65</v>
      </c>
      <c r="Q13" s="10">
        <f>SUMIFS(LO!S:S,LO!$C:$C,$A13)</f>
        <v>34</v>
      </c>
      <c r="R13" s="53">
        <f t="shared" si="27"/>
        <v>0.52307692307692311</v>
      </c>
      <c r="S13" s="10">
        <f>SUMIFS(LO!U:U,LO!$C:$C,$A13)</f>
        <v>24</v>
      </c>
      <c r="T13" s="53">
        <f t="shared" si="28"/>
        <v>0.36923076923076925</v>
      </c>
      <c r="U13" s="10">
        <f>SUMIFS(LO!W:W,LO!$C:$C,$A13)</f>
        <v>1056</v>
      </c>
      <c r="V13" s="53">
        <f>AVERAGEIFS(LO!X:X,LO!$C:$C,$A13)</f>
        <v>0.8448</v>
      </c>
      <c r="W13" s="11">
        <f>SUMIFS(LO!Y:Y,LO!$C:$C,$A13)</f>
        <v>271387.09482929815</v>
      </c>
      <c r="X13" s="53">
        <f t="shared" si="29"/>
        <v>7.7349266949954726E-2</v>
      </c>
      <c r="Y13" s="11">
        <f>SUMIFS(LO!AA:AA,LO!$C:$C,$A13)</f>
        <v>49472.218055506921</v>
      </c>
      <c r="Z13" s="53">
        <f t="shared" si="30"/>
        <v>1.4100301281417682E-2</v>
      </c>
      <c r="AA13" s="18"/>
      <c r="AB13" s="18"/>
      <c r="AC13" s="18">
        <f t="shared" si="31"/>
        <v>20.322585073881598</v>
      </c>
      <c r="AD13" s="18">
        <f t="shared" si="32"/>
        <v>0</v>
      </c>
      <c r="AE13" s="18">
        <f t="shared" si="33"/>
        <v>0</v>
      </c>
      <c r="AF13" s="18">
        <f t="shared" si="34"/>
        <v>40</v>
      </c>
      <c r="AG13" s="18">
        <f t="shared" si="35"/>
        <v>0</v>
      </c>
      <c r="AH13" s="18">
        <f t="shared" si="36"/>
        <v>3.2307692307692317</v>
      </c>
      <c r="AI13" s="18">
        <f t="shared" si="37"/>
        <v>5</v>
      </c>
      <c r="AJ13" s="36">
        <f t="shared" si="15"/>
        <v>69</v>
      </c>
      <c r="AK13" s="28">
        <v>1621</v>
      </c>
      <c r="AL13" s="28">
        <f t="shared" si="16"/>
        <v>973</v>
      </c>
      <c r="AM13" s="28">
        <f t="shared" si="17"/>
        <v>324</v>
      </c>
      <c r="AN13" s="28">
        <f t="shared" si="17"/>
        <v>324</v>
      </c>
      <c r="AO13" s="28">
        <f t="shared" si="18"/>
        <v>447.12</v>
      </c>
      <c r="AP13" s="28">
        <f t="shared" si="38"/>
        <v>1744.12</v>
      </c>
      <c r="AQ13" s="28">
        <f t="shared" si="39"/>
        <v>123.11999999999989</v>
      </c>
      <c r="AR13" s="66">
        <f t="shared" si="40"/>
        <v>1.0759531153608883</v>
      </c>
    </row>
    <row r="14" spans="1:44" x14ac:dyDescent="0.25">
      <c r="A14" s="9" t="s">
        <v>469</v>
      </c>
      <c r="B14" s="9" t="str">
        <f>VLOOKUP($A14,MainData!$C:$E,2,FALSE)</f>
        <v>Karbala</v>
      </c>
      <c r="C14" s="10">
        <f>COUNTIFS(LO!C:C,$A14)</f>
        <v>6</v>
      </c>
      <c r="D14" s="11">
        <f>SUMIFS(LO!F:F,LO!$C:$C,$A14)</f>
        <v>4219731.0048851445</v>
      </c>
      <c r="E14" s="11">
        <f>SUMIFS(LO!G:G,LO!$C:$C,$A14)</f>
        <v>4666666.666666667</v>
      </c>
      <c r="F14" s="53">
        <f t="shared" si="23"/>
        <v>0.90422807247538806</v>
      </c>
      <c r="G14" s="10">
        <f>SUMIFS(LO!I:I,LO!$C:$C,$A14)</f>
        <v>1069</v>
      </c>
      <c r="H14" s="10">
        <f>SUMIFS(LO!J:J,LO!$C:$C,$A14)</f>
        <v>3200</v>
      </c>
      <c r="I14" s="53">
        <f t="shared" si="24"/>
        <v>0.33406249999999998</v>
      </c>
      <c r="J14" s="11">
        <f>SUMIFS(LO!L:L,LO!$C:$C,$A14)</f>
        <v>291212.12121212116</v>
      </c>
      <c r="K14" s="11">
        <f>SUMIFS(LO!M:M,LO!$C:$C,$A14)</f>
        <v>424242.41000000003</v>
      </c>
      <c r="L14" s="53">
        <f t="shared" si="25"/>
        <v>0.68642859447295979</v>
      </c>
      <c r="M14" s="10">
        <f>SUMIFS(LO!O:O,LO!$C:$C,$A14)</f>
        <v>46</v>
      </c>
      <c r="N14" s="10">
        <f>SUMIFS(LO!P:P,LO!$C:$C,$A14)</f>
        <v>64</v>
      </c>
      <c r="O14" s="53">
        <f t="shared" si="26"/>
        <v>0.71875</v>
      </c>
      <c r="P14" s="10">
        <f>SUMIFS(LO!R:R,LO!$C:$C,$A14)</f>
        <v>46</v>
      </c>
      <c r="Q14" s="10">
        <f>SUMIFS(LO!S:S,LO!$C:$C,$A14)</f>
        <v>25</v>
      </c>
      <c r="R14" s="53">
        <f t="shared" si="27"/>
        <v>0.54347826086956519</v>
      </c>
      <c r="S14" s="10">
        <f>SUMIFS(LO!U:U,LO!$C:$C,$A14)</f>
        <v>13</v>
      </c>
      <c r="T14" s="53">
        <f t="shared" si="28"/>
        <v>0.28260869565217389</v>
      </c>
      <c r="U14" s="10">
        <f>SUMIFS(LO!W:W,LO!$C:$C,$A14)</f>
        <v>1069</v>
      </c>
      <c r="V14" s="53">
        <f>AVERAGEIFS(LO!X:X,LO!$C:$C,$A14)</f>
        <v>0.78266666666666662</v>
      </c>
      <c r="W14" s="11">
        <f>SUMIFS(LO!Y:Y,LO!$C:$C,$A14)</f>
        <v>130783.55054798785</v>
      </c>
      <c r="X14" s="53">
        <f t="shared" si="29"/>
        <v>3.0993338294924701E-2</v>
      </c>
      <c r="Y14" s="11">
        <f>SUMIFS(LO!AA:AA,LO!$C:$C,$A14)</f>
        <v>43781.934236926834</v>
      </c>
      <c r="Z14" s="53">
        <f t="shared" si="30"/>
        <v>1.0375527299309099E-2</v>
      </c>
      <c r="AA14" s="18"/>
      <c r="AB14" s="18"/>
      <c r="AC14" s="18">
        <f t="shared" si="31"/>
        <v>0</v>
      </c>
      <c r="AD14" s="18">
        <f t="shared" si="32"/>
        <v>0</v>
      </c>
      <c r="AE14" s="18">
        <f t="shared" si="33"/>
        <v>15.60266468203012</v>
      </c>
      <c r="AF14" s="18">
        <f t="shared" si="34"/>
        <v>40</v>
      </c>
      <c r="AG14" s="18">
        <f t="shared" si="35"/>
        <v>0</v>
      </c>
      <c r="AH14" s="18">
        <f t="shared" si="36"/>
        <v>3.4347826086956523</v>
      </c>
      <c r="AI14" s="18">
        <f t="shared" si="37"/>
        <v>4.7101449275362315</v>
      </c>
      <c r="AJ14" s="36">
        <f t="shared" si="15"/>
        <v>64</v>
      </c>
      <c r="AK14" s="28">
        <v>1974</v>
      </c>
      <c r="AL14" s="28">
        <f t="shared" si="16"/>
        <v>1185</v>
      </c>
      <c r="AM14" s="28">
        <f t="shared" si="17"/>
        <v>394</v>
      </c>
      <c r="AN14" s="28">
        <f t="shared" si="17"/>
        <v>394</v>
      </c>
      <c r="AO14" s="28">
        <f t="shared" si="18"/>
        <v>504.32</v>
      </c>
      <c r="AP14" s="28">
        <f t="shared" si="38"/>
        <v>2083.3199999999997</v>
      </c>
      <c r="AQ14" s="28">
        <f t="shared" si="39"/>
        <v>109.31999999999971</v>
      </c>
      <c r="AR14" s="66">
        <f t="shared" si="40"/>
        <v>1.0553799392097263</v>
      </c>
    </row>
    <row r="15" spans="1:44" x14ac:dyDescent="0.25">
      <c r="A15" s="9" t="s">
        <v>20</v>
      </c>
      <c r="B15" s="9" t="str">
        <f>VLOOKUP($A15,MainData!$C:$E,2,FALSE)</f>
        <v>Kut</v>
      </c>
      <c r="C15" s="10">
        <f>COUNTIFS(LO!C:C,$A15)</f>
        <v>5</v>
      </c>
      <c r="D15" s="11">
        <f>SUMIFS(LO!F:F,LO!$C:$C,$A15)</f>
        <v>2450390.9284825292</v>
      </c>
      <c r="E15" s="11">
        <f>SUMIFS(LO!G:G,LO!$C:$C,$A15)</f>
        <v>2111111.111111111</v>
      </c>
      <c r="F15" s="53">
        <f t="shared" ref="F15" si="41">D15/E15</f>
        <v>1.1607114924390929</v>
      </c>
      <c r="G15" s="10">
        <f>SUMIFS(LO!I:I,LO!$C:$C,$A15)</f>
        <v>1148</v>
      </c>
      <c r="H15" s="10">
        <f>SUMIFS(LO!J:J,LO!$C:$C,$A15)</f>
        <v>2489</v>
      </c>
      <c r="I15" s="53">
        <f t="shared" ref="I15" si="42">G15/H15</f>
        <v>0.46122940940136603</v>
      </c>
      <c r="J15" s="11">
        <f>SUMIFS(LO!L:L,LO!$C:$C,$A15)</f>
        <v>175000.00000000003</v>
      </c>
      <c r="K15" s="11">
        <f>SUMIFS(LO!M:M,LO!$C:$C,$A15)</f>
        <v>306818.17</v>
      </c>
      <c r="L15" s="53">
        <f t="shared" ref="L15" si="43">J15/K15</f>
        <v>0.57037039234019304</v>
      </c>
      <c r="M15" s="10">
        <f>SUMIFS(LO!O:O,LO!$C:$C,$A15)</f>
        <v>52</v>
      </c>
      <c r="N15" s="10">
        <f>SUMIFS(LO!P:P,LO!$C:$C,$A15)</f>
        <v>68</v>
      </c>
      <c r="O15" s="53">
        <f t="shared" ref="O15" si="44">M15/N15</f>
        <v>0.76470588235294112</v>
      </c>
      <c r="P15" s="10">
        <f>SUMIFS(LO!R:R,LO!$C:$C,$A15)</f>
        <v>52</v>
      </c>
      <c r="Q15" s="10">
        <f>SUMIFS(LO!S:S,LO!$C:$C,$A15)</f>
        <v>23</v>
      </c>
      <c r="R15" s="53">
        <f t="shared" ref="R15" si="45">IFERROR(Q15/P15,0)</f>
        <v>0.44230769230769229</v>
      </c>
      <c r="S15" s="10">
        <f>SUMIFS(LO!U:U,LO!$C:$C,$A15)</f>
        <v>36</v>
      </c>
      <c r="T15" s="53">
        <f t="shared" ref="T15" si="46">IFERROR((S15)/P15,0)</f>
        <v>0.69230769230769229</v>
      </c>
      <c r="U15" s="10">
        <f>SUMIFS(LO!W:W,LO!$C:$C,$A15)</f>
        <v>1148</v>
      </c>
      <c r="V15" s="53">
        <f>AVERAGEIFS(LO!X:X,LO!$C:$C,$A15)</f>
        <v>0.91840000000000011</v>
      </c>
      <c r="W15" s="11">
        <f>SUMIFS(LO!Y:Y,LO!$C:$C,$A15)</f>
        <v>80971.208895817676</v>
      </c>
      <c r="X15" s="53">
        <f t="shared" ref="X15" si="47">W15/$D15</f>
        <v>3.3044200398652829E-2</v>
      </c>
      <c r="Y15" s="11">
        <f>SUMIFS(LO!AA:AA,LO!$C:$C,$A15)</f>
        <v>38531.56130573152</v>
      </c>
      <c r="Z15" s="53">
        <f t="shared" ref="Z15" si="48">Y15/$D15</f>
        <v>1.5724658811724065E-2</v>
      </c>
      <c r="AA15" s="18"/>
      <c r="AB15" s="18"/>
      <c r="AC15" s="18">
        <f t="shared" ref="AC15" si="49">MAX(0,MIN(AC$2,AC$2*(L15/(AC$3-AC$4)-(AC$4/(AC$3-AC$4)))))</f>
        <v>0</v>
      </c>
      <c r="AD15" s="18">
        <f t="shared" ref="AD15" si="50">MAX(0,MIN(AD$2,AD$2*(O15/(AD$3-AD$4)-(AD$4/(AD$3-AD$4)))))</f>
        <v>0</v>
      </c>
      <c r="AE15" s="18">
        <f t="shared" ref="AE15" si="51">MIN(AE$2,MAX(0,AE$2-AE$2*(X15/(AE$4-AE$3)-(AE$3/(AE$4-AE$3)))))</f>
        <v>14.782319840538868</v>
      </c>
      <c r="AF15" s="18">
        <f t="shared" ref="AF15" si="52">MIN(AF$2,MAX(0,AF$2-AF$2*(Z15/(AF$4-AF$3)-(AF$3/(AF$4-AF$3)))))</f>
        <v>40</v>
      </c>
      <c r="AG15" s="18">
        <f t="shared" ref="AG15" si="53">MAX(0,MIN(AG$2,AG$2*(V15/(AG$3-AG$4)-(AG$4/(AG$3-AG$4)))))</f>
        <v>0</v>
      </c>
      <c r="AH15" s="18">
        <f t="shared" ref="AH15" si="54">MAX(0,MIN(AH$2,AH$2*(R15/(AH$3-AH$4)-(AH$4/(AH$3-AH$4)))))</f>
        <v>2.4230769230769229</v>
      </c>
      <c r="AI15" s="18">
        <f t="shared" ref="AI15" si="55">MAX(0,MIN(AI$2,AI$2*(T15/(AI$3-AI$4)-(AI$4/(AI$3-AI$4)))))</f>
        <v>5</v>
      </c>
      <c r="AJ15" s="36">
        <f t="shared" ref="AJ15" si="56">ROUND(SUM(AC15:AI15),0)</f>
        <v>62</v>
      </c>
      <c r="AK15" s="28">
        <v>1170</v>
      </c>
      <c r="AL15" s="28">
        <f t="shared" si="16"/>
        <v>702</v>
      </c>
      <c r="AM15" s="28">
        <f t="shared" si="17"/>
        <v>234</v>
      </c>
      <c r="AN15" s="28">
        <f t="shared" si="17"/>
        <v>234</v>
      </c>
      <c r="AO15" s="28">
        <f t="shared" si="18"/>
        <v>290.15999999999997</v>
      </c>
      <c r="AP15" s="28">
        <f t="shared" ref="AP15" si="57">AO15+AL15+AM15</f>
        <v>1226.1599999999999</v>
      </c>
      <c r="AQ15" s="28">
        <f t="shared" ref="AQ15" si="58">AP15-AK15</f>
        <v>56.159999999999854</v>
      </c>
      <c r="AR15" s="66">
        <f t="shared" ref="AR15" si="59">AP15/AK15</f>
        <v>1.0479999999999998</v>
      </c>
    </row>
    <row r="16" spans="1:44" x14ac:dyDescent="0.25">
      <c r="A16" s="9" t="s">
        <v>144</v>
      </c>
      <c r="B16" s="9" t="str">
        <f>VLOOKUP($A16,MainData!$C:$E,2,FALSE)</f>
        <v>Kut</v>
      </c>
      <c r="C16" s="10">
        <f>COUNTIFS(LO!C:C,$A16)</f>
        <v>6</v>
      </c>
      <c r="D16" s="11">
        <f>SUMIFS(LO!F:F,LO!$C:$C,$A16)</f>
        <v>3582559.6161026037</v>
      </c>
      <c r="E16" s="11">
        <f>SUMIFS(LO!G:G,LO!$C:$C,$A16)</f>
        <v>1999999.9999999998</v>
      </c>
      <c r="F16" s="53">
        <f t="shared" si="23"/>
        <v>1.7912798080513022</v>
      </c>
      <c r="G16" s="10">
        <f>SUMIFS(LO!I:I,LO!$C:$C,$A16)</f>
        <v>1512</v>
      </c>
      <c r="H16" s="10">
        <f>SUMIFS(LO!J:J,LO!$C:$C,$A16)</f>
        <v>2400</v>
      </c>
      <c r="I16" s="53">
        <f t="shared" si="24"/>
        <v>0.63</v>
      </c>
      <c r="J16" s="11">
        <f>SUMIFS(LO!L:L,LO!$C:$C,$A16)</f>
        <v>310871.21212121221</v>
      </c>
      <c r="K16" s="11">
        <f>SUMIFS(LO!M:M,LO!$C:$C,$A16)</f>
        <v>340909.08</v>
      </c>
      <c r="L16" s="53">
        <f t="shared" si="25"/>
        <v>0.91188891806933448</v>
      </c>
      <c r="M16" s="10">
        <f>SUMIFS(LO!O:O,LO!$C:$C,$A16)</f>
        <v>82</v>
      </c>
      <c r="N16" s="10">
        <f>SUMIFS(LO!P:P,LO!$C:$C,$A16)</f>
        <v>90</v>
      </c>
      <c r="O16" s="53">
        <f t="shared" si="26"/>
        <v>0.91111111111111109</v>
      </c>
      <c r="P16" s="10">
        <f>SUMIFS(LO!R:R,LO!$C:$C,$A16)</f>
        <v>82</v>
      </c>
      <c r="Q16" s="10">
        <f>SUMIFS(LO!S:S,LO!$C:$C,$A16)</f>
        <v>35</v>
      </c>
      <c r="R16" s="53">
        <f t="shared" si="27"/>
        <v>0.42682926829268292</v>
      </c>
      <c r="S16" s="10">
        <f>SUMIFS(LO!U:U,LO!$C:$C,$A16)</f>
        <v>61</v>
      </c>
      <c r="T16" s="53">
        <f t="shared" si="28"/>
        <v>0.74390243902439024</v>
      </c>
      <c r="U16" s="10">
        <f>SUMIFS(LO!W:W,LO!$C:$C,$A16)</f>
        <v>1512</v>
      </c>
      <c r="V16" s="53">
        <f>AVERAGEIFS(LO!X:X,LO!$C:$C,$A16)</f>
        <v>1.008</v>
      </c>
      <c r="W16" s="11">
        <f>SUMIFS(LO!Y:Y,LO!$C:$C,$A16)</f>
        <v>36758.752514702122</v>
      </c>
      <c r="X16" s="53">
        <f t="shared" si="29"/>
        <v>1.0260471967997911E-2</v>
      </c>
      <c r="Y16" s="11">
        <f>SUMIFS(LO!AA:AA,LO!$C:$C,$A16)</f>
        <v>36223.365497301602</v>
      </c>
      <c r="Z16" s="53">
        <f t="shared" si="30"/>
        <v>1.0111029369752202E-2</v>
      </c>
      <c r="AA16" s="18"/>
      <c r="AB16" s="18"/>
      <c r="AC16" s="18">
        <f t="shared" si="31"/>
        <v>21.188891806933444</v>
      </c>
      <c r="AD16" s="18">
        <f t="shared" si="32"/>
        <v>0</v>
      </c>
      <c r="AE16" s="18">
        <f t="shared" si="33"/>
        <v>20</v>
      </c>
      <c r="AF16" s="18">
        <f t="shared" si="34"/>
        <v>40</v>
      </c>
      <c r="AG16" s="18">
        <f t="shared" si="35"/>
        <v>0</v>
      </c>
      <c r="AH16" s="18">
        <f t="shared" si="36"/>
        <v>2.2682926829268295</v>
      </c>
      <c r="AI16" s="18">
        <f t="shared" si="37"/>
        <v>5</v>
      </c>
      <c r="AJ16" s="36">
        <f t="shared" si="15"/>
        <v>88</v>
      </c>
      <c r="AK16" s="28">
        <v>1442</v>
      </c>
      <c r="AL16" s="28">
        <f t="shared" si="16"/>
        <v>866</v>
      </c>
      <c r="AM16" s="28">
        <f t="shared" si="17"/>
        <v>288</v>
      </c>
      <c r="AN16" s="28">
        <f t="shared" si="17"/>
        <v>288</v>
      </c>
      <c r="AO16" s="28">
        <f t="shared" si="18"/>
        <v>506.88</v>
      </c>
      <c r="AP16" s="28">
        <f t="shared" si="38"/>
        <v>1660.88</v>
      </c>
      <c r="AQ16" s="28">
        <f t="shared" si="39"/>
        <v>218.88000000000011</v>
      </c>
      <c r="AR16" s="66">
        <f t="shared" si="40"/>
        <v>1.1517891816920944</v>
      </c>
    </row>
    <row r="17" spans="1:44" x14ac:dyDescent="0.25">
      <c r="A17" s="9" t="s">
        <v>147</v>
      </c>
      <c r="B17" s="9" t="str">
        <f>VLOOKUP($A17,MainData!$C:$E,2,FALSE)</f>
        <v>Mansour</v>
      </c>
      <c r="C17" s="10">
        <f>COUNTIFS(LO!C:C,$A17)</f>
        <v>5</v>
      </c>
      <c r="D17" s="11">
        <f>SUMIFS(LO!F:F,LO!$C:$C,$A17)</f>
        <v>3431252.7675590785</v>
      </c>
      <c r="E17" s="11">
        <f>SUMIFS(LO!G:G,LO!$C:$C,$A17)</f>
        <v>3888888.8888888895</v>
      </c>
      <c r="F17" s="53">
        <f t="shared" si="23"/>
        <v>0.88232214022947719</v>
      </c>
      <c r="G17" s="10">
        <f>SUMIFS(LO!I:I,LO!$C:$C,$A17)</f>
        <v>766</v>
      </c>
      <c r="H17" s="10">
        <f>SUMIFS(LO!J:J,LO!$C:$C,$A17)</f>
        <v>2311</v>
      </c>
      <c r="I17" s="53">
        <f t="shared" si="24"/>
        <v>0.33145824318476852</v>
      </c>
      <c r="J17" s="11">
        <f>SUMIFS(LO!L:L,LO!$C:$C,$A17)</f>
        <v>282196.96969696967</v>
      </c>
      <c r="K17" s="11">
        <f>SUMIFS(LO!M:M,LO!$C:$C,$A17)</f>
        <v>344696.95999999996</v>
      </c>
      <c r="L17" s="53">
        <f t="shared" si="25"/>
        <v>0.81868134171235418</v>
      </c>
      <c r="M17" s="10">
        <f>SUMIFS(LO!O:O,LO!$C:$C,$A17)</f>
        <v>32</v>
      </c>
      <c r="N17" s="10">
        <f>SUMIFS(LO!P:P,LO!$C:$C,$A17)</f>
        <v>56</v>
      </c>
      <c r="O17" s="53">
        <f t="shared" si="26"/>
        <v>0.5714285714285714</v>
      </c>
      <c r="P17" s="10">
        <f>SUMIFS(LO!R:R,LO!$C:$C,$A17)</f>
        <v>32</v>
      </c>
      <c r="Q17" s="10">
        <f>SUMIFS(LO!S:S,LO!$C:$C,$A17)</f>
        <v>20</v>
      </c>
      <c r="R17" s="53">
        <f t="shared" si="27"/>
        <v>0.625</v>
      </c>
      <c r="S17" s="10">
        <f>SUMIFS(LO!U:U,LO!$C:$C,$A17)</f>
        <v>7</v>
      </c>
      <c r="T17" s="53">
        <f t="shared" si="28"/>
        <v>0.21875</v>
      </c>
      <c r="U17" s="10">
        <f>SUMIFS(LO!W:W,LO!$C:$C,$A17)</f>
        <v>766</v>
      </c>
      <c r="V17" s="53">
        <f>AVERAGEIFS(LO!X:X,LO!$C:$C,$A17)</f>
        <v>0.6956</v>
      </c>
      <c r="W17" s="11">
        <f>SUMIFS(LO!Y:Y,LO!$C:$C,$A17)</f>
        <v>31489.459808151791</v>
      </c>
      <c r="X17" s="53">
        <f t="shared" si="29"/>
        <v>9.1772486439559899E-3</v>
      </c>
      <c r="Y17" s="11">
        <f>SUMIFS(LO!AA:AA,LO!$C:$C,$A17)</f>
        <v>70965.275695060889</v>
      </c>
      <c r="Z17" s="53">
        <f t="shared" si="30"/>
        <v>2.0682030879801402E-2</v>
      </c>
      <c r="AA17" s="18"/>
      <c r="AB17" s="18"/>
      <c r="AC17" s="18">
        <f t="shared" si="31"/>
        <v>11.868134171235415</v>
      </c>
      <c r="AD17" s="18">
        <f t="shared" si="32"/>
        <v>0</v>
      </c>
      <c r="AE17" s="18">
        <f t="shared" si="33"/>
        <v>20</v>
      </c>
      <c r="AF17" s="18">
        <f t="shared" si="34"/>
        <v>40</v>
      </c>
      <c r="AG17" s="18">
        <f t="shared" si="35"/>
        <v>0</v>
      </c>
      <c r="AH17" s="18">
        <f t="shared" si="36"/>
        <v>4.25</v>
      </c>
      <c r="AI17" s="18">
        <f t="shared" si="37"/>
        <v>3.6458333333333339</v>
      </c>
      <c r="AJ17" s="36">
        <f t="shared" si="15"/>
        <v>80</v>
      </c>
      <c r="AK17" s="28">
        <v>1947</v>
      </c>
      <c r="AL17" s="28">
        <f t="shared" si="16"/>
        <v>1169</v>
      </c>
      <c r="AM17" s="28">
        <f t="shared" si="17"/>
        <v>389</v>
      </c>
      <c r="AN17" s="28">
        <f t="shared" si="17"/>
        <v>389</v>
      </c>
      <c r="AO17" s="28">
        <f t="shared" si="18"/>
        <v>622.4</v>
      </c>
      <c r="AP17" s="28">
        <f t="shared" si="38"/>
        <v>2180.4</v>
      </c>
      <c r="AQ17" s="28">
        <f t="shared" si="39"/>
        <v>233.40000000000009</v>
      </c>
      <c r="AR17" s="66">
        <f t="shared" si="40"/>
        <v>1.1198767334360555</v>
      </c>
    </row>
    <row r="18" spans="1:44" x14ac:dyDescent="0.25">
      <c r="A18" s="9" t="s">
        <v>470</v>
      </c>
      <c r="B18" s="9" t="str">
        <f>VLOOKUP($A18,MainData!$C:$E,2,FALSE)</f>
        <v>Mansour</v>
      </c>
      <c r="C18" s="10">
        <f>COUNTIFS(LO!C:C,$A18)</f>
        <v>5</v>
      </c>
      <c r="D18" s="11">
        <f>SUMIFS(LO!F:F,LO!$C:$C,$A18)</f>
        <v>2966019.8196743098</v>
      </c>
      <c r="E18" s="11">
        <f>SUMIFS(LO!G:G,LO!$C:$C,$A18)</f>
        <v>3888888.8888888895</v>
      </c>
      <c r="F18" s="53">
        <f t="shared" si="23"/>
        <v>0.76269081077339385</v>
      </c>
      <c r="G18" s="10">
        <f>SUMIFS(LO!I:I,LO!$C:$C,$A18)</f>
        <v>705</v>
      </c>
      <c r="H18" s="10">
        <f>SUMIFS(LO!J:J,LO!$C:$C,$A18)</f>
        <v>2311</v>
      </c>
      <c r="I18" s="53">
        <f t="shared" si="24"/>
        <v>0.30506274340112505</v>
      </c>
      <c r="J18" s="11">
        <f>SUMIFS(LO!L:L,LO!$C:$C,$A18)</f>
        <v>175757.57575757575</v>
      </c>
      <c r="K18" s="11">
        <f>SUMIFS(LO!M:M,LO!$C:$C,$A18)</f>
        <v>344696.95999999996</v>
      </c>
      <c r="L18" s="53">
        <f t="shared" si="25"/>
        <v>0.5098901242342716</v>
      </c>
      <c r="M18" s="10">
        <f>SUMIFS(LO!O:O,LO!$C:$C,$A18)</f>
        <v>36</v>
      </c>
      <c r="N18" s="10">
        <f>SUMIFS(LO!P:P,LO!$C:$C,$A18)</f>
        <v>56</v>
      </c>
      <c r="O18" s="53">
        <f t="shared" si="26"/>
        <v>0.6428571428571429</v>
      </c>
      <c r="P18" s="10">
        <f>SUMIFS(LO!R:R,LO!$C:$C,$A18)</f>
        <v>36</v>
      </c>
      <c r="Q18" s="10">
        <f>SUMIFS(LO!S:S,LO!$C:$C,$A18)</f>
        <v>22</v>
      </c>
      <c r="R18" s="53">
        <f t="shared" si="27"/>
        <v>0.61111111111111116</v>
      </c>
      <c r="S18" s="10">
        <f>SUMIFS(LO!U:U,LO!$C:$C,$A18)</f>
        <v>3</v>
      </c>
      <c r="T18" s="53">
        <f t="shared" si="28"/>
        <v>8.3333333333333329E-2</v>
      </c>
      <c r="U18" s="10">
        <f>SUMIFS(LO!W:W,LO!$C:$C,$A18)</f>
        <v>705</v>
      </c>
      <c r="V18" s="53">
        <f>AVERAGEIFS(LO!X:X,LO!$C:$C,$A18)</f>
        <v>0.62520000000000009</v>
      </c>
      <c r="W18" s="11">
        <f>SUMIFS(LO!Y:Y,LO!$C:$C,$A18)</f>
        <v>80254.052911099905</v>
      </c>
      <c r="X18" s="53">
        <f t="shared" si="29"/>
        <v>2.7057827590616833E-2</v>
      </c>
      <c r="Y18" s="11">
        <f>SUMIFS(LO!AA:AA,LO!$C:$C,$A18)</f>
        <v>60541.59563072896</v>
      </c>
      <c r="Z18" s="53">
        <f t="shared" si="30"/>
        <v>2.0411729965235655E-2</v>
      </c>
      <c r="AA18" s="18"/>
      <c r="AB18" s="18"/>
      <c r="AC18" s="18">
        <f t="shared" si="31"/>
        <v>0</v>
      </c>
      <c r="AD18" s="18">
        <f t="shared" si="32"/>
        <v>0</v>
      </c>
      <c r="AE18" s="18">
        <f t="shared" si="33"/>
        <v>17.176868963753268</v>
      </c>
      <c r="AF18" s="18">
        <f t="shared" si="34"/>
        <v>40</v>
      </c>
      <c r="AG18" s="18">
        <f t="shared" si="35"/>
        <v>0</v>
      </c>
      <c r="AH18" s="18">
        <f t="shared" si="36"/>
        <v>4.1111111111111125</v>
      </c>
      <c r="AI18" s="18">
        <f t="shared" si="37"/>
        <v>1.3888888888888888</v>
      </c>
      <c r="AJ18" s="36">
        <f t="shared" si="15"/>
        <v>63</v>
      </c>
      <c r="AK18" s="28">
        <v>1964</v>
      </c>
      <c r="AL18" s="28">
        <f t="shared" si="16"/>
        <v>1179</v>
      </c>
      <c r="AM18" s="28">
        <f t="shared" si="17"/>
        <v>392</v>
      </c>
      <c r="AN18" s="28">
        <f t="shared" si="17"/>
        <v>392</v>
      </c>
      <c r="AO18" s="28">
        <f t="shared" si="18"/>
        <v>493.92</v>
      </c>
      <c r="AP18" s="28">
        <f t="shared" si="38"/>
        <v>2064.92</v>
      </c>
      <c r="AQ18" s="28">
        <f t="shared" si="39"/>
        <v>100.92000000000007</v>
      </c>
      <c r="AR18" s="66">
        <f t="shared" si="40"/>
        <v>1.0513849287169044</v>
      </c>
    </row>
    <row r="19" spans="1:44" x14ac:dyDescent="0.25">
      <c r="A19" s="9" t="s">
        <v>71</v>
      </c>
      <c r="B19" s="9" t="s">
        <v>165</v>
      </c>
      <c r="C19" s="10">
        <f>COUNTIFS(LO!C:C,$A19)</f>
        <v>6</v>
      </c>
      <c r="D19" s="11">
        <f>SUMIFS(LO!F:F,LO!$C:$C,$A19)</f>
        <v>3419744.7558447151</v>
      </c>
      <c r="E19" s="11">
        <f>SUMIFS(LO!G:G,LO!$C:$C,$A19)</f>
        <v>1999999.9999999998</v>
      </c>
      <c r="F19" s="53">
        <f t="shared" si="23"/>
        <v>1.7098723779223577</v>
      </c>
      <c r="G19" s="10">
        <f>SUMIFS(LO!I:I,LO!$C:$C,$A19)</f>
        <v>1080</v>
      </c>
      <c r="H19" s="10">
        <f>SUMIFS(LO!J:J,LO!$C:$C,$A19)</f>
        <v>2400</v>
      </c>
      <c r="I19" s="53">
        <f t="shared" si="24"/>
        <v>0.45</v>
      </c>
      <c r="J19" s="11">
        <f>SUMIFS(LO!L:L,LO!$C:$C,$A19)</f>
        <v>293787.87878787878</v>
      </c>
      <c r="K19" s="11">
        <f>SUMIFS(LO!M:M,LO!$C:$C,$A19)</f>
        <v>340909.08</v>
      </c>
      <c r="L19" s="53">
        <f t="shared" si="25"/>
        <v>0.86177780535466753</v>
      </c>
      <c r="M19" s="10">
        <f>SUMIFS(LO!O:O,LO!$C:$C,$A19)</f>
        <v>61</v>
      </c>
      <c r="N19" s="10">
        <f>SUMIFS(LO!P:P,LO!$C:$C,$A19)</f>
        <v>90</v>
      </c>
      <c r="O19" s="53">
        <f t="shared" si="26"/>
        <v>0.67777777777777781</v>
      </c>
      <c r="P19" s="10">
        <f>SUMIFS(LO!R:R,LO!$C:$C,$A19)</f>
        <v>61</v>
      </c>
      <c r="Q19" s="10">
        <f>SUMIFS(LO!S:S,LO!$C:$C,$A19)</f>
        <v>36</v>
      </c>
      <c r="R19" s="53">
        <f t="shared" si="27"/>
        <v>0.5901639344262295</v>
      </c>
      <c r="S19" s="10">
        <f>SUMIFS(LO!U:U,LO!$C:$C,$A19)</f>
        <v>22</v>
      </c>
      <c r="T19" s="53">
        <f t="shared" si="28"/>
        <v>0.36065573770491804</v>
      </c>
      <c r="U19" s="10">
        <f>SUMIFS(LO!W:W,LO!$C:$C,$A19)</f>
        <v>1080</v>
      </c>
      <c r="V19" s="53">
        <f>AVERAGEIFS(LO!X:X,LO!$C:$C,$A19)</f>
        <v>0.71999999999999986</v>
      </c>
      <c r="W19" s="11">
        <f>SUMIFS(LO!Y:Y,LO!$C:$C,$A19)</f>
        <v>5135.5224469696968</v>
      </c>
      <c r="X19" s="53">
        <f t="shared" si="29"/>
        <v>1.5017268286448956E-3</v>
      </c>
      <c r="Y19" s="11">
        <f>SUMIFS(LO!AA:AA,LO!$C:$C,$A19)</f>
        <v>74988.576756658149</v>
      </c>
      <c r="Z19" s="53">
        <f t="shared" si="30"/>
        <v>2.1928120988706695E-2</v>
      </c>
      <c r="AA19" s="18"/>
      <c r="AB19" s="18"/>
      <c r="AC19" s="18">
        <f t="shared" si="31"/>
        <v>16.177780535466752</v>
      </c>
      <c r="AD19" s="18">
        <f t="shared" si="32"/>
        <v>0</v>
      </c>
      <c r="AE19" s="18">
        <f t="shared" si="33"/>
        <v>20</v>
      </c>
      <c r="AF19" s="18">
        <f t="shared" si="34"/>
        <v>40</v>
      </c>
      <c r="AG19" s="18">
        <f t="shared" si="35"/>
        <v>0</v>
      </c>
      <c r="AH19" s="18">
        <f t="shared" si="36"/>
        <v>3.9016393442622954</v>
      </c>
      <c r="AI19" s="18">
        <f t="shared" si="37"/>
        <v>5</v>
      </c>
      <c r="AJ19" s="36">
        <f t="shared" si="15"/>
        <v>85</v>
      </c>
      <c r="AK19" s="28">
        <v>1301</v>
      </c>
      <c r="AL19" s="28">
        <f t="shared" si="16"/>
        <v>781</v>
      </c>
      <c r="AM19" s="28">
        <f t="shared" si="17"/>
        <v>260</v>
      </c>
      <c r="AN19" s="28">
        <f t="shared" si="17"/>
        <v>260</v>
      </c>
      <c r="AO19" s="28">
        <f t="shared" si="18"/>
        <v>442</v>
      </c>
      <c r="AP19" s="28">
        <f t="shared" si="38"/>
        <v>1483</v>
      </c>
      <c r="AQ19" s="28">
        <f t="shared" si="39"/>
        <v>182</v>
      </c>
      <c r="AR19" s="66">
        <f t="shared" si="40"/>
        <v>1.13989239046887</v>
      </c>
    </row>
    <row r="20" spans="1:44" x14ac:dyDescent="0.25">
      <c r="A20" s="9" t="s">
        <v>471</v>
      </c>
      <c r="B20" s="9" t="str">
        <f>VLOOKUP($A20,MainData!$C:$E,2,FALSE)</f>
        <v>Najaf</v>
      </c>
      <c r="C20" s="10">
        <f>COUNTIFS(LO!C:C,$A20)</f>
        <v>4</v>
      </c>
      <c r="D20" s="11">
        <f>SUMIFS(LO!F:F,LO!$C:$C,$A20)</f>
        <v>2746481.1727882908</v>
      </c>
      <c r="E20" s="11">
        <f>SUMIFS(LO!G:G,LO!$C:$C,$A20)</f>
        <v>3555555.555555556</v>
      </c>
      <c r="F20" s="53">
        <f t="shared" si="23"/>
        <v>0.77244782984670668</v>
      </c>
      <c r="G20" s="10">
        <f>SUMIFS(LO!I:I,LO!$C:$C,$A20)</f>
        <v>461</v>
      </c>
      <c r="H20" s="10">
        <f>SUMIFS(LO!J:J,LO!$C:$C,$A20)</f>
        <v>1911</v>
      </c>
      <c r="I20" s="53">
        <f t="shared" si="24"/>
        <v>0.24123495552066981</v>
      </c>
      <c r="J20" s="11">
        <f>SUMIFS(LO!L:L,LO!$C:$C,$A20)</f>
        <v>242727.27272727274</v>
      </c>
      <c r="K20" s="11">
        <f>SUMIFS(LO!M:M,LO!$C:$C,$A20)</f>
        <v>287878.77999999997</v>
      </c>
      <c r="L20" s="53">
        <f t="shared" si="25"/>
        <v>0.84315791781274319</v>
      </c>
      <c r="M20" s="10">
        <f>SUMIFS(LO!O:O,LO!$C:$C,$A20)</f>
        <v>40</v>
      </c>
      <c r="N20" s="10">
        <f>SUMIFS(LO!P:P,LO!$C:$C,$A20)</f>
        <v>41</v>
      </c>
      <c r="O20" s="53">
        <f t="shared" si="26"/>
        <v>0.97560975609756095</v>
      </c>
      <c r="P20" s="10">
        <f>SUMIFS(LO!R:R,LO!$C:$C,$A20)</f>
        <v>40</v>
      </c>
      <c r="Q20" s="10">
        <f>SUMIFS(LO!S:S,LO!$C:$C,$A20)</f>
        <v>27</v>
      </c>
      <c r="R20" s="53">
        <f t="shared" si="27"/>
        <v>0.67500000000000004</v>
      </c>
      <c r="S20" s="10">
        <f>SUMIFS(LO!U:U,LO!$C:$C,$A20)</f>
        <v>18</v>
      </c>
      <c r="T20" s="53">
        <f t="shared" si="28"/>
        <v>0.45</v>
      </c>
      <c r="U20" s="10">
        <f>SUMIFS(LO!W:W,LO!$C:$C,$A20)</f>
        <v>461</v>
      </c>
      <c r="V20" s="53">
        <f>AVERAGEIFS(LO!X:X,LO!$C:$C,$A20)</f>
        <v>0.55400000000000005</v>
      </c>
      <c r="W20" s="11">
        <f>SUMIFS(LO!Y:Y,LO!$C:$C,$A20)</f>
        <v>69701.435046851911</v>
      </c>
      <c r="X20" s="53">
        <f t="shared" si="29"/>
        <v>2.5378449973530826E-2</v>
      </c>
      <c r="Y20" s="11">
        <f>SUMIFS(LO!AA:AA,LO!$C:$C,$A20)</f>
        <v>21626.055281510999</v>
      </c>
      <c r="Z20" s="53">
        <f t="shared" si="30"/>
        <v>7.8740955866650753E-3</v>
      </c>
      <c r="AA20" s="18"/>
      <c r="AB20" s="18"/>
      <c r="AC20" s="18">
        <f t="shared" si="31"/>
        <v>14.315791781274321</v>
      </c>
      <c r="AD20" s="18">
        <f t="shared" si="32"/>
        <v>0</v>
      </c>
      <c r="AE20" s="18">
        <f t="shared" si="33"/>
        <v>17.84862001058767</v>
      </c>
      <c r="AF20" s="18">
        <f t="shared" si="34"/>
        <v>40</v>
      </c>
      <c r="AG20" s="18">
        <f t="shared" si="35"/>
        <v>0</v>
      </c>
      <c r="AH20" s="18">
        <f t="shared" si="36"/>
        <v>4.7500000000000009</v>
      </c>
      <c r="AI20" s="18">
        <f t="shared" si="37"/>
        <v>5</v>
      </c>
      <c r="AJ20" s="36">
        <f t="shared" si="15"/>
        <v>82</v>
      </c>
      <c r="AK20" s="28">
        <v>1733</v>
      </c>
      <c r="AL20" s="28">
        <f t="shared" si="16"/>
        <v>1040</v>
      </c>
      <c r="AM20" s="28">
        <f t="shared" si="17"/>
        <v>346</v>
      </c>
      <c r="AN20" s="28">
        <f t="shared" si="17"/>
        <v>346</v>
      </c>
      <c r="AO20" s="28">
        <f t="shared" si="18"/>
        <v>567.43999999999994</v>
      </c>
      <c r="AP20" s="28">
        <f t="shared" si="38"/>
        <v>1953.44</v>
      </c>
      <c r="AQ20" s="28">
        <f t="shared" si="39"/>
        <v>220.44000000000005</v>
      </c>
      <c r="AR20" s="66">
        <f t="shared" si="40"/>
        <v>1.127201384881708</v>
      </c>
    </row>
    <row r="21" spans="1:44" x14ac:dyDescent="0.25">
      <c r="A21" s="9" t="s">
        <v>472</v>
      </c>
      <c r="B21" s="9" t="str">
        <f>VLOOKUP($A21,MainData!$C:$E,2,FALSE)</f>
        <v>Najaf</v>
      </c>
      <c r="C21" s="10">
        <f>COUNTIFS(LO!C:C,$A21)</f>
        <v>5</v>
      </c>
      <c r="D21" s="11">
        <f>SUMIFS(LO!F:F,LO!$C:$C,$A21)</f>
        <v>3341219.5281503582</v>
      </c>
      <c r="E21" s="11">
        <f>SUMIFS(LO!G:G,LO!$C:$C,$A21)</f>
        <v>4333333.333333334</v>
      </c>
      <c r="F21" s="53">
        <f t="shared" si="23"/>
        <v>0.77105066034239023</v>
      </c>
      <c r="G21" s="10">
        <f>SUMIFS(LO!I:I,LO!$C:$C,$A21)</f>
        <v>676</v>
      </c>
      <c r="H21" s="10">
        <f>SUMIFS(LO!J:J,LO!$C:$C,$A21)</f>
        <v>2800</v>
      </c>
      <c r="I21" s="53">
        <f t="shared" si="24"/>
        <v>0.24142857142857144</v>
      </c>
      <c r="J21" s="11">
        <f>SUMIFS(LO!L:L,LO!$C:$C,$A21)</f>
        <v>122537.87878787878</v>
      </c>
      <c r="K21" s="11">
        <f>SUMIFS(LO!M:M,LO!$C:$C,$A21)</f>
        <v>367424.23</v>
      </c>
      <c r="L21" s="53">
        <f t="shared" si="25"/>
        <v>0.33350516591646334</v>
      </c>
      <c r="M21" s="10">
        <f>SUMIFS(LO!O:O,LO!$C:$C,$A21)</f>
        <v>24</v>
      </c>
      <c r="N21" s="10">
        <f>SUMIFS(LO!P:P,LO!$C:$C,$A21)</f>
        <v>49</v>
      </c>
      <c r="O21" s="53">
        <f t="shared" si="26"/>
        <v>0.48979591836734693</v>
      </c>
      <c r="P21" s="10">
        <f>SUMIFS(LO!R:R,LO!$C:$C,$A21)</f>
        <v>24</v>
      </c>
      <c r="Q21" s="10">
        <f>SUMIFS(LO!S:S,LO!$C:$C,$A21)</f>
        <v>12</v>
      </c>
      <c r="R21" s="53">
        <f t="shared" si="27"/>
        <v>0.5</v>
      </c>
      <c r="S21" s="10">
        <f>SUMIFS(LO!U:U,LO!$C:$C,$A21)</f>
        <v>14</v>
      </c>
      <c r="T21" s="53">
        <f t="shared" si="28"/>
        <v>0.58333333333333337</v>
      </c>
      <c r="U21" s="10">
        <f>SUMIFS(LO!W:W,LO!$C:$C,$A21)</f>
        <v>676</v>
      </c>
      <c r="V21" s="53">
        <f>AVERAGEIFS(LO!X:X,LO!$C:$C,$A21)</f>
        <v>0.59840000000000004</v>
      </c>
      <c r="W21" s="11">
        <f>SUMIFS(LO!Y:Y,LO!$C:$C,$A21)</f>
        <v>143870.7709090909</v>
      </c>
      <c r="X21" s="53">
        <f t="shared" si="29"/>
        <v>4.305935892477418E-2</v>
      </c>
      <c r="Y21" s="11">
        <f>SUMIFS(LO!AA:AA,LO!$C:$C,$A21)</f>
        <v>166491.0470825801</v>
      </c>
      <c r="Z21" s="53">
        <f t="shared" si="30"/>
        <v>4.9829424759392178E-2</v>
      </c>
      <c r="AA21" s="18"/>
      <c r="AB21" s="18"/>
      <c r="AC21" s="18">
        <f t="shared" si="31"/>
        <v>0</v>
      </c>
      <c r="AD21" s="18">
        <f t="shared" si="32"/>
        <v>0</v>
      </c>
      <c r="AE21" s="18">
        <f t="shared" si="33"/>
        <v>10.776256430090328</v>
      </c>
      <c r="AF21" s="18">
        <f t="shared" si="34"/>
        <v>40</v>
      </c>
      <c r="AG21" s="18">
        <f t="shared" si="35"/>
        <v>0</v>
      </c>
      <c r="AH21" s="18">
        <f t="shared" si="36"/>
        <v>2.9999999999999991</v>
      </c>
      <c r="AI21" s="18">
        <f t="shared" si="37"/>
        <v>5</v>
      </c>
      <c r="AJ21" s="36">
        <f t="shared" si="15"/>
        <v>59</v>
      </c>
      <c r="AK21" s="28">
        <v>1990</v>
      </c>
      <c r="AL21" s="28">
        <f t="shared" si="16"/>
        <v>1194</v>
      </c>
      <c r="AM21" s="28">
        <f t="shared" si="17"/>
        <v>398</v>
      </c>
      <c r="AN21" s="28">
        <f t="shared" si="17"/>
        <v>398</v>
      </c>
      <c r="AO21" s="28">
        <f t="shared" si="18"/>
        <v>469.64</v>
      </c>
      <c r="AP21" s="28">
        <f t="shared" si="38"/>
        <v>2061.64</v>
      </c>
      <c r="AQ21" s="28">
        <f t="shared" si="39"/>
        <v>71.639999999999873</v>
      </c>
      <c r="AR21" s="66">
        <f t="shared" si="40"/>
        <v>1.036</v>
      </c>
    </row>
    <row r="22" spans="1:44" x14ac:dyDescent="0.25">
      <c r="A22" s="9" t="s">
        <v>150</v>
      </c>
      <c r="B22" s="9" t="str">
        <f>VLOOKUP($A22,MainData!$C:$E,2,FALSE)</f>
        <v>Najaf</v>
      </c>
      <c r="C22" s="10">
        <f>COUNTIFS(LO!C:C,$A22)</f>
        <v>2</v>
      </c>
      <c r="D22" s="11">
        <f>SUMIFS(LO!F:F,LO!$C:$C,$A22)</f>
        <v>1163428.607009283</v>
      </c>
      <c r="E22" s="11">
        <f>SUMIFS(LO!G:G,LO!$C:$C,$A22)</f>
        <v>1111111.111111111</v>
      </c>
      <c r="F22" s="53">
        <f t="shared" si="23"/>
        <v>1.0470857463083549</v>
      </c>
      <c r="G22" s="10">
        <f>SUMIFS(LO!I:I,LO!$C:$C,$A22)</f>
        <v>353</v>
      </c>
      <c r="H22" s="10">
        <f>SUMIFS(LO!J:J,LO!$C:$C,$A22)</f>
        <v>1289</v>
      </c>
      <c r="I22" s="53">
        <f t="shared" si="24"/>
        <v>0.27385570209464699</v>
      </c>
      <c r="J22" s="11">
        <f>SUMIFS(LO!L:L,LO!$C:$C,$A22)</f>
        <v>57575.757575757576</v>
      </c>
      <c r="K22" s="11">
        <f>SUMIFS(LO!M:M,LO!$C:$C,$A22)</f>
        <v>136363.63</v>
      </c>
      <c r="L22" s="53">
        <f t="shared" si="25"/>
        <v>0.42222224192592683</v>
      </c>
      <c r="M22" s="10">
        <f>SUMIFS(LO!O:O,LO!$C:$C,$A22)</f>
        <v>15</v>
      </c>
      <c r="N22" s="10">
        <f>SUMIFS(LO!P:P,LO!$C:$C,$A22)</f>
        <v>23</v>
      </c>
      <c r="O22" s="53">
        <f t="shared" si="26"/>
        <v>0.65217391304347827</v>
      </c>
      <c r="P22" s="10">
        <f>SUMIFS(LO!R:R,LO!$C:$C,$A22)</f>
        <v>15</v>
      </c>
      <c r="Q22" s="10">
        <f>SUMIFS(LO!S:S,LO!$C:$C,$A22)</f>
        <v>8</v>
      </c>
      <c r="R22" s="53">
        <f t="shared" si="27"/>
        <v>0.53333333333333333</v>
      </c>
      <c r="S22" s="10">
        <f>SUMIFS(LO!U:U,LO!$C:$C,$A22)</f>
        <v>13</v>
      </c>
      <c r="T22" s="53">
        <f t="shared" si="28"/>
        <v>0.8666666666666667</v>
      </c>
      <c r="U22" s="10">
        <f>SUMIFS(LO!W:W,LO!$C:$C,$A22)</f>
        <v>353</v>
      </c>
      <c r="V22" s="53">
        <f>AVERAGEIFS(LO!X:X,LO!$C:$C,$A22)</f>
        <v>0.70599999999999996</v>
      </c>
      <c r="W22" s="11">
        <f>SUMIFS(LO!Y:Y,LO!$C:$C,$A22)</f>
        <v>31554.44451515151</v>
      </c>
      <c r="X22" s="53">
        <f t="shared" si="29"/>
        <v>2.7121943130026315E-2</v>
      </c>
      <c r="Y22" s="11">
        <f>SUMIFS(LO!AA:AA,LO!$C:$C,$A22)</f>
        <v>126566.31353888979</v>
      </c>
      <c r="Z22" s="53">
        <f t="shared" si="30"/>
        <v>0.1087873486833386</v>
      </c>
      <c r="AA22" s="18"/>
      <c r="AB22" s="18"/>
      <c r="AC22" s="18">
        <f t="shared" si="31"/>
        <v>0</v>
      </c>
      <c r="AD22" s="18">
        <f t="shared" si="32"/>
        <v>0</v>
      </c>
      <c r="AE22" s="18">
        <f t="shared" si="33"/>
        <v>17.151222747989472</v>
      </c>
      <c r="AF22" s="18">
        <f t="shared" si="34"/>
        <v>16.485060526664558</v>
      </c>
      <c r="AG22" s="18">
        <f t="shared" si="35"/>
        <v>0</v>
      </c>
      <c r="AH22" s="18">
        <f t="shared" si="36"/>
        <v>3.3333333333333339</v>
      </c>
      <c r="AI22" s="18">
        <f t="shared" si="37"/>
        <v>5</v>
      </c>
      <c r="AJ22" s="36">
        <f t="shared" si="15"/>
        <v>42</v>
      </c>
      <c r="AK22" s="28">
        <v>1444</v>
      </c>
      <c r="AL22" s="28">
        <f t="shared" si="16"/>
        <v>867</v>
      </c>
      <c r="AM22" s="28">
        <f t="shared" si="17"/>
        <v>288</v>
      </c>
      <c r="AN22" s="28">
        <f t="shared" si="17"/>
        <v>288</v>
      </c>
      <c r="AO22" s="28">
        <f t="shared" si="18"/>
        <v>241.92</v>
      </c>
      <c r="AP22" s="28">
        <f t="shared" si="38"/>
        <v>1396.92</v>
      </c>
      <c r="AQ22" s="28">
        <f t="shared" si="39"/>
        <v>-47.079999999999927</v>
      </c>
      <c r="AR22" s="66">
        <f t="shared" si="40"/>
        <v>0.96739612188365653</v>
      </c>
    </row>
    <row r="23" spans="1:44" x14ac:dyDescent="0.25">
      <c r="A23" s="9" t="s">
        <v>476</v>
      </c>
      <c r="B23" s="9" t="str">
        <f>VLOOKUP($A23,MainData!$C:$E,2,FALSE)</f>
        <v>Nasriya</v>
      </c>
      <c r="C23" s="10">
        <f>COUNTIFS(LO!C:C,$A23)</f>
        <v>5</v>
      </c>
      <c r="D23" s="11">
        <f>SUMIFS(LO!F:F,LO!$C:$C,$A23)</f>
        <v>3368007.5710308668</v>
      </c>
      <c r="E23" s="11">
        <f>SUMIFS(LO!G:G,LO!$C:$C,$A23)</f>
        <v>3000000</v>
      </c>
      <c r="F23" s="53">
        <f t="shared" si="23"/>
        <v>1.1226691903436223</v>
      </c>
      <c r="G23" s="10">
        <f>SUMIFS(LO!I:I,LO!$C:$C,$A23)</f>
        <v>894</v>
      </c>
      <c r="H23" s="10">
        <f>SUMIFS(LO!J:J,LO!$C:$C,$A23)</f>
        <v>3467</v>
      </c>
      <c r="I23" s="53">
        <f t="shared" si="24"/>
        <v>0.25785982117104123</v>
      </c>
      <c r="J23" s="11">
        <f>SUMIFS(LO!L:L,LO!$C:$C,$A23)</f>
        <v>305757.5757575758</v>
      </c>
      <c r="K23" s="11">
        <f>SUMIFS(LO!M:M,LO!$C:$C,$A23)</f>
        <v>352272.70999999996</v>
      </c>
      <c r="L23" s="53">
        <f t="shared" si="25"/>
        <v>0.86795703180520523</v>
      </c>
      <c r="M23" s="10">
        <f>SUMIFS(LO!O:O,LO!$C:$C,$A23)</f>
        <v>59</v>
      </c>
      <c r="N23" s="10">
        <f>SUMIFS(LO!P:P,LO!$C:$C,$A23)</f>
        <v>54</v>
      </c>
      <c r="O23" s="53">
        <f t="shared" si="26"/>
        <v>1.0925925925925926</v>
      </c>
      <c r="P23" s="10">
        <f>SUMIFS(LO!R:R,LO!$C:$C,$A23)</f>
        <v>59</v>
      </c>
      <c r="Q23" s="10">
        <f>SUMIFS(LO!S:S,LO!$C:$C,$A23)</f>
        <v>21</v>
      </c>
      <c r="R23" s="53">
        <f t="shared" si="27"/>
        <v>0.3559322033898305</v>
      </c>
      <c r="S23" s="10">
        <f>SUMIFS(LO!U:U,LO!$C:$C,$A23)</f>
        <v>23</v>
      </c>
      <c r="T23" s="53">
        <f t="shared" si="28"/>
        <v>0.38983050847457629</v>
      </c>
      <c r="U23" s="10">
        <f>SUMIFS(LO!W:W,LO!$C:$C,$A23)</f>
        <v>894</v>
      </c>
      <c r="V23" s="53">
        <f>AVERAGEIFS(LO!X:X,LO!$C:$C,$A23)</f>
        <v>0.71520000000000006</v>
      </c>
      <c r="W23" s="11">
        <f>SUMIFS(LO!Y:Y,LO!$C:$C,$A23)</f>
        <v>151146.40881414484</v>
      </c>
      <c r="X23" s="53">
        <f t="shared" si="29"/>
        <v>4.4877098886058182E-2</v>
      </c>
      <c r="Y23" s="11">
        <f>SUMIFS(LO!AA:AA,LO!$C:$C,$A23)</f>
        <v>17797.783242032405</v>
      </c>
      <c r="Z23" s="53">
        <f t="shared" si="30"/>
        <v>5.2843655682712522E-3</v>
      </c>
      <c r="AA23" s="18"/>
      <c r="AB23" s="18"/>
      <c r="AC23" s="18">
        <f t="shared" si="31"/>
        <v>16.795703180520512</v>
      </c>
      <c r="AD23" s="18">
        <f t="shared" si="32"/>
        <v>0</v>
      </c>
      <c r="AE23" s="18">
        <f t="shared" si="33"/>
        <v>10.049160445576726</v>
      </c>
      <c r="AF23" s="18">
        <f t="shared" si="34"/>
        <v>40</v>
      </c>
      <c r="AG23" s="18">
        <f t="shared" si="35"/>
        <v>0</v>
      </c>
      <c r="AH23" s="18">
        <f t="shared" si="36"/>
        <v>1.5593220338983051</v>
      </c>
      <c r="AI23" s="18">
        <f t="shared" si="37"/>
        <v>5</v>
      </c>
      <c r="AJ23" s="36">
        <f t="shared" si="15"/>
        <v>73</v>
      </c>
      <c r="AK23" s="28">
        <v>1915</v>
      </c>
      <c r="AL23" s="28">
        <f t="shared" si="16"/>
        <v>1149</v>
      </c>
      <c r="AM23" s="28">
        <f t="shared" si="17"/>
        <v>383</v>
      </c>
      <c r="AN23" s="28">
        <f t="shared" si="17"/>
        <v>383</v>
      </c>
      <c r="AO23" s="28">
        <f t="shared" si="18"/>
        <v>559.18000000000006</v>
      </c>
      <c r="AP23" s="28">
        <f t="shared" si="38"/>
        <v>2091.1800000000003</v>
      </c>
      <c r="AQ23" s="28">
        <f t="shared" si="39"/>
        <v>176.18000000000029</v>
      </c>
      <c r="AR23" s="66">
        <f t="shared" si="40"/>
        <v>1.0920000000000001</v>
      </c>
    </row>
    <row r="24" spans="1:44" x14ac:dyDescent="0.25">
      <c r="A24" s="9" t="s">
        <v>473</v>
      </c>
      <c r="B24" s="9" t="str">
        <f>VLOOKUP($A24,MainData!$C:$E,2,FALSE)</f>
        <v>Nasriya</v>
      </c>
      <c r="C24" s="10">
        <f>COUNTIFS(LO!C:C,$A24)</f>
        <v>4</v>
      </c>
      <c r="D24" s="11">
        <f>SUMIFS(LO!F:F,LO!$C:$C,$A24)</f>
        <v>2502578.3100294503</v>
      </c>
      <c r="E24" s="11">
        <f>SUMIFS(LO!G:G,LO!$C:$C,$A24)</f>
        <v>1777777.7777777778</v>
      </c>
      <c r="F24" s="53">
        <f t="shared" si="23"/>
        <v>1.4077002993915659</v>
      </c>
      <c r="G24" s="10">
        <f>SUMIFS(LO!I:I,LO!$C:$C,$A24)</f>
        <v>793</v>
      </c>
      <c r="H24" s="10">
        <f>SUMIFS(LO!J:J,LO!$C:$C,$A24)</f>
        <v>2089</v>
      </c>
      <c r="I24" s="53">
        <f t="shared" si="24"/>
        <v>0.37960746768788894</v>
      </c>
      <c r="J24" s="11">
        <f>SUMIFS(LO!L:L,LO!$C:$C,$A24)</f>
        <v>272045.45454545453</v>
      </c>
      <c r="K24" s="11">
        <f>SUMIFS(LO!M:M,LO!$C:$C,$A24)</f>
        <v>249999.99</v>
      </c>
      <c r="L24" s="53">
        <f t="shared" si="25"/>
        <v>1.0881818617090926</v>
      </c>
      <c r="M24" s="10">
        <f>SUMIFS(LO!O:O,LO!$C:$C,$A24)</f>
        <v>54</v>
      </c>
      <c r="N24" s="10">
        <f>SUMIFS(LO!P:P,LO!$C:$C,$A24)</f>
        <v>53</v>
      </c>
      <c r="O24" s="53">
        <f t="shared" si="26"/>
        <v>1.0188679245283019</v>
      </c>
      <c r="P24" s="10">
        <f>SUMIFS(LO!R:R,LO!$C:$C,$A24)</f>
        <v>54</v>
      </c>
      <c r="Q24" s="10">
        <f>SUMIFS(LO!S:S,LO!$C:$C,$A24)</f>
        <v>24</v>
      </c>
      <c r="R24" s="53">
        <f t="shared" si="27"/>
        <v>0.44444444444444442</v>
      </c>
      <c r="S24" s="10">
        <f>SUMIFS(LO!U:U,LO!$C:$C,$A24)</f>
        <v>35</v>
      </c>
      <c r="T24" s="53">
        <f t="shared" si="28"/>
        <v>0.64814814814814814</v>
      </c>
      <c r="U24" s="10">
        <f>SUMIFS(LO!W:W,LO!$C:$C,$A24)</f>
        <v>793</v>
      </c>
      <c r="V24" s="53">
        <f>AVERAGEIFS(LO!X:X,LO!$C:$C,$A24)</f>
        <v>0.79299999999999993</v>
      </c>
      <c r="W24" s="11">
        <f>SUMIFS(LO!Y:Y,LO!$C:$C,$A24)</f>
        <v>100924.0090320973</v>
      </c>
      <c r="X24" s="53">
        <f t="shared" si="29"/>
        <v>4.0328012365339179E-2</v>
      </c>
      <c r="Y24" s="11">
        <f>SUMIFS(LO!AA:AA,LO!$C:$C,$A24)</f>
        <v>26543.889572116175</v>
      </c>
      <c r="Z24" s="53">
        <f t="shared" si="30"/>
        <v>1.0606616970081471E-2</v>
      </c>
      <c r="AA24" s="18"/>
      <c r="AB24" s="18"/>
      <c r="AC24" s="18">
        <f t="shared" si="31"/>
        <v>30</v>
      </c>
      <c r="AD24" s="18">
        <f t="shared" si="32"/>
        <v>0</v>
      </c>
      <c r="AE24" s="18">
        <f t="shared" si="33"/>
        <v>11.868795053864329</v>
      </c>
      <c r="AF24" s="18">
        <f t="shared" si="34"/>
        <v>40</v>
      </c>
      <c r="AG24" s="18">
        <f t="shared" si="35"/>
        <v>0</v>
      </c>
      <c r="AH24" s="18">
        <f t="shared" si="36"/>
        <v>2.4444444444444442</v>
      </c>
      <c r="AI24" s="18">
        <f t="shared" si="37"/>
        <v>5</v>
      </c>
      <c r="AJ24" s="36">
        <f t="shared" si="15"/>
        <v>89</v>
      </c>
      <c r="AK24" s="28">
        <v>1972</v>
      </c>
      <c r="AL24" s="28">
        <f t="shared" si="16"/>
        <v>1184</v>
      </c>
      <c r="AM24" s="28">
        <f t="shared" si="17"/>
        <v>394</v>
      </c>
      <c r="AN24" s="28">
        <f t="shared" si="17"/>
        <v>394</v>
      </c>
      <c r="AO24" s="28">
        <f t="shared" si="18"/>
        <v>694</v>
      </c>
      <c r="AP24" s="28">
        <f t="shared" si="38"/>
        <v>2272</v>
      </c>
      <c r="AQ24" s="28">
        <f t="shared" si="39"/>
        <v>300</v>
      </c>
      <c r="AR24" s="66">
        <f t="shared" si="40"/>
        <v>1.1521298174442192</v>
      </c>
    </row>
    <row r="25" spans="1:44" x14ac:dyDescent="0.25">
      <c r="A25" s="9" t="s">
        <v>474</v>
      </c>
      <c r="B25" s="9" t="str">
        <f>VLOOKUP($A25,MainData!$C:$E,2,FALSE)</f>
        <v>Sulymaniya</v>
      </c>
      <c r="C25" s="10">
        <f>COUNTIFS(LO!C:C,$A25)</f>
        <v>4</v>
      </c>
      <c r="D25" s="11">
        <f>SUMIFS(LO!F:F,LO!$C:$C,$A25)</f>
        <v>542915.53030303027</v>
      </c>
      <c r="E25" s="11">
        <f>SUMIFS(LO!G:G,LO!$C:$C,$A25)</f>
        <v>1333333.3333333333</v>
      </c>
      <c r="F25" s="53">
        <f t="shared" si="23"/>
        <v>0.40718664772727275</v>
      </c>
      <c r="G25" s="10">
        <f>SUMIFS(LO!I:I,LO!$C:$C,$A25)</f>
        <v>181</v>
      </c>
      <c r="H25" s="10">
        <f>SUMIFS(LO!J:J,LO!$C:$C,$A25)</f>
        <v>1600</v>
      </c>
      <c r="I25" s="53">
        <f t="shared" si="24"/>
        <v>0.113125</v>
      </c>
      <c r="J25" s="11">
        <f>SUMIFS(LO!L:L,LO!$C:$C,$A25)</f>
        <v>70757.57575757576</v>
      </c>
      <c r="K25" s="11">
        <f>SUMIFS(LO!M:M,LO!$C:$C,$A25)</f>
        <v>227272.72</v>
      </c>
      <c r="L25" s="53">
        <f t="shared" si="25"/>
        <v>0.31133334329600032</v>
      </c>
      <c r="M25" s="10">
        <f>SUMIFS(LO!O:O,LO!$C:$C,$A25)</f>
        <v>17</v>
      </c>
      <c r="N25" s="10">
        <f>SUMIFS(LO!P:P,LO!$C:$C,$A25)</f>
        <v>60</v>
      </c>
      <c r="O25" s="53">
        <f t="shared" si="26"/>
        <v>0.28333333333333333</v>
      </c>
      <c r="P25" s="10">
        <f>SUMIFS(LO!R:R,LO!$C:$C,$A25)</f>
        <v>17</v>
      </c>
      <c r="Q25" s="10">
        <f>SUMIFS(LO!S:S,LO!$C:$C,$A25)</f>
        <v>6</v>
      </c>
      <c r="R25" s="53">
        <f t="shared" si="27"/>
        <v>0.35294117647058826</v>
      </c>
      <c r="S25" s="10">
        <f>SUMIFS(LO!U:U,LO!$C:$C,$A25)</f>
        <v>11</v>
      </c>
      <c r="T25" s="53">
        <f t="shared" si="28"/>
        <v>0.6470588235294118</v>
      </c>
      <c r="U25" s="10">
        <f>SUMIFS(LO!W:W,LO!$C:$C,$A25)</f>
        <v>181</v>
      </c>
      <c r="V25" s="53">
        <f>AVERAGEIFS(LO!X:X,LO!$C:$C,$A25)</f>
        <v>0.18100000000000002</v>
      </c>
      <c r="W25" s="11">
        <f>SUMIFS(LO!Y:Y,LO!$C:$C,$A25)</f>
        <v>2590.151515151515</v>
      </c>
      <c r="X25" s="53">
        <f t="shared" si="29"/>
        <v>4.7708186091228828E-3</v>
      </c>
      <c r="Y25" s="11">
        <f>SUMIFS(LO!AA:AA,LO!$C:$C,$A25)</f>
        <v>0</v>
      </c>
      <c r="Z25" s="53">
        <f t="shared" si="30"/>
        <v>0</v>
      </c>
      <c r="AA25" s="18"/>
      <c r="AB25" s="18"/>
      <c r="AC25" s="18">
        <f t="shared" si="31"/>
        <v>0</v>
      </c>
      <c r="AD25" s="18">
        <f t="shared" si="32"/>
        <v>0</v>
      </c>
      <c r="AE25" s="18">
        <f t="shared" si="33"/>
        <v>20</v>
      </c>
      <c r="AF25" s="18">
        <f t="shared" si="34"/>
        <v>40</v>
      </c>
      <c r="AG25" s="18">
        <f t="shared" si="35"/>
        <v>0</v>
      </c>
      <c r="AH25" s="18">
        <f t="shared" si="36"/>
        <v>1.5294117647058827</v>
      </c>
      <c r="AI25" s="18">
        <f t="shared" si="37"/>
        <v>5</v>
      </c>
      <c r="AJ25" s="36">
        <f t="shared" si="15"/>
        <v>67</v>
      </c>
      <c r="AK25" s="28">
        <v>1904</v>
      </c>
      <c r="AL25" s="28">
        <f t="shared" si="16"/>
        <v>1143</v>
      </c>
      <c r="AM25" s="28">
        <f t="shared" si="17"/>
        <v>380</v>
      </c>
      <c r="AN25" s="28">
        <f t="shared" si="17"/>
        <v>380</v>
      </c>
      <c r="AO25" s="28">
        <f t="shared" si="18"/>
        <v>509.2</v>
      </c>
      <c r="AP25" s="28">
        <f t="shared" si="38"/>
        <v>2032.2</v>
      </c>
      <c r="AQ25" s="28">
        <f t="shared" si="39"/>
        <v>128.20000000000005</v>
      </c>
      <c r="AR25" s="66">
        <f t="shared" si="40"/>
        <v>1.0673319327731092</v>
      </c>
    </row>
    <row r="26" spans="1:44" x14ac:dyDescent="0.25">
      <c r="A26" s="9" t="s">
        <v>21</v>
      </c>
      <c r="B26" s="9" t="str">
        <f>VLOOKUP($A26,MainData!$C:$E,2,FALSE)</f>
        <v>Wehda</v>
      </c>
      <c r="C26" s="10">
        <f>COUNTIFS(LO!C:C,$A26)</f>
        <v>6</v>
      </c>
      <c r="D26" s="11">
        <f>SUMIFS(LO!F:F,LO!$C:$C,$A26)</f>
        <v>3226219.1650269679</v>
      </c>
      <c r="E26" s="11">
        <f>SUMIFS(LO!G:G,LO!$C:$C,$A26)</f>
        <v>3777777.7777777775</v>
      </c>
      <c r="F26" s="53">
        <f t="shared" si="23"/>
        <v>0.85399919074243269</v>
      </c>
      <c r="G26" s="10">
        <f>SUMIFS(LO!I:I,LO!$C:$C,$A26)</f>
        <v>868</v>
      </c>
      <c r="H26" s="10">
        <f>SUMIFS(LO!J:J,LO!$C:$C,$A26)</f>
        <v>4356</v>
      </c>
      <c r="I26" s="53">
        <f t="shared" si="24"/>
        <v>0.1992653810835629</v>
      </c>
      <c r="J26" s="11">
        <f>SUMIFS(LO!L:L,LO!$C:$C,$A26)</f>
        <v>218939.39393939392</v>
      </c>
      <c r="K26" s="11">
        <f>SUMIFS(LO!M:M,LO!$C:$C,$A26)</f>
        <v>431818.16</v>
      </c>
      <c r="L26" s="53">
        <f t="shared" si="25"/>
        <v>0.50701756947737897</v>
      </c>
      <c r="M26" s="10">
        <f>SUMIFS(LO!O:O,LO!$C:$C,$A26)</f>
        <v>38</v>
      </c>
      <c r="N26" s="10">
        <f>SUMIFS(LO!P:P,LO!$C:$C,$A26)</f>
        <v>62</v>
      </c>
      <c r="O26" s="53">
        <f t="shared" si="26"/>
        <v>0.61290322580645162</v>
      </c>
      <c r="P26" s="10">
        <f>SUMIFS(LO!R:R,LO!$C:$C,$A26)</f>
        <v>38</v>
      </c>
      <c r="Q26" s="10">
        <f>SUMIFS(LO!S:S,LO!$C:$C,$A26)</f>
        <v>23</v>
      </c>
      <c r="R26" s="53">
        <f t="shared" si="27"/>
        <v>0.60526315789473684</v>
      </c>
      <c r="S26" s="10">
        <f>SUMIFS(LO!U:U,LO!$C:$C,$A26)</f>
        <v>3</v>
      </c>
      <c r="T26" s="53">
        <f t="shared" si="28"/>
        <v>7.8947368421052627E-2</v>
      </c>
      <c r="U26" s="10">
        <f>SUMIFS(LO!W:W,LO!$C:$C,$A26)</f>
        <v>868</v>
      </c>
      <c r="V26" s="53">
        <f>AVERAGEIFS(LO!X:X,LO!$C:$C,$A26)</f>
        <v>0.57866666666666666</v>
      </c>
      <c r="W26" s="11">
        <f>SUMIFS(LO!Y:Y,LO!$C:$C,$A26)</f>
        <v>105752.58499436984</v>
      </c>
      <c r="X26" s="53">
        <f t="shared" si="29"/>
        <v>3.2779107551264536E-2</v>
      </c>
      <c r="Y26" s="11">
        <f>SUMIFS(LO!AA:AA,LO!$C:$C,$A26)</f>
        <v>138093.66224999999</v>
      </c>
      <c r="Z26" s="53">
        <f t="shared" si="30"/>
        <v>4.2803558960584652E-2</v>
      </c>
      <c r="AA26" s="18"/>
      <c r="AB26" s="18"/>
      <c r="AC26" s="18">
        <f t="shared" si="31"/>
        <v>0</v>
      </c>
      <c r="AD26" s="18">
        <f t="shared" si="32"/>
        <v>0</v>
      </c>
      <c r="AE26" s="18">
        <f t="shared" si="33"/>
        <v>14.888356979494185</v>
      </c>
      <c r="AF26" s="18">
        <f t="shared" si="34"/>
        <v>40</v>
      </c>
      <c r="AG26" s="18">
        <f t="shared" si="35"/>
        <v>0</v>
      </c>
      <c r="AH26" s="18">
        <f t="shared" si="36"/>
        <v>4.052631578947369</v>
      </c>
      <c r="AI26" s="18">
        <f t="shared" si="37"/>
        <v>1.3157894736842104</v>
      </c>
      <c r="AJ26" s="36">
        <f t="shared" si="15"/>
        <v>60</v>
      </c>
      <c r="AK26" s="28">
        <v>1344</v>
      </c>
      <c r="AL26" s="28">
        <f t="shared" si="16"/>
        <v>807</v>
      </c>
      <c r="AM26" s="28">
        <f t="shared" si="17"/>
        <v>268</v>
      </c>
      <c r="AN26" s="28">
        <f t="shared" si="17"/>
        <v>268</v>
      </c>
      <c r="AO26" s="28">
        <f t="shared" si="18"/>
        <v>321.60000000000002</v>
      </c>
      <c r="AP26" s="28">
        <f t="shared" si="38"/>
        <v>1396.6</v>
      </c>
      <c r="AQ26" s="28">
        <f t="shared" si="39"/>
        <v>52.599999999999909</v>
      </c>
      <c r="AR26" s="66">
        <f t="shared" si="40"/>
        <v>1.0391369047619048</v>
      </c>
    </row>
    <row r="27" spans="1:44" x14ac:dyDescent="0.25">
      <c r="A27" s="9" t="s">
        <v>143</v>
      </c>
      <c r="B27" s="9" t="str">
        <f>VLOOKUP($A27,MainData!$C:$E,2,FALSE)</f>
        <v>Wehda</v>
      </c>
      <c r="C27" s="10">
        <f>COUNTIFS(LO!C:C,$A27)</f>
        <v>5</v>
      </c>
      <c r="D27" s="11">
        <f>SUMIFS(LO!F:F,LO!$C:$C,$A27)</f>
        <v>3205501.1417357265</v>
      </c>
      <c r="E27" s="11">
        <f>SUMIFS(LO!G:G,LO!$C:$C,$A27)</f>
        <v>3000000</v>
      </c>
      <c r="F27" s="53">
        <f t="shared" si="23"/>
        <v>1.0685003805785755</v>
      </c>
      <c r="G27" s="10">
        <f>SUMIFS(LO!I:I,LO!$C:$C,$A27)</f>
        <v>750</v>
      </c>
      <c r="H27" s="10">
        <f>SUMIFS(LO!J:J,LO!$C:$C,$A27)</f>
        <v>3467</v>
      </c>
      <c r="I27" s="53">
        <f t="shared" si="24"/>
        <v>0.21632535333141045</v>
      </c>
      <c r="J27" s="11">
        <f>SUMIFS(LO!L:L,LO!$C:$C,$A27)</f>
        <v>224393.93939393942</v>
      </c>
      <c r="K27" s="11">
        <f>SUMIFS(LO!M:M,LO!$C:$C,$A27)</f>
        <v>352272.71</v>
      </c>
      <c r="L27" s="53">
        <f t="shared" si="25"/>
        <v>0.63698927854485066</v>
      </c>
      <c r="M27" s="10">
        <f>SUMIFS(LO!O:O,LO!$C:$C,$A27)</f>
        <v>37</v>
      </c>
      <c r="N27" s="10">
        <f>SUMIFS(LO!P:P,LO!$C:$C,$A27)</f>
        <v>54</v>
      </c>
      <c r="O27" s="53">
        <f t="shared" si="26"/>
        <v>0.68518518518518523</v>
      </c>
      <c r="P27" s="10">
        <f>SUMIFS(LO!R:R,LO!$C:$C,$A27)</f>
        <v>37</v>
      </c>
      <c r="Q27" s="10">
        <f>SUMIFS(LO!S:S,LO!$C:$C,$A27)</f>
        <v>19</v>
      </c>
      <c r="R27" s="53">
        <f t="shared" si="27"/>
        <v>0.51351351351351349</v>
      </c>
      <c r="S27" s="10">
        <f>SUMIFS(LO!U:U,LO!$C:$C,$A27)</f>
        <v>5</v>
      </c>
      <c r="T27" s="53">
        <f t="shared" si="28"/>
        <v>0.13513513513513514</v>
      </c>
      <c r="U27" s="10">
        <f>SUMIFS(LO!W:W,LO!$C:$C,$A27)</f>
        <v>750</v>
      </c>
      <c r="V27" s="53">
        <f>AVERAGEIFS(LO!X:X,LO!$C:$C,$A27)</f>
        <v>0.6</v>
      </c>
      <c r="W27" s="11">
        <f>SUMIFS(LO!Y:Y,LO!$C:$C,$A27)</f>
        <v>105834.43111214349</v>
      </c>
      <c r="X27" s="53">
        <f t="shared" si="29"/>
        <v>3.3016500831703301E-2</v>
      </c>
      <c r="Y27" s="11">
        <f>SUMIFS(LO!AA:AA,LO!$C:$C,$A27)</f>
        <v>69665.671551131192</v>
      </c>
      <c r="Z27" s="53">
        <f t="shared" si="30"/>
        <v>2.1733160735487485E-2</v>
      </c>
      <c r="AA27" s="18"/>
      <c r="AB27" s="18"/>
      <c r="AC27" s="18">
        <f t="shared" si="31"/>
        <v>0</v>
      </c>
      <c r="AD27" s="18">
        <f t="shared" si="32"/>
        <v>0</v>
      </c>
      <c r="AE27" s="18">
        <f t="shared" si="33"/>
        <v>14.793399667318679</v>
      </c>
      <c r="AF27" s="18">
        <f t="shared" si="34"/>
        <v>40</v>
      </c>
      <c r="AG27" s="18">
        <f t="shared" si="35"/>
        <v>0</v>
      </c>
      <c r="AH27" s="18">
        <f t="shared" si="36"/>
        <v>3.1351351351351351</v>
      </c>
      <c r="AI27" s="18">
        <f t="shared" si="37"/>
        <v>2.2522522522522523</v>
      </c>
      <c r="AJ27" s="36">
        <f t="shared" si="15"/>
        <v>60</v>
      </c>
      <c r="AK27" s="28">
        <v>1988</v>
      </c>
      <c r="AL27" s="28">
        <f t="shared" si="16"/>
        <v>1193</v>
      </c>
      <c r="AM27" s="28">
        <f t="shared" si="17"/>
        <v>397</v>
      </c>
      <c r="AN27" s="28">
        <f t="shared" si="17"/>
        <v>397</v>
      </c>
      <c r="AO27" s="28">
        <f t="shared" si="18"/>
        <v>476.40000000000003</v>
      </c>
      <c r="AP27" s="28">
        <f t="shared" si="38"/>
        <v>2066.4</v>
      </c>
      <c r="AQ27" s="28">
        <f t="shared" si="39"/>
        <v>78.400000000000091</v>
      </c>
      <c r="AR27" s="66">
        <f t="shared" si="40"/>
        <v>1.0394366197183098</v>
      </c>
    </row>
    <row r="28" spans="1:44" x14ac:dyDescent="0.25">
      <c r="A28" s="9" t="s">
        <v>96</v>
      </c>
      <c r="B28" s="9" t="str">
        <f>VLOOKUP($A28,MainData!$C:$E,2,FALSE)</f>
        <v>Dewaniya</v>
      </c>
      <c r="C28" s="10">
        <f>COUNTIFS(LO!C:C,$A28)</f>
        <v>5</v>
      </c>
      <c r="D28" s="11">
        <f>SUMIFS(LO!F:F,LO!$C:$C,$A28)</f>
        <v>4849052.4449372217</v>
      </c>
      <c r="E28" s="11">
        <f>SUMIFS(LO!G:G,LO!$C:$C,$A28)</f>
        <v>3888888.8888888895</v>
      </c>
      <c r="F28" s="53">
        <f t="shared" ref="F28" si="60">D28/E28</f>
        <v>1.2468992001267141</v>
      </c>
      <c r="G28" s="10">
        <f>SUMIFS(LO!I:I,LO!$C:$C,$A28)</f>
        <v>1318</v>
      </c>
      <c r="H28" s="10">
        <f>SUMIFS(LO!J:J,LO!$C:$C,$A28)</f>
        <v>2311</v>
      </c>
      <c r="I28" s="53">
        <f t="shared" ref="I28" si="61">G28/H28</f>
        <v>0.57031588057118132</v>
      </c>
      <c r="J28" s="11">
        <f>SUMIFS(LO!L:L,LO!$C:$C,$A28)</f>
        <v>266893.93939393939</v>
      </c>
      <c r="K28" s="11">
        <f>SUMIFS(LO!M:M,LO!$C:$C,$A28)</f>
        <v>344696.95999999996</v>
      </c>
      <c r="L28" s="53">
        <f t="shared" ref="L28" si="62">J28/K28</f>
        <v>0.77428573606781859</v>
      </c>
      <c r="M28" s="10">
        <f>SUMIFS(LO!O:O,LO!$C:$C,$A28)</f>
        <v>39</v>
      </c>
      <c r="N28" s="10">
        <f>SUMIFS(LO!P:P,LO!$C:$C,$A28)</f>
        <v>56</v>
      </c>
      <c r="O28" s="53">
        <f t="shared" ref="O28" si="63">M28/N28</f>
        <v>0.6964285714285714</v>
      </c>
      <c r="P28" s="10">
        <f>SUMIFS(LO!R:R,LO!$C:$C,$A28)</f>
        <v>39</v>
      </c>
      <c r="Q28" s="10">
        <f>SUMIFS(LO!S:S,LO!$C:$C,$A28)</f>
        <v>24</v>
      </c>
      <c r="R28" s="53">
        <f t="shared" ref="R28" si="64">IFERROR(Q28/P28,0)</f>
        <v>0.61538461538461542</v>
      </c>
      <c r="S28" s="10">
        <f>SUMIFS(LO!U:U,LO!$C:$C,$A28)</f>
        <v>22</v>
      </c>
      <c r="T28" s="53">
        <f t="shared" ref="T28" si="65">IFERROR((S28)/P28,0)</f>
        <v>0.5641025641025641</v>
      </c>
      <c r="U28" s="10">
        <f>SUMIFS(LO!W:W,LO!$C:$C,$A28)</f>
        <v>1318</v>
      </c>
      <c r="V28" s="53">
        <f>AVERAGEIFS(LO!X:X,LO!$C:$C,$A28)</f>
        <v>1.2787999999999999</v>
      </c>
      <c r="W28" s="11">
        <f>SUMIFS(LO!Y:Y,LO!$C:$C,$A28)</f>
        <v>189106.01162137906</v>
      </c>
      <c r="X28" s="53">
        <f t="shared" ref="X28" si="66">W28/$D28</f>
        <v>3.8998549462755362E-2</v>
      </c>
      <c r="Y28" s="11">
        <f>SUMIFS(LO!AA:AA,LO!$C:$C,$A28)</f>
        <v>175319.65584889642</v>
      </c>
      <c r="Z28" s="53">
        <f t="shared" ref="Z28" si="67">Y28/$D28</f>
        <v>3.6155446417566267E-2</v>
      </c>
      <c r="AA28" s="18"/>
      <c r="AB28" s="18"/>
      <c r="AC28" s="18">
        <f t="shared" ref="AC28" si="68">MAX(0,MIN(AC$2,AC$2*(L28/(AC$3-AC$4)-(AC$4/(AC$3-AC$4)))))</f>
        <v>7.4285736067818542</v>
      </c>
      <c r="AD28" s="18">
        <f t="shared" ref="AD28" si="69">MAX(0,MIN(AD$2,AD$2*(O28/(AD$3-AD$4)-(AD$4/(AD$3-AD$4)))))</f>
        <v>0</v>
      </c>
      <c r="AE28" s="18">
        <f t="shared" ref="AE28" si="70">MIN(AE$2,MAX(0,AE$2-AE$2*(X28/(AE$4-AE$3)-(AE$3/(AE$4-AE$3)))))</f>
        <v>12.400580214897854</v>
      </c>
      <c r="AF28" s="18">
        <f t="shared" ref="AF28" si="71">MIN(AF$2,MAX(0,AF$2-AF$2*(Z28/(AF$4-AF$3)-(AF$3/(AF$4-AF$3)))))</f>
        <v>40</v>
      </c>
      <c r="AG28" s="18">
        <f t="shared" ref="AG28" si="72">MAX(0,MIN(AG$2,AG$2*(V28/(AG$3-AG$4)-(AG$4/(AG$3-AG$4)))))</f>
        <v>0</v>
      </c>
      <c r="AH28" s="18">
        <f t="shared" ref="AH28" si="73">MAX(0,MIN(AH$2,AH$2*(R28/(AH$3-AH$4)-(AH$4/(AH$3-AH$4)))))</f>
        <v>4.1538461538461551</v>
      </c>
      <c r="AI28" s="18">
        <f t="shared" ref="AI28" si="74">MAX(0,MIN(AI$2,AI$2*(T28/(AI$3-AI$4)-(AI$4/(AI$3-AI$4)))))</f>
        <v>5</v>
      </c>
      <c r="AJ28" s="36">
        <f t="shared" ref="AJ28" si="75">ROUND(SUM(AC28:AI28),0)</f>
        <v>69</v>
      </c>
      <c r="AK28" s="28">
        <v>0</v>
      </c>
      <c r="AL28" s="28">
        <f t="shared" si="16"/>
        <v>0</v>
      </c>
      <c r="AM28" s="28">
        <f t="shared" si="17"/>
        <v>0</v>
      </c>
      <c r="AN28" s="28">
        <f t="shared" si="17"/>
        <v>0</v>
      </c>
      <c r="AO28" s="28">
        <f t="shared" si="18"/>
        <v>0</v>
      </c>
      <c r="AP28" s="28">
        <f t="shared" ref="AP28" si="76">AO28+AL28+AM28</f>
        <v>0</v>
      </c>
      <c r="AQ28" s="28">
        <f t="shared" ref="AQ28" si="77">AP28-AK28</f>
        <v>0</v>
      </c>
      <c r="AR28" s="66" t="e">
        <f t="shared" ref="AR28" si="78">AP28/AK28</f>
        <v>#DIV/0!</v>
      </c>
    </row>
    <row r="29" spans="1:44" x14ac:dyDescent="0.25">
      <c r="A29" s="41" t="s">
        <v>132</v>
      </c>
      <c r="B29" s="41" t="s">
        <v>132</v>
      </c>
      <c r="C29" s="41" t="s">
        <v>132</v>
      </c>
      <c r="D29" s="41" t="s">
        <v>132</v>
      </c>
      <c r="E29" s="41" t="s">
        <v>132</v>
      </c>
      <c r="F29" s="54" t="s">
        <v>132</v>
      </c>
      <c r="G29" s="42" t="s">
        <v>132</v>
      </c>
      <c r="H29" s="42" t="s">
        <v>132</v>
      </c>
      <c r="I29" s="54" t="s">
        <v>132</v>
      </c>
      <c r="J29" s="41" t="s">
        <v>132</v>
      </c>
      <c r="K29" s="41" t="s">
        <v>132</v>
      </c>
      <c r="L29" s="54" t="s">
        <v>132</v>
      </c>
      <c r="M29" s="42" t="s">
        <v>132</v>
      </c>
      <c r="N29" s="42" t="s">
        <v>132</v>
      </c>
      <c r="O29" s="54" t="s">
        <v>132</v>
      </c>
      <c r="P29" s="41" t="s">
        <v>132</v>
      </c>
      <c r="Q29" s="41" t="s">
        <v>132</v>
      </c>
      <c r="R29" s="54" t="s">
        <v>132</v>
      </c>
      <c r="S29" s="41" t="s">
        <v>132</v>
      </c>
      <c r="T29" s="54" t="s">
        <v>132</v>
      </c>
      <c r="U29" s="41" t="s">
        <v>132</v>
      </c>
      <c r="V29" s="63" t="s">
        <v>132</v>
      </c>
      <c r="W29" s="41" t="s">
        <v>132</v>
      </c>
      <c r="X29" s="54" t="s">
        <v>132</v>
      </c>
      <c r="Y29" s="41" t="s">
        <v>132</v>
      </c>
      <c r="Z29" s="54" t="s">
        <v>132</v>
      </c>
      <c r="AA29" s="44"/>
      <c r="AB29" s="44"/>
      <c r="AC29" s="44">
        <f t="shared" ref="AC29:AI29" si="79">AVERAGE(AC6:AC27)</f>
        <v>11.384990526029709</v>
      </c>
      <c r="AD29" s="44">
        <f t="shared" si="79"/>
        <v>0</v>
      </c>
      <c r="AE29" s="44">
        <f t="shared" si="79"/>
        <v>16.305885923641743</v>
      </c>
      <c r="AF29" s="44">
        <f t="shared" si="79"/>
        <v>38.931139114848392</v>
      </c>
      <c r="AG29" s="44">
        <f t="shared" si="79"/>
        <v>0</v>
      </c>
      <c r="AH29" s="44">
        <f t="shared" si="79"/>
        <v>3.1058611869274073</v>
      </c>
      <c r="AI29" s="44">
        <f t="shared" si="79"/>
        <v>4.468768585258859</v>
      </c>
      <c r="AJ29" s="43" t="s">
        <v>132</v>
      </c>
      <c r="AK29" s="40">
        <f t="shared" ref="AK29:AQ29" si="80">SUBTOTAL(109,AK6:AK27)</f>
        <v>36164</v>
      </c>
      <c r="AL29" s="40">
        <f t="shared" si="80"/>
        <v>21708</v>
      </c>
      <c r="AM29" s="40">
        <f t="shared" si="80"/>
        <v>7224</v>
      </c>
      <c r="AN29" s="40">
        <f t="shared" si="80"/>
        <v>7224</v>
      </c>
      <c r="AO29" s="40">
        <f t="shared" si="80"/>
        <v>10605.74</v>
      </c>
      <c r="AP29" s="40">
        <f t="shared" si="80"/>
        <v>39537.74</v>
      </c>
      <c r="AQ29" s="40">
        <f t="shared" si="80"/>
        <v>3373.74</v>
      </c>
      <c r="AR29" s="68">
        <f>AP29/AK29</f>
        <v>1.0932900121667957</v>
      </c>
    </row>
  </sheetData>
  <autoFilter ref="A5:AR28" xr:uid="{00000000-0009-0000-0000-000002000000}">
    <sortState xmlns:xlrd2="http://schemas.microsoft.com/office/spreadsheetml/2017/richdata2" ref="A5:AR29">
      <sortCondition ref="B4:B29"/>
    </sortState>
  </autoFilter>
  <pageMargins left="0.7" right="0.7" top="0.75" bottom="0.75" header="0.3" footer="0.3"/>
  <pageSetup orientation="portrait" horizontalDpi="4294967295" verticalDpi="4294967295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0000"/>
  </sheetPr>
  <dimension ref="A1:BD196"/>
  <sheetViews>
    <sheetView zoomScaleNormal="100" workbookViewId="0">
      <pane xSplit="5" ySplit="6" topLeftCell="F7" activePane="bottomRight" state="frozen"/>
      <selection pane="topRight" activeCell="D1" sqref="D1"/>
      <selection pane="bottomLeft" activeCell="A5" sqref="A5"/>
      <selection pane="bottomRight" activeCell="L188" activeCellId="3" sqref="L7 L8 L13 L188"/>
    </sheetView>
  </sheetViews>
  <sheetFormatPr defaultColWidth="3.28515625" defaultRowHeight="15" x14ac:dyDescent="0.25"/>
  <cols>
    <col min="1" max="1" width="28.140625" customWidth="1"/>
    <col min="2" max="2" width="10.28515625" bestFit="1" customWidth="1"/>
    <col min="3" max="3" width="25.85546875" bestFit="1" customWidth="1"/>
    <col min="4" max="4" width="10.42578125" customWidth="1"/>
    <col min="5" max="5" width="19.140625" customWidth="1"/>
    <col min="6" max="6" width="29.5703125" style="4" customWidth="1"/>
    <col min="7" max="7" width="15.7109375" style="4" customWidth="1"/>
    <col min="8" max="8" width="14" style="52" customWidth="1"/>
    <col min="9" max="10" width="20.85546875" style="14" customWidth="1"/>
    <col min="11" max="11" width="14" style="52" customWidth="1"/>
    <col min="12" max="13" width="21.42578125" style="4" customWidth="1"/>
    <col min="14" max="14" width="14" style="52" customWidth="1"/>
    <col min="15" max="15" width="8.28515625" style="265" customWidth="1"/>
    <col min="16" max="16" width="21.42578125" style="14" customWidth="1"/>
    <col min="17" max="17" width="14" style="52" customWidth="1"/>
    <col min="18" max="18" width="16.28515625" style="5" customWidth="1"/>
    <col min="19" max="19" width="22.140625" style="5" customWidth="1"/>
    <col min="20" max="20" width="21.28515625" style="56" customWidth="1"/>
    <col min="21" max="21" width="22.28515625" style="5" customWidth="1"/>
    <col min="22" max="22" width="20.140625" style="5" customWidth="1"/>
    <col min="23" max="23" width="13.85546875" style="5" customWidth="1"/>
    <col min="24" max="24" width="16.140625" style="5" customWidth="1"/>
    <col min="25" max="25" width="11.7109375" style="4" customWidth="1"/>
    <col min="26" max="26" width="10.28515625" style="6" customWidth="1"/>
    <col min="27" max="27" width="14.28515625" style="4" customWidth="1"/>
    <col min="28" max="28" width="11.42578125" style="6" customWidth="1"/>
    <col min="29" max="29" width="18.42578125" style="1" customWidth="1"/>
    <col min="30" max="30" width="10.7109375" style="19" customWidth="1"/>
    <col min="31" max="31" width="14.85546875" style="19" customWidth="1"/>
    <col min="32" max="32" width="13" style="19" customWidth="1"/>
    <col min="33" max="33" width="15.85546875" style="19" customWidth="1"/>
    <col min="34" max="34" width="10.28515625" style="19" customWidth="1"/>
    <col min="35" max="35" width="9.42578125" style="19" customWidth="1"/>
    <col min="36" max="36" width="11" style="19" customWidth="1"/>
    <col min="37" max="37" width="11.5703125" style="19" customWidth="1"/>
    <col min="38" max="38" width="8.5703125" style="19" customWidth="1"/>
    <col min="39" max="39" width="23.28515625" style="37" customWidth="1"/>
    <col min="40" max="40" width="14.7109375" style="37" customWidth="1"/>
    <col min="41" max="41" width="12.140625" style="149" customWidth="1"/>
    <col min="42" max="42" width="10.7109375" style="149" customWidth="1"/>
    <col min="43" max="43" width="9.85546875" style="149" customWidth="1"/>
    <col min="44" max="44" width="13.85546875" style="29" customWidth="1"/>
    <col min="45" max="45" width="9.85546875" style="29" customWidth="1"/>
    <col min="46" max="46" width="14" style="164" customWidth="1"/>
    <col min="47" max="47" width="14.42578125" style="29" customWidth="1"/>
    <col min="48" max="48" width="15.140625" style="29" customWidth="1"/>
    <col min="49" max="49" width="11.7109375" style="29" customWidth="1"/>
    <col min="50" max="50" width="8.85546875" style="67" customWidth="1"/>
    <col min="51" max="51" width="9.42578125" customWidth="1"/>
    <col min="52" max="52" width="13.5703125" customWidth="1"/>
    <col min="53" max="53" width="7.5703125" customWidth="1"/>
    <col min="54" max="54" width="10" customWidth="1"/>
    <col min="55" max="55" width="7.140625" customWidth="1"/>
    <col min="56" max="56" width="14" customWidth="1"/>
  </cols>
  <sheetData>
    <row r="1" spans="1:56" x14ac:dyDescent="0.25">
      <c r="A1" s="20" t="s">
        <v>176</v>
      </c>
      <c r="B1" s="47" t="s">
        <v>219</v>
      </c>
      <c r="C1" s="14">
        <f>COUNTIFS(B$7:B$288,$B1)</f>
        <v>75</v>
      </c>
      <c r="D1" s="188"/>
      <c r="E1" s="49">
        <f>G1/C1</f>
        <v>333333.33333333331</v>
      </c>
      <c r="F1" s="49">
        <f>SUMIFS(F$7:F$288,$B$7:$B$288,$B1)</f>
        <v>35987714.797454372</v>
      </c>
      <c r="G1" s="49">
        <f>H1*G$5</f>
        <v>25000000</v>
      </c>
      <c r="H1" s="243">
        <v>0.34722222222222221</v>
      </c>
      <c r="I1" s="51">
        <f>SUMIFS(I$7:I$288,$B$7:$B$288,$B1)</f>
        <v>12620</v>
      </c>
      <c r="J1" s="51">
        <v>30000</v>
      </c>
      <c r="K1" s="49">
        <f>Target_Entry!G5</f>
        <v>56818.18</v>
      </c>
      <c r="L1" s="49">
        <f>SUMIFS(L$7:L$288,$B$7:$B$288,$B1)</f>
        <v>3176931.818181817</v>
      </c>
      <c r="M1" s="49">
        <f>Target_Entry!J23</f>
        <v>4545454.3999999994</v>
      </c>
      <c r="N1" s="243">
        <f>M1/M$5</f>
        <v>0.48115477372645438</v>
      </c>
      <c r="O1" s="51">
        <f>SUMIFS(O$7:O$288,$B$7:$B$288,$B1)</f>
        <v>728</v>
      </c>
      <c r="P1" s="51">
        <f>P$5/O$5*O1</f>
        <v>17.724075743913435</v>
      </c>
      <c r="Q1" s="1"/>
      <c r="R1" s="3"/>
      <c r="S1" s="3"/>
      <c r="T1" s="8"/>
      <c r="U1" s="3"/>
      <c r="W1" s="8" t="s">
        <v>223</v>
      </c>
      <c r="X1" s="8" t="s">
        <v>130</v>
      </c>
      <c r="Y1" s="5"/>
      <c r="Z1" s="3"/>
      <c r="AA1" s="3"/>
      <c r="AB1" s="3"/>
      <c r="AC1" s="143" t="s">
        <v>317</v>
      </c>
      <c r="AD1" s="16">
        <v>10</v>
      </c>
      <c r="AE1" s="16">
        <v>0</v>
      </c>
      <c r="AF1" s="16">
        <v>30</v>
      </c>
      <c r="AG1" s="16">
        <v>0</v>
      </c>
      <c r="AH1" s="16">
        <v>15</v>
      </c>
      <c r="AI1" s="16">
        <v>30</v>
      </c>
      <c r="AJ1" s="16">
        <v>5</v>
      </c>
      <c r="AK1" s="16">
        <v>5</v>
      </c>
      <c r="AL1" s="16">
        <v>5</v>
      </c>
      <c r="AM1" s="33"/>
      <c r="AN1" s="33">
        <f>SUM(AD1:AL1)</f>
        <v>100</v>
      </c>
      <c r="AP1" s="37">
        <f>COUNTIFS($AN$7:$AN$178,"&gt;0",$B$7:$B$178,$B1)</f>
        <v>22</v>
      </c>
      <c r="AQ1" s="244">
        <f>AP1/C1</f>
        <v>0.29333333333333333</v>
      </c>
      <c r="AR1" s="16"/>
      <c r="AS1" s="16"/>
      <c r="AT1" s="161"/>
      <c r="AU1" s="111"/>
      <c r="AV1" s="16"/>
      <c r="AW1" s="16"/>
      <c r="AX1" s="64"/>
    </row>
    <row r="2" spans="1:56" x14ac:dyDescent="0.25">
      <c r="A2" s="20" t="s">
        <v>177</v>
      </c>
      <c r="B2" s="47" t="s">
        <v>218</v>
      </c>
      <c r="C2" s="14">
        <f>COUNTIFS(B$7:B$288,$B2)</f>
        <v>9</v>
      </c>
      <c r="D2" s="188"/>
      <c r="E2" s="49">
        <f>G2/C2</f>
        <v>2111111.111111111</v>
      </c>
      <c r="F2" s="49">
        <f>SUMIFS(F$7:F$288,$B$7:$B$288,$B2)</f>
        <v>9512146.9618533738</v>
      </c>
      <c r="G2" s="49">
        <f>H2*G$5</f>
        <v>19000000</v>
      </c>
      <c r="H2" s="243">
        <v>0.2638888888888889</v>
      </c>
      <c r="I2" s="51">
        <f>SUMIFS(I$7:I$288,$B$7:$B$288,$B2)</f>
        <v>689</v>
      </c>
      <c r="J2" s="51">
        <v>2000</v>
      </c>
      <c r="K2" s="49">
        <f>Target_Entry!AA5</f>
        <v>94696.97</v>
      </c>
      <c r="L2" s="49">
        <f>SUMIFS(L$7:L$288,$B$7:$B$288,$B2)</f>
        <v>508560.60606060608</v>
      </c>
      <c r="M2" s="49">
        <f>Target_Entry!AD23</f>
        <v>1321969.7</v>
      </c>
      <c r="N2" s="243">
        <f>M2/M$5</f>
        <v>0.13993585149082757</v>
      </c>
      <c r="O2" s="51">
        <f>SUMIFS(O$7:O$288,$B$7:$B$288,$B2)</f>
        <v>22</v>
      </c>
      <c r="P2" s="51">
        <f>P$5/O$5*O2</f>
        <v>0.53561767357980161</v>
      </c>
      <c r="Q2" s="1"/>
      <c r="V2" s="57" t="s">
        <v>219</v>
      </c>
      <c r="W2" s="70">
        <f>AVERAGEIFS(W$7:W$288,$B$7:$B$288,$V2)</f>
        <v>168.26666666666668</v>
      </c>
      <c r="X2" s="58">
        <f>'LOS Incentive'!V3</f>
        <v>250</v>
      </c>
      <c r="Z2" s="15">
        <f>SUBTOTAL(101,Z7:Z288)</f>
        <v>2.128899537842821E-2</v>
      </c>
      <c r="AB2" s="142">
        <f>SUBTOTAL(101,AB7:AB288)</f>
        <v>4.1712268791932905E-2</v>
      </c>
      <c r="AC2" s="143" t="s">
        <v>318</v>
      </c>
      <c r="AD2" s="17">
        <v>1</v>
      </c>
      <c r="AE2" s="17">
        <v>1</v>
      </c>
      <c r="AF2" s="17">
        <v>1</v>
      </c>
      <c r="AG2" s="17">
        <v>1</v>
      </c>
      <c r="AH2" s="17">
        <v>0</v>
      </c>
      <c r="AI2" s="17">
        <v>0.03</v>
      </c>
      <c r="AJ2" s="17">
        <v>1</v>
      </c>
      <c r="AK2" s="17">
        <v>0.7</v>
      </c>
      <c r="AL2" s="17">
        <v>0.3</v>
      </c>
      <c r="AM2" s="175" t="s">
        <v>330</v>
      </c>
      <c r="AN2" s="176">
        <v>0.15</v>
      </c>
      <c r="AP2" s="37">
        <f>COUNTIFS($AN$7:$AN$178,"&gt;0",$B$7:$B$178,$B2)</f>
        <v>0</v>
      </c>
      <c r="AQ2" s="244">
        <f>AP2/C2</f>
        <v>0</v>
      </c>
      <c r="AR2" s="26"/>
      <c r="AS2" s="26"/>
      <c r="AT2" s="161"/>
      <c r="AU2" s="111"/>
      <c r="AV2" s="26"/>
      <c r="AW2" s="26"/>
      <c r="AX2" s="17"/>
    </row>
    <row r="3" spans="1:56" ht="30" x14ac:dyDescent="0.25">
      <c r="A3" s="20"/>
      <c r="B3" s="47" t="s">
        <v>383</v>
      </c>
      <c r="C3" s="14">
        <f>COUNTIFS(B$7:B$288,$B3)</f>
        <v>36</v>
      </c>
      <c r="D3" s="188"/>
      <c r="E3" s="49">
        <f>G3/C3</f>
        <v>777777.77777777775</v>
      </c>
      <c r="F3" s="49">
        <f>SUMIFS(F$7:F$288,$B$7:$B$288,$B3)</f>
        <v>27711962.861290328</v>
      </c>
      <c r="G3" s="49">
        <f>H3*G$5</f>
        <v>28000000</v>
      </c>
      <c r="H3" s="243">
        <v>0.3888888888888889</v>
      </c>
      <c r="I3" s="51">
        <f>SUM(I$7:I$288)</f>
        <v>20813</v>
      </c>
      <c r="J3" s="55">
        <f>'LOS Incentive'!H2</f>
        <v>32000</v>
      </c>
      <c r="K3" s="49">
        <f>Target_Entry!Q5</f>
        <v>79545.45</v>
      </c>
      <c r="L3" s="49">
        <f>SUMIFS(L$7:L$288,$B$7:$B$288,$B3)</f>
        <v>1918674.2424242424</v>
      </c>
      <c r="M3" s="49">
        <f>Target_Entry!T23</f>
        <v>3579545.2499999995</v>
      </c>
      <c r="N3" s="243">
        <f>M3/M$5</f>
        <v>0.37890937478271797</v>
      </c>
      <c r="O3" s="51">
        <f>SUMIFS(O$7:O$288,$B$7:$B$288,$B3)</f>
        <v>344</v>
      </c>
      <c r="P3" s="51">
        <f>P$5/O$5*O5</f>
        <v>27</v>
      </c>
      <c r="Q3" s="251"/>
      <c r="R3" s="51">
        <f>SUM(R$7:R$288)</f>
        <v>1107</v>
      </c>
      <c r="S3" s="51">
        <f>SUM(S$7:S$288)</f>
        <v>565</v>
      </c>
      <c r="U3" s="51">
        <f>SUM(U$7:U$288)</f>
        <v>479</v>
      </c>
      <c r="V3" s="57" t="s">
        <v>218</v>
      </c>
      <c r="W3" s="70">
        <f>AVERAGEIFS(W$7:W$288,$B$7:$B$288,$V3)</f>
        <v>76.555555555555557</v>
      </c>
      <c r="X3" s="58">
        <f>'LOS Incentive'!V4</f>
        <v>100</v>
      </c>
      <c r="Y3" s="49">
        <f>SUM(Y$7:Y$288)</f>
        <v>2092040.1334228136</v>
      </c>
      <c r="Z3" s="15"/>
      <c r="AA3" s="49">
        <f>SUM(AA$7:AA$288)</f>
        <v>1807918.8251630927</v>
      </c>
      <c r="AB3" s="142"/>
      <c r="AC3" s="143" t="s">
        <v>319</v>
      </c>
      <c r="AD3" s="17">
        <v>0.7</v>
      </c>
      <c r="AE3" s="17">
        <v>0.7</v>
      </c>
      <c r="AF3" s="17">
        <v>0.7</v>
      </c>
      <c r="AG3" s="17">
        <v>0.7</v>
      </c>
      <c r="AH3" s="17">
        <v>0.05</v>
      </c>
      <c r="AI3" s="17">
        <v>0.15</v>
      </c>
      <c r="AJ3" s="17">
        <v>0.5</v>
      </c>
      <c r="AK3" s="17">
        <v>0.2</v>
      </c>
      <c r="AL3" s="17">
        <v>0</v>
      </c>
      <c r="AM3" s="153" t="s">
        <v>384</v>
      </c>
      <c r="AN3" s="154">
        <v>0</v>
      </c>
      <c r="AO3" s="153">
        <v>15</v>
      </c>
      <c r="AP3" s="37">
        <f>COUNTIFS($AN$7:$AN$178,"&gt;0",$B$7:$B$178,$B3)</f>
        <v>13</v>
      </c>
      <c r="AQ3" s="244">
        <f>AP3/C3</f>
        <v>0.3611111111111111</v>
      </c>
      <c r="AR3" s="161" t="s">
        <v>334</v>
      </c>
      <c r="AS3" s="150">
        <v>0.8</v>
      </c>
      <c r="AT3" s="161" t="s">
        <v>331</v>
      </c>
      <c r="AU3" s="151">
        <v>650</v>
      </c>
      <c r="AV3" s="26"/>
      <c r="AW3" s="40">
        <f>AW5</f>
        <v>819</v>
      </c>
      <c r="AX3" s="17"/>
    </row>
    <row r="4" spans="1:56" x14ac:dyDescent="0.25">
      <c r="A4" s="20" t="s">
        <v>178</v>
      </c>
      <c r="B4" s="47" t="s">
        <v>278</v>
      </c>
      <c r="C4" s="14">
        <f>COUNTIFS(B$7:B$288,$B4)</f>
        <v>64</v>
      </c>
      <c r="D4" s="188"/>
      <c r="E4" s="49">
        <f>G4/C4</f>
        <v>0</v>
      </c>
      <c r="F4" s="49">
        <f>SUMIFS(F$7:F$288,$B$7:$B$288,$B4)</f>
        <v>1816808.1487578766</v>
      </c>
      <c r="G4" s="50"/>
      <c r="H4" s="243">
        <v>0</v>
      </c>
      <c r="I4" s="51"/>
      <c r="J4" s="55"/>
      <c r="K4" s="49"/>
      <c r="L4" s="49"/>
      <c r="M4" s="50"/>
      <c r="N4" s="243">
        <f>M4/M$5</f>
        <v>0</v>
      </c>
      <c r="O4" s="51"/>
      <c r="P4" s="55"/>
      <c r="Q4" s="1"/>
      <c r="R4" s="51"/>
      <c r="S4" s="51"/>
      <c r="U4" s="51"/>
      <c r="V4" s="57" t="s">
        <v>383</v>
      </c>
      <c r="W4" s="70">
        <f>AVERAGEIFS(W$7:W$288,$B$7:$B$288,$V4)</f>
        <v>190.97222222222223</v>
      </c>
      <c r="X4" s="58"/>
      <c r="Y4" s="49"/>
      <c r="Z4" s="15"/>
      <c r="AA4" s="49"/>
      <c r="AB4" s="142"/>
      <c r="AC4" s="143" t="s">
        <v>332</v>
      </c>
      <c r="AD4" s="146">
        <f>AD1</f>
        <v>10</v>
      </c>
      <c r="AE4" s="146">
        <f>AE1</f>
        <v>0</v>
      </c>
      <c r="AF4" s="146">
        <v>45</v>
      </c>
      <c r="AG4" s="146">
        <f t="shared" ref="AG4:AL4" si="0">AG1</f>
        <v>0</v>
      </c>
      <c r="AH4" s="146">
        <f t="shared" si="0"/>
        <v>15</v>
      </c>
      <c r="AI4" s="146">
        <v>45</v>
      </c>
      <c r="AJ4" s="146">
        <f t="shared" si="0"/>
        <v>5</v>
      </c>
      <c r="AK4" s="146">
        <f t="shared" si="0"/>
        <v>5</v>
      </c>
      <c r="AL4" s="146">
        <f t="shared" si="0"/>
        <v>5</v>
      </c>
      <c r="AM4" s="153" t="s">
        <v>385</v>
      </c>
      <c r="AN4" s="154">
        <v>70000</v>
      </c>
      <c r="AO4" s="153">
        <v>8</v>
      </c>
      <c r="AR4"/>
      <c r="AS4"/>
      <c r="AT4" s="161"/>
      <c r="AU4" s="151">
        <v>0</v>
      </c>
      <c r="AV4"/>
      <c r="AW4"/>
      <c r="AX4"/>
      <c r="AY4">
        <v>240</v>
      </c>
      <c r="AZ4">
        <v>120</v>
      </c>
    </row>
    <row r="5" spans="1:56" x14ac:dyDescent="0.25">
      <c r="A5" s="20"/>
      <c r="B5" s="47"/>
      <c r="C5" s="14"/>
      <c r="D5" s="14"/>
      <c r="E5" s="49"/>
      <c r="F5" s="49">
        <f>SUM(F$7:F$288)</f>
        <v>75028632.769355923</v>
      </c>
      <c r="G5" s="85">
        <v>72000000</v>
      </c>
      <c r="H5" s="243">
        <f>G5/G$5</f>
        <v>1</v>
      </c>
      <c r="I5" s="173"/>
      <c r="J5" s="174"/>
      <c r="K5" s="49"/>
      <c r="L5" s="49">
        <f>SUM(L$7:L$288)</f>
        <v>5663257.5757575762</v>
      </c>
      <c r="M5" s="85">
        <f>Target_Entry!AF23</f>
        <v>9446969.3499999996</v>
      </c>
      <c r="N5" s="243">
        <f>SUM(N1:N4)</f>
        <v>1</v>
      </c>
      <c r="O5" s="51">
        <f>SUM(O$7:O$288)</f>
        <v>1109</v>
      </c>
      <c r="P5" s="55">
        <f>SUBTOTAL(109,P7:P172)</f>
        <v>27</v>
      </c>
      <c r="Q5" s="1"/>
      <c r="R5" s="173"/>
      <c r="S5" s="173"/>
      <c r="U5" s="173"/>
      <c r="V5" s="57"/>
      <c r="W5" s="70"/>
      <c r="X5" s="58"/>
      <c r="Y5" s="172"/>
      <c r="Z5" s="15"/>
      <c r="AA5" s="172"/>
      <c r="AB5" s="142"/>
      <c r="AC5" s="143" t="s">
        <v>333</v>
      </c>
      <c r="AD5" s="145">
        <v>0</v>
      </c>
      <c r="AE5" s="145">
        <v>0</v>
      </c>
      <c r="AF5" s="145">
        <v>0</v>
      </c>
      <c r="AG5" s="145">
        <v>0</v>
      </c>
      <c r="AH5" s="145">
        <v>0</v>
      </c>
      <c r="AI5" s="145">
        <v>0</v>
      </c>
      <c r="AJ5" s="145">
        <v>0</v>
      </c>
      <c r="AK5" s="145">
        <v>0</v>
      </c>
      <c r="AL5" s="145">
        <v>0</v>
      </c>
      <c r="AO5" s="40">
        <f t="shared" ref="AO5:AW5" si="1">SUBTOTAL(109,AO7:AO303)</f>
        <v>2337</v>
      </c>
      <c r="AP5" s="40">
        <f t="shared" si="1"/>
        <v>255</v>
      </c>
      <c r="AQ5" s="40">
        <f t="shared" si="1"/>
        <v>325</v>
      </c>
      <c r="AR5" s="40">
        <f t="shared" si="1"/>
        <v>2917</v>
      </c>
      <c r="AS5" s="40">
        <f t="shared" si="1"/>
        <v>1870</v>
      </c>
      <c r="AT5" s="162">
        <f t="shared" si="1"/>
        <v>1047</v>
      </c>
      <c r="AU5" s="40">
        <f t="shared" si="1"/>
        <v>1866</v>
      </c>
      <c r="AV5" s="40">
        <f t="shared" si="1"/>
        <v>3736</v>
      </c>
      <c r="AW5" s="40">
        <f t="shared" si="1"/>
        <v>819</v>
      </c>
      <c r="AX5" s="68">
        <f>SUBTOTAL(101,AX7:AX303)</f>
        <v>1.0154205680830444</v>
      </c>
      <c r="AY5" s="40">
        <f>SUBTOTAL(109,AY7:AY303)</f>
        <v>1866</v>
      </c>
      <c r="AZ5" s="40">
        <f>SUBTOTAL(109,AZ7:AZ303)</f>
        <v>345</v>
      </c>
      <c r="BA5" s="40">
        <f>SUBTOTAL(109,BA7:BA303)</f>
        <v>0</v>
      </c>
    </row>
    <row r="6" spans="1:56" s="160" customFormat="1" ht="42.75" customHeight="1" x14ac:dyDescent="0.25">
      <c r="A6" s="155" t="s">
        <v>0</v>
      </c>
      <c r="B6" s="155" t="s">
        <v>217</v>
      </c>
      <c r="C6" s="155" t="s">
        <v>123</v>
      </c>
      <c r="D6" s="155" t="s">
        <v>125</v>
      </c>
      <c r="E6" s="155" t="s">
        <v>124</v>
      </c>
      <c r="F6" s="156" t="s">
        <v>194</v>
      </c>
      <c r="G6" s="156" t="s">
        <v>191</v>
      </c>
      <c r="H6" s="156" t="s">
        <v>195</v>
      </c>
      <c r="I6" s="157" t="s">
        <v>193</v>
      </c>
      <c r="J6" s="157" t="s">
        <v>192</v>
      </c>
      <c r="K6" s="156" t="s">
        <v>195</v>
      </c>
      <c r="L6" s="156" t="s">
        <v>196</v>
      </c>
      <c r="M6" s="156" t="s">
        <v>197</v>
      </c>
      <c r="N6" s="156" t="s">
        <v>195</v>
      </c>
      <c r="O6" s="263" t="s">
        <v>220</v>
      </c>
      <c r="P6" s="156" t="s">
        <v>221</v>
      </c>
      <c r="Q6" s="156" t="s">
        <v>195</v>
      </c>
      <c r="R6" s="156" t="s">
        <v>170</v>
      </c>
      <c r="S6" s="156" t="s">
        <v>216</v>
      </c>
      <c r="T6" s="156" t="s">
        <v>169</v>
      </c>
      <c r="U6" s="156" t="s">
        <v>167</v>
      </c>
      <c r="V6" s="156" t="s">
        <v>171</v>
      </c>
      <c r="W6" s="156" t="s">
        <v>126</v>
      </c>
      <c r="X6" s="156" t="s">
        <v>173</v>
      </c>
      <c r="Y6" s="156" t="s">
        <v>201</v>
      </c>
      <c r="Z6" s="156" t="s">
        <v>202</v>
      </c>
      <c r="AA6" s="156" t="s">
        <v>175</v>
      </c>
      <c r="AB6" s="156" t="s">
        <v>128</v>
      </c>
      <c r="AC6" s="158"/>
      <c r="AD6" s="159" t="s">
        <v>315</v>
      </c>
      <c r="AE6" s="159" t="s">
        <v>316</v>
      </c>
      <c r="AF6" s="159" t="s">
        <v>231</v>
      </c>
      <c r="AG6" s="159" t="s">
        <v>313</v>
      </c>
      <c r="AH6" s="159" t="s">
        <v>214</v>
      </c>
      <c r="AI6" s="159" t="s">
        <v>128</v>
      </c>
      <c r="AJ6" s="159" t="s">
        <v>181</v>
      </c>
      <c r="AK6" s="159" t="s">
        <v>179</v>
      </c>
      <c r="AL6" s="159" t="s">
        <v>180</v>
      </c>
      <c r="AM6" s="152" t="s">
        <v>326</v>
      </c>
      <c r="AN6" s="152" t="s">
        <v>328</v>
      </c>
      <c r="AO6" s="177" t="s">
        <v>323</v>
      </c>
      <c r="AP6" s="178" t="s">
        <v>324</v>
      </c>
      <c r="AQ6" s="178" t="s">
        <v>325</v>
      </c>
      <c r="AR6" s="177" t="s">
        <v>322</v>
      </c>
      <c r="AS6" s="179" t="s">
        <v>327</v>
      </c>
      <c r="AT6" s="180" t="s">
        <v>329</v>
      </c>
      <c r="AU6" s="179" t="s">
        <v>188</v>
      </c>
      <c r="AV6" s="180" t="s">
        <v>189</v>
      </c>
      <c r="AW6" s="180" t="s">
        <v>190</v>
      </c>
      <c r="AX6" s="181" t="s">
        <v>222</v>
      </c>
      <c r="AY6" s="160" t="s">
        <v>324</v>
      </c>
      <c r="AZ6" s="160" t="s">
        <v>338</v>
      </c>
      <c r="BA6" s="160" t="s">
        <v>339</v>
      </c>
      <c r="BC6" s="160" t="s">
        <v>355</v>
      </c>
    </row>
    <row r="7" spans="1:56" x14ac:dyDescent="0.25">
      <c r="A7" s="253" t="s">
        <v>8</v>
      </c>
      <c r="B7" s="9" t="str">
        <f>VLOOKUP($A7,MainData!$A$4:$E$1967,2,FALSE)</f>
        <v>VSE</v>
      </c>
      <c r="C7" s="9" t="str">
        <f>VLOOKUP($A7,MainData!$A$4:$E$1967,3,FALSE)</f>
        <v>Ali  Kadhum Wshah</v>
      </c>
      <c r="D7" s="9" t="str">
        <f>VLOOKUP($A7,MainData!$A$4:$E$1967,4,FALSE)</f>
        <v>Basra</v>
      </c>
      <c r="E7" s="9" t="str">
        <f>VLOOKUP($A7,MainData!$A$4:$E$1967,5,FALSE)</f>
        <v>Adel Abdul Ameer Farhod  </v>
      </c>
      <c r="F7" s="11">
        <f>SUMIFS(MainData!G:G,MainData!$A:$A,$A7)</f>
        <v>1277637.5282020152</v>
      </c>
      <c r="G7" s="11">
        <f>IF($B7=$B$4,0,IF($B7=$B$1,$E$1,IF($B7=$B$2,$E$2,IF($B7=$B$3,$E$3))))</f>
        <v>777777.77777777775</v>
      </c>
      <c r="H7" s="53">
        <f t="shared" ref="H7:H57" si="2">IFERROR(F7/G7,0)</f>
        <v>1.6426768219740195</v>
      </c>
      <c r="I7" s="10">
        <f>SUMIFS(MainData!F:F,MainData!$A:$A,$A7)</f>
        <v>300</v>
      </c>
      <c r="J7" s="10">
        <f>IF($B7=$B$4,0,IF($B7=$B$2,ROUND(J$2/$C$2,0),IF($B7=$B$3,ROUND(J$3/$C$3,0),ROUND(J$1/$C$1,0))))</f>
        <v>889</v>
      </c>
      <c r="K7" s="53">
        <f t="shared" ref="K7:K57" si="3">IFERROR(I7/J7,0)</f>
        <v>0.33745781777277839</v>
      </c>
      <c r="L7" s="11">
        <f>SUMIFS(MainData!K:K,MainData!$A:$A,$A7)</f>
        <v>80681.818181818177</v>
      </c>
      <c r="M7" s="11">
        <f>IF($B7=$B$4,0,IF($B7=$B$1,$K$1,IF($B7=$B$2,$K$2,IF($B7=$B$3,$K$3))))</f>
        <v>79545.45</v>
      </c>
      <c r="N7" s="53">
        <f t="shared" ref="N7:N57" si="4">IFERROR(L7/M7,0)</f>
        <v>1.0142857722449012</v>
      </c>
      <c r="O7" s="256">
        <f>SUMIFS(MainData!J:J,MainData!$A:$A,$A7)</f>
        <v>16</v>
      </c>
      <c r="P7" s="10">
        <f>IF($B7=$B$4,0,IF($B7=$B$1,VLOOKUP(D7,Target_Entry!$A$8:$AF$23,5,0),IF(LO!B7=LO!$B$2,VLOOKUP(LO!D7,Target_Entry!$A$8:$AF$23,25,0),IF(LO!B7=LO!$B$3,VLOOKUP(LO!D7,Target_Entry!$A$8:$AF$23,15,0)))))</f>
        <v>8</v>
      </c>
      <c r="Q7" s="53">
        <f t="shared" ref="Q7:Q57" si="5">IFERROR(O7/P7,0)</f>
        <v>2</v>
      </c>
      <c r="R7" s="10">
        <f>SUMIFS(MainData!J:J,MainData!$A:$A,$A7)</f>
        <v>16</v>
      </c>
      <c r="S7" s="10">
        <f>SUMIFS(MainData!M:M,MainData!$A:$A,$A7)</f>
        <v>4</v>
      </c>
      <c r="T7" s="53">
        <f t="shared" ref="T7:T57" si="6">IFERROR(S7/R7,0)</f>
        <v>0.25</v>
      </c>
      <c r="U7" s="10">
        <f>SUMIFS(MainData!L:L,MainData!$A:$A,$A7)</f>
        <v>8</v>
      </c>
      <c r="V7" s="12">
        <f t="shared" ref="V7:V57" si="7">IFERROR(U7/R7,0)</f>
        <v>0.5</v>
      </c>
      <c r="W7" s="10">
        <f>SUMIFS(MainData!F:F,MainData!$A:$A,$A7)</f>
        <v>300</v>
      </c>
      <c r="X7" s="12">
        <f t="shared" ref="X7:X57" si="8">IF($B7=$B$2,W7/X$3,W7/X$2)</f>
        <v>1.2</v>
      </c>
      <c r="Y7" s="11">
        <f>SUMIFS(MainData!H:H,MainData!$A:$A,$A7)</f>
        <v>1854.5454545454545</v>
      </c>
      <c r="Z7" s="12">
        <f t="shared" ref="Z7:Z57" si="9">IFERROR(Y7/$F7,0)</f>
        <v>1.4515427213188598E-3</v>
      </c>
      <c r="AA7" s="11">
        <f>SUMIFS(MainData!I:I,MainData!$A:$A,$A7)</f>
        <v>31061.245227272724</v>
      </c>
      <c r="AB7" s="231">
        <f t="shared" ref="AB7:AB57" si="10">IFERROR(AA7/$F7,0)</f>
        <v>2.4311469052560139E-2</v>
      </c>
      <c r="AC7" s="182"/>
      <c r="AD7" s="18">
        <f t="shared" ref="AD7:AD57" si="11">MAX(AD$5,MIN(AD$4,AD$1*(H7/(AD$2-AD$3)-(AD$3/(AD$2-AD$3)))))</f>
        <v>10</v>
      </c>
      <c r="AE7" s="18">
        <f t="shared" ref="AE7:AE57" si="12">MAX(AE$5,MIN(AE$4,AE$1*(K7/(AE$2-AE$3)-(AE$3/(AE$2-AE$3)))))</f>
        <v>0</v>
      </c>
      <c r="AF7" s="18">
        <f t="shared" ref="AF7:AF57" si="13">MAX(AF$5,MIN(AF$4,AF$1*(N7/(AF$2-AF$3)-(AF$3/(AF$2-AF$3)))))</f>
        <v>31.428577224490116</v>
      </c>
      <c r="AG7" s="18">
        <f t="shared" ref="AG7:AG57" si="14">MAX(AG$5,MIN(AG$4,AG$1*(Q7/(AG$2-AG$3)-(AG$3/(AG$2-AG$3)))))</f>
        <v>0</v>
      </c>
      <c r="AH7" s="18">
        <f t="shared" ref="AH7:AH57" si="15">MIN(AH$4,MAX(AH$5,AH$1-AH$1*(Z7/(AH$3-AH$2)-(AH$2/(AH$3-AH$2)))))</f>
        <v>14.564537183604342</v>
      </c>
      <c r="AI7" s="18">
        <f t="shared" ref="AI7:AI57" si="16">MIN(AI$4,MAX(AI$5,AI$1-AI$1*(AB7/(AI$3-AI$2)-(AI$2/(AI$3-AI$2)))))</f>
        <v>31.422132736859965</v>
      </c>
      <c r="AJ7" s="18">
        <f t="shared" ref="AJ7:AJ57" si="17">MAX(AJ$5,MIN(AJ$4,AJ$1*(X7/(AJ$2-AJ$3)-(AJ$3/(AJ$2-AJ$3)))))</f>
        <v>5</v>
      </c>
      <c r="AK7" s="18">
        <f t="shared" ref="AK7:AK57" si="18">MAX(AK$5,MIN(AK$4,AK$1*(T7/(AK$2-AK$3)-(AK$3/(AK$2-AK$3)))))</f>
        <v>0.49999999999999961</v>
      </c>
      <c r="AL7" s="18">
        <f t="shared" ref="AL7:AL57" si="19">MAX(AL$5,MIN(AL$4,AL$1*(V7/(AL$2-AL$3)-(AL$3/(AL$2-AL$3)))))</f>
        <v>5</v>
      </c>
      <c r="AM7" s="36">
        <f t="shared" ref="AM7:AM57" si="20">ROUND(SUM(AD7:AL7),0)</f>
        <v>98</v>
      </c>
      <c r="AN7" s="36">
        <f t="shared" ref="AN7:AN57" si="21">IF(AND(AB7&lt;=AN$2,OR(AND(O7&gt;=AO$3,L7&gt;=AN$3),AND(O7&gt;=AO$4,L7&gt;=AN$4))),AM7,0)</f>
        <v>98</v>
      </c>
      <c r="AO7" s="183">
        <v>806</v>
      </c>
      <c r="AP7" s="184">
        <v>0</v>
      </c>
      <c r="AQ7" s="184">
        <v>0</v>
      </c>
      <c r="AR7" s="28">
        <f>SUM(AO7:AQ7)</f>
        <v>806</v>
      </c>
      <c r="AS7" s="28">
        <f>IF(AO7&gt;0,ROUNDUP($AO7*AS$3,0),0)</f>
        <v>645</v>
      </c>
      <c r="AT7" s="163">
        <f>AR7-AS7</f>
        <v>161</v>
      </c>
      <c r="AU7" s="28">
        <f>IF(AO7&gt;0,ROUND(AN7/$AN$1*AU$3,0),0)</f>
        <v>637</v>
      </c>
      <c r="AV7" s="147">
        <f>AU7+AS7</f>
        <v>1282</v>
      </c>
      <c r="AW7" s="147">
        <f>AV7-AR7</f>
        <v>476</v>
      </c>
      <c r="AX7" s="148">
        <f>IFERROR(AV7/AR7,0)</f>
        <v>1.5905707196029777</v>
      </c>
      <c r="AY7" s="167">
        <f>AU7</f>
        <v>637</v>
      </c>
      <c r="AZ7" s="167">
        <f>IF(O7&lt;18,IF(AND(I7&gt;0,I7&lt;=60),60,IF(AND(I7&gt;60,I7&lt;=120),70,IF(AND(I7&gt;120,I7&lt;=200),80,IF(I7&gt;200,90,0)))),IF(O7&gt;=18,IF(AND(I7&gt;0,I7&lt;=60),70,IF(AND(I7&gt;60,I7&lt;=120),80,IF(AND(I7&gt;120,I7&lt;=200),90,100)))))</f>
        <v>90</v>
      </c>
      <c r="BB7" s="170">
        <f>AU7-AY7</f>
        <v>0</v>
      </c>
      <c r="BC7" s="202">
        <f>VLOOKUP(A7,ImportDataWA!A$14:AG$112,33,0)</f>
        <v>98.174085879809823</v>
      </c>
      <c r="BD7" s="170">
        <f>AU7-AY7</f>
        <v>0</v>
      </c>
    </row>
    <row r="8" spans="1:56" x14ac:dyDescent="0.25">
      <c r="A8" s="253" t="s">
        <v>354</v>
      </c>
      <c r="B8" s="9" t="str">
        <f>VLOOKUP($A8,MainData!$A$4:$E$1967,2,FALSE)</f>
        <v>VSE</v>
      </c>
      <c r="C8" s="9" t="str">
        <f>VLOOKUP($A8,MainData!$A$4:$E$1967,3,FALSE)</f>
        <v>Ali  Kadhum Wshah</v>
      </c>
      <c r="D8" s="9" t="str">
        <f>VLOOKUP($A8,MainData!$A$4:$E$1967,4,FALSE)</f>
        <v>Basra</v>
      </c>
      <c r="E8" s="9" t="str">
        <f>VLOOKUP($A8,MainData!$A$4:$E$1967,5,FALSE)</f>
        <v>Adel Abdul Ameer Farhod  </v>
      </c>
      <c r="F8" s="11">
        <f>SUMIFS(MainData!G:G,MainData!$A:$A,$A8)</f>
        <v>839475.30958093191</v>
      </c>
      <c r="G8" s="11">
        <f t="shared" ref="G8:G60" si="22">IF($B8=$B$4,0,IF($B8=$B$1,$E$1,IF($B8=$B$2,$E$2,IF($B8=$B$3,$E$3))))</f>
        <v>777777.77777777775</v>
      </c>
      <c r="H8" s="53">
        <f t="shared" si="2"/>
        <v>1.0793253980326267</v>
      </c>
      <c r="I8" s="10">
        <f>SUMIFS(MainData!F:F,MainData!$A:$A,$A8)</f>
        <v>210</v>
      </c>
      <c r="J8" s="10">
        <f t="shared" ref="J8:J70" si="23">IF($B8=$B$4,0,IF($B8=$B$2,ROUND(J$2/$C$2,0),IF($B8=$B$3,ROUND(J$3/$C$3,0),ROUND(J$1/$C$1,0))))</f>
        <v>889</v>
      </c>
      <c r="K8" s="53">
        <f t="shared" si="3"/>
        <v>0.23622047244094488</v>
      </c>
      <c r="L8" s="11">
        <f>SUMIFS(MainData!K:K,MainData!$A:$A,$A8)</f>
        <v>82575.757575757583</v>
      </c>
      <c r="M8" s="11">
        <f t="shared" ref="M8:M66" si="24">IF($B8=$B$4,0,IF($B8=$B$1,$K$1,IF($B8=$B$2,$K$2,IF($B8=$B$3,$K$3))))</f>
        <v>79545.45</v>
      </c>
      <c r="N8" s="53">
        <f t="shared" si="4"/>
        <v>1.0380952974149695</v>
      </c>
      <c r="O8" s="256">
        <f>SUMIFS(MainData!J:J,MainData!$A:$A,$A8)</f>
        <v>15</v>
      </c>
      <c r="P8" s="10">
        <f>IF($B8=$B$4,0,IF($B8=$B$1,VLOOKUP(D8,Target_Entry!$A$8:$AF$23,5,0),IF(LO!B8=LO!$B$2,VLOOKUP(LO!D8,Target_Entry!$A$8:$AF$23,25,0),IF(LO!B8=LO!$B$3,VLOOKUP(LO!D8,Target_Entry!$A$8:$AF$23,15,0)))))</f>
        <v>8</v>
      </c>
      <c r="Q8" s="53">
        <f t="shared" si="5"/>
        <v>1.875</v>
      </c>
      <c r="R8" s="10">
        <f>SUMIFS(MainData!J:J,MainData!$A:$A,$A8)</f>
        <v>15</v>
      </c>
      <c r="S8" s="10">
        <f>SUMIFS(MainData!M:M,MainData!$A:$A,$A8)</f>
        <v>7</v>
      </c>
      <c r="T8" s="53">
        <f t="shared" si="6"/>
        <v>0.46666666666666667</v>
      </c>
      <c r="U8" s="10">
        <f>SUMIFS(MainData!L:L,MainData!$A:$A,$A8)</f>
        <v>7</v>
      </c>
      <c r="V8" s="12">
        <f t="shared" si="7"/>
        <v>0.46666666666666667</v>
      </c>
      <c r="W8" s="10">
        <f>SUMIFS(MainData!F:F,MainData!$A:$A,$A8)</f>
        <v>210</v>
      </c>
      <c r="X8" s="12">
        <f t="shared" si="8"/>
        <v>0.84</v>
      </c>
      <c r="Y8" s="11">
        <f>SUMIFS(MainData!H:H,MainData!$A:$A,$A8)</f>
        <v>6195.3415833333356</v>
      </c>
      <c r="Z8" s="12">
        <f t="shared" si="9"/>
        <v>7.3800164372029775E-3</v>
      </c>
      <c r="AA8" s="11">
        <f>SUMIFS(MainData!I:I,MainData!$A:$A,$A8)</f>
        <v>32736.117333333335</v>
      </c>
      <c r="AB8" s="231">
        <f t="shared" si="10"/>
        <v>3.8995926336029212E-2</v>
      </c>
      <c r="AC8" s="182"/>
      <c r="AD8" s="18">
        <f t="shared" si="11"/>
        <v>10</v>
      </c>
      <c r="AE8" s="18">
        <f t="shared" si="12"/>
        <v>0</v>
      </c>
      <c r="AF8" s="18">
        <f t="shared" si="13"/>
        <v>33.809529741496945</v>
      </c>
      <c r="AG8" s="18">
        <f t="shared" si="14"/>
        <v>0</v>
      </c>
      <c r="AH8" s="18">
        <f t="shared" si="15"/>
        <v>12.785995068839107</v>
      </c>
      <c r="AI8" s="18">
        <f t="shared" si="16"/>
        <v>27.751018415992696</v>
      </c>
      <c r="AJ8" s="18">
        <f t="shared" si="17"/>
        <v>3.3999999999999995</v>
      </c>
      <c r="AK8" s="18">
        <f t="shared" si="18"/>
        <v>2.666666666666667</v>
      </c>
      <c r="AL8" s="18">
        <f t="shared" si="19"/>
        <v>5</v>
      </c>
      <c r="AM8" s="36">
        <f t="shared" si="20"/>
        <v>95</v>
      </c>
      <c r="AN8" s="36">
        <f t="shared" si="21"/>
        <v>95</v>
      </c>
      <c r="AO8" s="183">
        <v>816</v>
      </c>
      <c r="AP8" s="184">
        <v>0</v>
      </c>
      <c r="AQ8" s="184">
        <v>0</v>
      </c>
      <c r="AR8" s="28">
        <f>SUM(AO8:AQ8)</f>
        <v>816</v>
      </c>
      <c r="AS8" s="28">
        <f>IF(AO8&gt;0,ROUNDUP($AO8*AS$3,0),0)</f>
        <v>653</v>
      </c>
      <c r="AT8" s="163">
        <f>AR8-AS8</f>
        <v>163</v>
      </c>
      <c r="AU8" s="28">
        <f>IF(AO8&gt;0,ROUND(AN8/$AN$1*AU$3,0),0)</f>
        <v>618</v>
      </c>
      <c r="AV8" s="147">
        <f>AU8+AS8</f>
        <v>1271</v>
      </c>
      <c r="AW8" s="147">
        <f>AV8-AR8</f>
        <v>455</v>
      </c>
      <c r="AX8" s="148">
        <f>IFERROR(AV8/AR8,0)</f>
        <v>1.5575980392156863</v>
      </c>
      <c r="AY8" s="167">
        <f t="shared" ref="AY8" si="25">AU8</f>
        <v>618</v>
      </c>
      <c r="AZ8" s="167">
        <f>IF(O8&lt;18,IF(AND(I8&gt;0,I8&lt;=60),60,IF(AND(I8&gt;60,I8&lt;=120),70,IF(AND(I8&gt;120,I8&lt;=200),80,IF(I8&gt;200,90,0)))),IF(O8&gt;=18,IF(AND(I8&gt;0,I8&lt;=60),70,IF(AND(I8&gt;60,I8&lt;=120),80,IF(AND(I8&gt;120,I8&lt;=200),90,100)))))</f>
        <v>90</v>
      </c>
      <c r="BB8" s="170">
        <f>AU8-AY8</f>
        <v>0</v>
      </c>
      <c r="BC8" s="202">
        <f>VLOOKUP(A8,ImportDataWA!A$14:AG$112,33,0)</f>
        <v>98.232002474231237</v>
      </c>
      <c r="BD8" s="170">
        <f t="shared" ref="BD8:BD11" si="26">AU8-AY8</f>
        <v>0</v>
      </c>
    </row>
    <row r="9" spans="1:56" x14ac:dyDescent="0.25">
      <c r="A9" s="254" t="s">
        <v>15</v>
      </c>
      <c r="B9" s="9" t="str">
        <f>VLOOKUP($A9,MainData!$A$4:$E$1967,2,FALSE)</f>
        <v>SE</v>
      </c>
      <c r="C9" s="9" t="str">
        <f>VLOOKUP($A9,MainData!$A$4:$E$1967,3,FALSE)</f>
        <v>Ali  Kadhum Wshah</v>
      </c>
      <c r="D9" s="9" t="str">
        <f>VLOOKUP($A9,MainData!$A$4:$E$1967,4,FALSE)</f>
        <v>Basra</v>
      </c>
      <c r="E9" s="9" t="str">
        <f>VLOOKUP($A9,MainData!$A$4:$E$1967,5,FALSE)</f>
        <v>Ammar Jawad hasan</v>
      </c>
      <c r="F9" s="11">
        <f>SUMIFS(MainData!G:G,MainData!$A:$A,$A9)</f>
        <v>698513.50944466656</v>
      </c>
      <c r="G9" s="11">
        <f t="shared" si="22"/>
        <v>2111111.111111111</v>
      </c>
      <c r="H9" s="53">
        <f t="shared" si="2"/>
        <v>0.33087482026326315</v>
      </c>
      <c r="I9" s="10">
        <f>SUMIFS(MainData!F:F,MainData!$A:$A,$A9)</f>
        <v>46</v>
      </c>
      <c r="J9" s="10">
        <f t="shared" si="23"/>
        <v>222</v>
      </c>
      <c r="K9" s="53">
        <f t="shared" si="3"/>
        <v>0.2072072072072072</v>
      </c>
      <c r="L9" s="11">
        <f>SUMIFS(MainData!K:K,MainData!$A:$A,$A9)</f>
        <v>0</v>
      </c>
      <c r="M9" s="11">
        <f t="shared" si="24"/>
        <v>94696.97</v>
      </c>
      <c r="N9" s="53">
        <f t="shared" si="4"/>
        <v>0</v>
      </c>
      <c r="O9" s="256">
        <f>SUMIFS(MainData!J:J,MainData!$A:$A,$A9)</f>
        <v>0</v>
      </c>
      <c r="P9" s="10">
        <f>IF($B9=$B$4,0,IF($B9=$B$1,VLOOKUP(D9,Target_Entry!$A$8:$AF$23,5,0),IF(LO!B9=LO!$B$2,VLOOKUP(LO!D9,Target_Entry!$A$8:$AF$23,25,0),IF(LO!B9=LO!$B$3,VLOOKUP(LO!D9,Target_Entry!$A$8:$AF$23,15,0)))))</f>
        <v>3</v>
      </c>
      <c r="Q9" s="53">
        <f t="shared" si="5"/>
        <v>0</v>
      </c>
      <c r="R9" s="10">
        <f>SUMIFS(MainData!J:J,MainData!$A:$A,$A9)</f>
        <v>0</v>
      </c>
      <c r="S9" s="10">
        <f>SUMIFS(MainData!M:M,MainData!$A:$A,$A9)</f>
        <v>0</v>
      </c>
      <c r="T9" s="53">
        <f t="shared" si="6"/>
        <v>0</v>
      </c>
      <c r="U9" s="10">
        <f>SUMIFS(MainData!L:L,MainData!$A:$A,$A9)</f>
        <v>0</v>
      </c>
      <c r="V9" s="12">
        <f t="shared" si="7"/>
        <v>0</v>
      </c>
      <c r="W9" s="10">
        <f>SUMIFS(MainData!F:F,MainData!$A:$A,$A9)</f>
        <v>46</v>
      </c>
      <c r="X9" s="12">
        <f t="shared" si="8"/>
        <v>0.46</v>
      </c>
      <c r="Y9" s="11">
        <f>SUMIFS(MainData!H:H,MainData!$A:$A,$A9)</f>
        <v>47517.30092424243</v>
      </c>
      <c r="Z9" s="12">
        <f t="shared" si="9"/>
        <v>6.8026316287024602E-2</v>
      </c>
      <c r="AA9" s="11">
        <f>SUMIFS(MainData!I:I,MainData!$A:$A,$A9)</f>
        <v>87049.460480338515</v>
      </c>
      <c r="AB9" s="12">
        <f t="shared" si="10"/>
        <v>0.12462101205393254</v>
      </c>
      <c r="AC9" s="182"/>
      <c r="AD9" s="18">
        <f t="shared" si="11"/>
        <v>0</v>
      </c>
      <c r="AE9" s="18">
        <f t="shared" si="12"/>
        <v>0</v>
      </c>
      <c r="AF9" s="18">
        <f t="shared" si="13"/>
        <v>0</v>
      </c>
      <c r="AG9" s="18">
        <f t="shared" si="14"/>
        <v>0</v>
      </c>
      <c r="AH9" s="18">
        <f t="shared" si="15"/>
        <v>0</v>
      </c>
      <c r="AI9" s="18">
        <f t="shared" si="16"/>
        <v>6.3447469865168635</v>
      </c>
      <c r="AJ9" s="18">
        <f t="shared" si="17"/>
        <v>0</v>
      </c>
      <c r="AK9" s="18">
        <f t="shared" si="18"/>
        <v>0</v>
      </c>
      <c r="AL9" s="18">
        <f t="shared" si="19"/>
        <v>0</v>
      </c>
      <c r="AM9" s="36">
        <f t="shared" si="20"/>
        <v>6</v>
      </c>
      <c r="AN9" s="36">
        <f t="shared" si="21"/>
        <v>0</v>
      </c>
      <c r="AO9" s="183"/>
      <c r="AP9" s="184"/>
      <c r="AQ9" s="184"/>
      <c r="AR9" s="28">
        <f>SUM(AO9:AQ9)</f>
        <v>0</v>
      </c>
      <c r="AS9" s="28">
        <f>IF(AO9&gt;0,ROUNDUP($AO9*AS$3,0),0)</f>
        <v>0</v>
      </c>
      <c r="AT9" s="28">
        <f>AR9-AS9</f>
        <v>0</v>
      </c>
      <c r="AU9" s="28">
        <f>IF(AO9&gt;0,ROUND(AN9/$AN$1*AU$3,0),0)</f>
        <v>0</v>
      </c>
      <c r="AV9" s="147">
        <f>AU9+AS9</f>
        <v>0</v>
      </c>
      <c r="AW9" s="147">
        <f>AV9-AR9</f>
        <v>0</v>
      </c>
      <c r="AX9" s="148">
        <f>IFERROR(AV9/AR9,0)</f>
        <v>0</v>
      </c>
      <c r="AY9" s="167">
        <f>IF(O9&lt;3,0,0)+IF(O9=3,300,0)+IF(O9=4,400,0)+IF(O9=5,500,0)+IF(O9=6,600,0)</f>
        <v>0</v>
      </c>
      <c r="AZ9" s="167">
        <f>IF(O9&lt;3,75)+IF(O9=3,150)+IF(O9=4,150)+IF(O9=5,150)+IF(O9&gt;=6,200)</f>
        <v>75</v>
      </c>
      <c r="BB9" s="170">
        <f>AU9-AY9</f>
        <v>0</v>
      </c>
      <c r="BC9" s="202">
        <f>VLOOKUP(A9,ImportDataWA!A$14:AG$112,33,0)</f>
        <v>95.752249488857032</v>
      </c>
      <c r="BD9" s="170">
        <f t="shared" si="26"/>
        <v>0</v>
      </c>
    </row>
    <row r="10" spans="1:56" hidden="1" x14ac:dyDescent="0.25">
      <c r="A10" s="189" t="s">
        <v>447</v>
      </c>
      <c r="B10" s="189" t="str">
        <f>VLOOKUP($A10,MainData!$A$4:$E$1967,2,FALSE)</f>
        <v>Inactive</v>
      </c>
      <c r="C10" s="189" t="str">
        <f>VLOOKUP($A10,MainData!$A$4:$E$1967,3,FALSE)</f>
        <v>Inactive</v>
      </c>
      <c r="D10" s="189" t="str">
        <f>VLOOKUP($A10,MainData!$A$4:$E$1967,4,FALSE)</f>
        <v>Basra</v>
      </c>
      <c r="E10" s="189" t="str">
        <f>VLOOKUP($A10,MainData!$A$4:$E$1967,5,FALSE)</f>
        <v>Inactive</v>
      </c>
      <c r="F10" s="11">
        <f>SUMIFS(MainData!G:G,MainData!$A:$A,$A10)</f>
        <v>0</v>
      </c>
      <c r="G10" s="11">
        <f t="shared" si="22"/>
        <v>0</v>
      </c>
      <c r="H10" s="53">
        <f t="shared" si="2"/>
        <v>0</v>
      </c>
      <c r="I10" s="10">
        <f>SUMIFS(MainData!F:F,MainData!$A:$A,$A10)</f>
        <v>0</v>
      </c>
      <c r="J10" s="10">
        <f t="shared" si="23"/>
        <v>0</v>
      </c>
      <c r="K10" s="53">
        <f t="shared" si="3"/>
        <v>0</v>
      </c>
      <c r="L10" s="11">
        <f>SUMIFS(MainData!K:K,MainData!$A:$A,$A10)</f>
        <v>0</v>
      </c>
      <c r="M10" s="11">
        <f t="shared" si="24"/>
        <v>0</v>
      </c>
      <c r="N10" s="53">
        <f t="shared" si="4"/>
        <v>0</v>
      </c>
      <c r="O10" s="256">
        <f>SUMIFS(MainData!J:J,MainData!$A:$A,$A10)</f>
        <v>0</v>
      </c>
      <c r="P10" s="10">
        <f>IF($B10=$B$4,0,IF($B10=$B$1,VLOOKUP(D10,Target_Entry!$A$8:$AF$23,5,0),IF(LO!B10=LO!$B$2,VLOOKUP(LO!D10,Target_Entry!$A$8:$AF$23,25,0),IF(LO!B10=LO!$B$3,VLOOKUP(LO!D10,Target_Entry!$A$8:$AF$23,15,0)))))</f>
        <v>0</v>
      </c>
      <c r="Q10" s="53">
        <f t="shared" si="5"/>
        <v>0</v>
      </c>
      <c r="R10" s="10">
        <f>SUMIFS(MainData!J:J,MainData!$A:$A,$A10)</f>
        <v>0</v>
      </c>
      <c r="S10" s="10">
        <f>SUMIFS(MainData!M:M,MainData!$A:$A,$A10)</f>
        <v>0</v>
      </c>
      <c r="T10" s="53">
        <f t="shared" si="6"/>
        <v>0</v>
      </c>
      <c r="U10" s="10">
        <f>SUMIFS(MainData!L:L,MainData!$A:$A,$A10)</f>
        <v>0</v>
      </c>
      <c r="V10" s="12">
        <f t="shared" si="7"/>
        <v>0</v>
      </c>
      <c r="W10" s="10">
        <f>SUMIFS(MainData!F:F,MainData!$A:$A,$A10)</f>
        <v>0</v>
      </c>
      <c r="X10" s="12">
        <f t="shared" si="8"/>
        <v>0</v>
      </c>
      <c r="Y10" s="11">
        <f>SUMIFS(MainData!H:H,MainData!$A:$A,$A10)</f>
        <v>0</v>
      </c>
      <c r="Z10" s="12">
        <f t="shared" si="9"/>
        <v>0</v>
      </c>
      <c r="AA10" s="11">
        <f>SUMIFS(MainData!I:I,MainData!$A:$A,$A10)</f>
        <v>0</v>
      </c>
      <c r="AB10" s="231">
        <f t="shared" si="10"/>
        <v>0</v>
      </c>
      <c r="AC10" s="182"/>
      <c r="AD10" s="18">
        <f t="shared" si="11"/>
        <v>0</v>
      </c>
      <c r="AE10" s="18">
        <f t="shared" si="12"/>
        <v>0</v>
      </c>
      <c r="AF10" s="18">
        <f t="shared" si="13"/>
        <v>0</v>
      </c>
      <c r="AG10" s="18">
        <f t="shared" si="14"/>
        <v>0</v>
      </c>
      <c r="AH10" s="18">
        <f t="shared" si="15"/>
        <v>15</v>
      </c>
      <c r="AI10" s="18">
        <f t="shared" si="16"/>
        <v>37.5</v>
      </c>
      <c r="AJ10" s="18">
        <f t="shared" si="17"/>
        <v>0</v>
      </c>
      <c r="AK10" s="18">
        <f t="shared" si="18"/>
        <v>0</v>
      </c>
      <c r="AL10" s="18">
        <f t="shared" si="19"/>
        <v>0</v>
      </c>
      <c r="AM10" s="36">
        <f t="shared" si="20"/>
        <v>53</v>
      </c>
      <c r="AN10" s="36">
        <f t="shared" si="21"/>
        <v>0</v>
      </c>
      <c r="AO10" s="183">
        <v>738</v>
      </c>
      <c r="AP10" s="184">
        <v>0</v>
      </c>
      <c r="AQ10" s="184">
        <v>10</v>
      </c>
      <c r="AR10" s="28">
        <f>SUM(AO10:AQ10)</f>
        <v>748</v>
      </c>
      <c r="AS10" s="28">
        <f>IF(AO10&gt;0,ROUNDUP($AO10*AS$3,0),0)</f>
        <v>591</v>
      </c>
      <c r="AT10" s="163">
        <f>AR10-AS10</f>
        <v>157</v>
      </c>
      <c r="AU10" s="28">
        <f>IF(AO10&gt;0,ROUND(AN10/$AN$1*AU$3,0),0)</f>
        <v>0</v>
      </c>
      <c r="AV10" s="147">
        <f>AU10+AS10</f>
        <v>591</v>
      </c>
      <c r="AW10" s="147">
        <f>AV10-AR10</f>
        <v>-157</v>
      </c>
      <c r="AX10" s="148">
        <f>IFERROR(AV10/AR10,0)</f>
        <v>0.7901069518716578</v>
      </c>
      <c r="AY10" s="167">
        <f>AU10</f>
        <v>0</v>
      </c>
      <c r="AZ10" s="167">
        <f>IF(O10&lt;18,IF(AND(I10&gt;0,I10&lt;=60),60,IF(AND(I10&gt;60,I10&lt;=120),70,IF(AND(I10&gt;120,I10&lt;=200),80,IF(I10&gt;200,90,0)))),IF(O10&gt;=18,IF(AND(I10&gt;0,I10&lt;=60),70,IF(AND(I10&gt;60,I10&lt;=120),80,IF(AND(I10&gt;120,I10&lt;=200),90,100)))))</f>
        <v>0</v>
      </c>
      <c r="BB10" s="170">
        <f>AU10-AY10</f>
        <v>0</v>
      </c>
      <c r="BC10" s="202" t="e">
        <f>VLOOKUP(A10,ImportDataWA!A$14:AG$112,33,0)</f>
        <v>#N/A</v>
      </c>
      <c r="BD10" s="170">
        <f t="shared" si="26"/>
        <v>0</v>
      </c>
    </row>
    <row r="11" spans="1:56" hidden="1" x14ac:dyDescent="0.25">
      <c r="A11" s="250" t="s">
        <v>422</v>
      </c>
      <c r="B11" s="189" t="str">
        <f>VLOOKUP($A11,MainData!$A$4:$E$1967,2,FALSE)</f>
        <v>Inactive</v>
      </c>
      <c r="C11" s="189" t="str">
        <f>VLOOKUP($A11,MainData!$A$4:$E$1967,3,FALSE)</f>
        <v>Inactive</v>
      </c>
      <c r="D11" s="189" t="str">
        <f>VLOOKUP($A11,MainData!$A$4:$E$1967,4,FALSE)</f>
        <v>Basra</v>
      </c>
      <c r="E11" s="189" t="str">
        <f>VLOOKUP($A11,MainData!$A$4:$E$1967,5,FALSE)</f>
        <v>Inactive</v>
      </c>
      <c r="F11" s="11">
        <f>SUMIFS(MainData!G:G,MainData!$A:$A,$A11)</f>
        <v>0</v>
      </c>
      <c r="G11" s="11">
        <f t="shared" si="22"/>
        <v>0</v>
      </c>
      <c r="H11" s="53">
        <f t="shared" si="2"/>
        <v>0</v>
      </c>
      <c r="I11" s="10">
        <f>SUMIFS(MainData!F:F,MainData!$A:$A,$A11)</f>
        <v>0</v>
      </c>
      <c r="J11" s="10">
        <f t="shared" si="23"/>
        <v>0</v>
      </c>
      <c r="K11" s="53">
        <f t="shared" si="3"/>
        <v>0</v>
      </c>
      <c r="L11" s="11">
        <f>SUMIFS(MainData!K:K,MainData!$A:$A,$A11)</f>
        <v>0</v>
      </c>
      <c r="M11" s="11">
        <f t="shared" si="24"/>
        <v>0</v>
      </c>
      <c r="N11" s="53">
        <f t="shared" si="4"/>
        <v>0</v>
      </c>
      <c r="O11" s="256">
        <f>SUMIFS(MainData!J:J,MainData!$A:$A,$A11)</f>
        <v>0</v>
      </c>
      <c r="P11" s="10">
        <f>IF($B11=$B$4,0,IF($B11=$B$1,VLOOKUP(D11,Target_Entry!$A$8:$AF$23,5,0),IF(LO!B11=LO!$B$2,VLOOKUP(LO!D11,Target_Entry!$A$8:$AF$23,25,0),IF(LO!B11=LO!$B$3,VLOOKUP(LO!D11,Target_Entry!$A$8:$AF$23,15,0)))))</f>
        <v>0</v>
      </c>
      <c r="Q11" s="53">
        <f t="shared" si="5"/>
        <v>0</v>
      </c>
      <c r="R11" s="10">
        <f>SUMIFS(MainData!J:J,MainData!$A:$A,$A11)</f>
        <v>0</v>
      </c>
      <c r="S11" s="10">
        <f>SUMIFS(MainData!M:M,MainData!$A:$A,$A11)</f>
        <v>0</v>
      </c>
      <c r="T11" s="53">
        <f t="shared" si="6"/>
        <v>0</v>
      </c>
      <c r="U11" s="10">
        <f>SUMIFS(MainData!L:L,MainData!$A:$A,$A11)</f>
        <v>0</v>
      </c>
      <c r="V11" s="12">
        <f t="shared" si="7"/>
        <v>0</v>
      </c>
      <c r="W11" s="10">
        <f>SUMIFS(MainData!F:F,MainData!$A:$A,$A11)</f>
        <v>0</v>
      </c>
      <c r="X11" s="12">
        <f t="shared" si="8"/>
        <v>0</v>
      </c>
      <c r="Y11" s="11">
        <f>SUMIFS(MainData!H:H,MainData!$A:$A,$A11)</f>
        <v>0</v>
      </c>
      <c r="Z11" s="12">
        <f t="shared" si="9"/>
        <v>0</v>
      </c>
      <c r="AA11" s="11">
        <f>SUMIFS(MainData!I:I,MainData!$A:$A,$A11)</f>
        <v>0</v>
      </c>
      <c r="AB11" s="12">
        <f t="shared" si="10"/>
        <v>0</v>
      </c>
      <c r="AC11" s="182"/>
      <c r="AD11" s="18">
        <f t="shared" si="11"/>
        <v>0</v>
      </c>
      <c r="AE11" s="18">
        <f t="shared" si="12"/>
        <v>0</v>
      </c>
      <c r="AF11" s="18">
        <f t="shared" si="13"/>
        <v>0</v>
      </c>
      <c r="AG11" s="18">
        <f t="shared" si="14"/>
        <v>0</v>
      </c>
      <c r="AH11" s="18">
        <f t="shared" si="15"/>
        <v>15</v>
      </c>
      <c r="AI11" s="18">
        <f t="shared" si="16"/>
        <v>37.5</v>
      </c>
      <c r="AJ11" s="18">
        <f t="shared" si="17"/>
        <v>0</v>
      </c>
      <c r="AK11" s="18">
        <f t="shared" si="18"/>
        <v>0</v>
      </c>
      <c r="AL11" s="18">
        <f t="shared" si="19"/>
        <v>0</v>
      </c>
      <c r="AM11" s="36">
        <f t="shared" si="20"/>
        <v>53</v>
      </c>
      <c r="AN11" s="36">
        <f t="shared" si="21"/>
        <v>0</v>
      </c>
      <c r="AO11" s="183"/>
      <c r="AP11" s="184"/>
      <c r="AQ11" s="184"/>
      <c r="AR11" s="28">
        <f>SUM(AO11:AQ11)</f>
        <v>0</v>
      </c>
      <c r="AS11" s="28">
        <f>IF(AO11&gt;0,ROUNDUP($AO11*AS$3,0),0)</f>
        <v>0</v>
      </c>
      <c r="AT11" s="28">
        <f>AR11-AS11</f>
        <v>0</v>
      </c>
      <c r="AU11" s="28">
        <f>IF(AO11&gt;0,ROUND(AN11/$AN$1*AU$3,0),0)</f>
        <v>0</v>
      </c>
      <c r="AV11" s="147">
        <f>AU11+AS11</f>
        <v>0</v>
      </c>
      <c r="AW11" s="147">
        <f>AV11-AR11</f>
        <v>0</v>
      </c>
      <c r="AX11" s="148">
        <f>IFERROR(AV11/AR11,0)</f>
        <v>0</v>
      </c>
      <c r="AY11" s="167">
        <f>IF(O11&lt;3,0,0)+IF(O11=3,300,0)+IF(O11=4,400,0)+IF(O11=5,500,0)+IF(O11=6,600,0)</f>
        <v>0</v>
      </c>
      <c r="AZ11" s="167">
        <f>IF(O11&lt;3,75)+IF(O11=3,150)+IF(O11=4,150)+IF(O11=5,150)+IF(O11&gt;=6,200)</f>
        <v>75</v>
      </c>
      <c r="BA11">
        <v>24</v>
      </c>
      <c r="BB11" s="170">
        <f>AU11-AY11</f>
        <v>0</v>
      </c>
      <c r="BC11" s="202" t="e">
        <f>VLOOKUP(A11,ImportDataWA!A$14:AG$112,33,0)</f>
        <v>#N/A</v>
      </c>
      <c r="BD11" s="170">
        <f t="shared" si="26"/>
        <v>0</v>
      </c>
    </row>
    <row r="12" spans="1:56" hidden="1" x14ac:dyDescent="0.25">
      <c r="A12" s="192" t="s">
        <v>425</v>
      </c>
      <c r="B12" s="189" t="str">
        <f>VLOOKUP($A12,MainData!$A$4:$E$1967,2,FALSE)</f>
        <v>Inactive</v>
      </c>
      <c r="C12" s="189" t="str">
        <f>VLOOKUP($A12,MainData!$A$4:$E$1967,3,FALSE)</f>
        <v>Inactive</v>
      </c>
      <c r="D12" s="189">
        <f>VLOOKUP($A12,MainData!$A$4:$E$1967,4,FALSE)</f>
        <v>0</v>
      </c>
      <c r="E12" s="189" t="str">
        <f>VLOOKUP($A12,MainData!$A$4:$E$1967,5,FALSE)</f>
        <v>Inactive</v>
      </c>
      <c r="F12" s="11">
        <f>SUMIFS(MainData!G:G,MainData!$A:$A,$A12)</f>
        <v>0</v>
      </c>
      <c r="G12" s="11">
        <f t="shared" si="22"/>
        <v>0</v>
      </c>
      <c r="H12" s="53">
        <f t="shared" ref="H12" si="27">IFERROR(F12/G12,0)</f>
        <v>0</v>
      </c>
      <c r="I12" s="10">
        <f>SUMIFS(MainData!F:F,MainData!$A:$A,$A12)</f>
        <v>0</v>
      </c>
      <c r="J12" s="10">
        <f t="shared" si="23"/>
        <v>0</v>
      </c>
      <c r="K12" s="53">
        <f t="shared" ref="K12" si="28">IFERROR(I12/J12,0)</f>
        <v>0</v>
      </c>
      <c r="L12" s="11">
        <f>SUMIFS(MainData!K:K,MainData!$A:$A,$A12)</f>
        <v>0</v>
      </c>
      <c r="M12" s="11">
        <f t="shared" si="24"/>
        <v>0</v>
      </c>
      <c r="N12" s="53">
        <f t="shared" ref="N12" si="29">IFERROR(L12/M12,0)</f>
        <v>0</v>
      </c>
      <c r="O12" s="256">
        <f>SUMIFS(MainData!J:J,MainData!$A:$A,$A12)</f>
        <v>0</v>
      </c>
      <c r="P12" s="10">
        <f>IF($B12=$B$4,0,IF($B12=$B$1,VLOOKUP(D12,Target_Entry!$A$8:$AF$23,5,0),IF(LO!B12=LO!$B$2,VLOOKUP(LO!D12,Target_Entry!$A$8:$AF$23,25,0),IF(LO!B12=LO!$B$3,VLOOKUP(LO!D12,Target_Entry!$A$8:$AF$23,15,0)))))</f>
        <v>0</v>
      </c>
      <c r="Q12" s="53">
        <f t="shared" ref="Q12" si="30">IFERROR(O12/P12,0)</f>
        <v>0</v>
      </c>
      <c r="R12" s="10">
        <f>SUMIFS(MainData!J:J,MainData!$A:$A,$A12)</f>
        <v>0</v>
      </c>
      <c r="S12" s="10">
        <f>SUMIFS(MainData!M:M,MainData!$A:$A,$A12)</f>
        <v>0</v>
      </c>
      <c r="T12" s="53">
        <f t="shared" ref="T12" si="31">IFERROR(S12/R12,0)</f>
        <v>0</v>
      </c>
      <c r="U12" s="10">
        <f>SUMIFS(MainData!L:L,MainData!$A:$A,$A12)</f>
        <v>0</v>
      </c>
      <c r="V12" s="12">
        <f t="shared" ref="V12" si="32">IFERROR(U12/R12,0)</f>
        <v>0</v>
      </c>
      <c r="W12" s="10">
        <f>SUMIFS(MainData!F:F,MainData!$A:$A,$A12)</f>
        <v>0</v>
      </c>
      <c r="X12" s="12">
        <f t="shared" ref="X12" si="33">IF($B12=$B$2,W12/X$3,W12/X$2)</f>
        <v>0</v>
      </c>
      <c r="Y12" s="11">
        <f>SUMIFS(MainData!H:H,MainData!$A:$A,$A12)</f>
        <v>0</v>
      </c>
      <c r="Z12" s="12">
        <f t="shared" ref="Z12" si="34">IFERROR(Y12/$F12,0)</f>
        <v>0</v>
      </c>
      <c r="AA12" s="11">
        <f>SUMIFS(MainData!I:I,MainData!$A:$A,$A12)</f>
        <v>0</v>
      </c>
      <c r="AB12" s="12">
        <f t="shared" ref="AB12" si="35">IFERROR(AA12/$F12,0)</f>
        <v>0</v>
      </c>
      <c r="AC12" s="182"/>
      <c r="AD12" s="18"/>
      <c r="AE12" s="18"/>
      <c r="AF12" s="18"/>
      <c r="AG12" s="18"/>
      <c r="AH12" s="18"/>
      <c r="AI12" s="18"/>
      <c r="AJ12" s="18"/>
      <c r="AK12" s="18"/>
      <c r="AL12" s="18"/>
      <c r="AM12" s="36"/>
      <c r="AN12" s="36"/>
      <c r="AO12" s="183"/>
      <c r="AP12" s="184"/>
      <c r="AQ12" s="184"/>
      <c r="AR12" s="28"/>
      <c r="AS12" s="28"/>
      <c r="AT12" s="163"/>
      <c r="AU12" s="28"/>
      <c r="AV12" s="147"/>
      <c r="AW12" s="147"/>
      <c r="AX12" s="148"/>
      <c r="AY12" s="167"/>
      <c r="AZ12" s="167"/>
      <c r="BB12" s="170"/>
      <c r="BC12" s="202"/>
    </row>
    <row r="13" spans="1:56" x14ac:dyDescent="0.25">
      <c r="A13" s="253" t="s">
        <v>6</v>
      </c>
      <c r="B13" s="9" t="str">
        <f>VLOOKUP($A13,MainData!$A$4:$E$1967,2,FALSE)</f>
        <v>VSE</v>
      </c>
      <c r="C13" s="9" t="str">
        <f>VLOOKUP($A13,MainData!$A$4:$E$1967,3,FALSE)</f>
        <v>Ali  Kadhum Wshah</v>
      </c>
      <c r="D13" s="9" t="str">
        <f>VLOOKUP($A13,MainData!$A$4:$E$1967,4,FALSE)</f>
        <v>Basra</v>
      </c>
      <c r="E13" s="9" t="str">
        <f>VLOOKUP($A13,MainData!$A$4:$E$1967,5,FALSE)</f>
        <v>Adel Abdul Ameer Farhod  </v>
      </c>
      <c r="F13" s="11">
        <f>SUMIFS(MainData!G:G,MainData!$A:$A,$A13)</f>
        <v>985481.07109689084</v>
      </c>
      <c r="G13" s="11">
        <f t="shared" si="22"/>
        <v>777777.77777777775</v>
      </c>
      <c r="H13" s="53">
        <f t="shared" si="2"/>
        <v>1.2670470914102883</v>
      </c>
      <c r="I13" s="10">
        <f>SUMIFS(MainData!F:F,MainData!$A:$A,$A13)</f>
        <v>267</v>
      </c>
      <c r="J13" s="10">
        <f t="shared" si="23"/>
        <v>889</v>
      </c>
      <c r="K13" s="53">
        <f t="shared" si="3"/>
        <v>0.30033745781777277</v>
      </c>
      <c r="L13" s="11">
        <f>SUMIFS(MainData!K:K,MainData!$A:$A,$A13)</f>
        <v>81060.606060606078</v>
      </c>
      <c r="M13" s="11">
        <f t="shared" si="24"/>
        <v>79545.45</v>
      </c>
      <c r="N13" s="53">
        <f t="shared" si="4"/>
        <v>1.0190476772789152</v>
      </c>
      <c r="O13" s="256">
        <f>SUMIFS(MainData!J:J,MainData!$A:$A,$A13)</f>
        <v>12</v>
      </c>
      <c r="P13" s="10">
        <f>IF($B13=$B$4,0,IF($B13=$B$1,VLOOKUP(D13,Target_Entry!$A$8:$AF$23,5,0),IF(LO!B13=LO!$B$2,VLOOKUP(LO!D13,Target_Entry!$A$8:$AF$23,25,0),IF(LO!B13=LO!$B$3,VLOOKUP(LO!D13,Target_Entry!$A$8:$AF$23,15,0)))))</f>
        <v>8</v>
      </c>
      <c r="Q13" s="53">
        <f t="shared" si="5"/>
        <v>1.5</v>
      </c>
      <c r="R13" s="10">
        <f>SUMIFS(MainData!J:J,MainData!$A:$A,$A13)</f>
        <v>12</v>
      </c>
      <c r="S13" s="10">
        <f>SUMIFS(MainData!M:M,MainData!$A:$A,$A13)</f>
        <v>8</v>
      </c>
      <c r="T13" s="53">
        <f t="shared" si="6"/>
        <v>0.66666666666666663</v>
      </c>
      <c r="U13" s="10">
        <f>SUMIFS(MainData!L:L,MainData!$A:$A,$A13)</f>
        <v>3</v>
      </c>
      <c r="V13" s="12">
        <f t="shared" si="7"/>
        <v>0.25</v>
      </c>
      <c r="W13" s="10">
        <f>SUMIFS(MainData!F:F,MainData!$A:$A,$A13)</f>
        <v>267</v>
      </c>
      <c r="X13" s="12">
        <f t="shared" si="8"/>
        <v>1.0680000000000001</v>
      </c>
      <c r="Y13" s="11">
        <f>SUMIFS(MainData!H:H,MainData!$A:$A,$A13)</f>
        <v>29157.528424242428</v>
      </c>
      <c r="Z13" s="12">
        <f t="shared" si="9"/>
        <v>2.9587101446594613E-2</v>
      </c>
      <c r="AA13" s="11">
        <f>SUMIFS(MainData!I:I,MainData!$A:$A,$A13)</f>
        <v>20333.36837878788</v>
      </c>
      <c r="AB13" s="12">
        <f t="shared" si="10"/>
        <v>2.0632936517142639E-2</v>
      </c>
      <c r="AC13" s="182"/>
      <c r="AD13" s="18">
        <f t="shared" si="11"/>
        <v>10</v>
      </c>
      <c r="AE13" s="18">
        <f t="shared" si="12"/>
        <v>0</v>
      </c>
      <c r="AF13" s="18">
        <f t="shared" si="13"/>
        <v>31.904767727891517</v>
      </c>
      <c r="AG13" s="18">
        <f t="shared" si="14"/>
        <v>0</v>
      </c>
      <c r="AH13" s="18">
        <f t="shared" si="15"/>
        <v>6.1238695660216163</v>
      </c>
      <c r="AI13" s="18">
        <f t="shared" si="16"/>
        <v>32.34176587071434</v>
      </c>
      <c r="AJ13" s="18">
        <f t="shared" si="17"/>
        <v>5</v>
      </c>
      <c r="AK13" s="18">
        <f t="shared" si="18"/>
        <v>4.666666666666667</v>
      </c>
      <c r="AL13" s="18">
        <f t="shared" si="19"/>
        <v>4.166666666666667</v>
      </c>
      <c r="AM13" s="36">
        <f t="shared" si="20"/>
        <v>94</v>
      </c>
      <c r="AN13" s="36">
        <f t="shared" si="21"/>
        <v>94</v>
      </c>
      <c r="AO13" s="183">
        <v>715</v>
      </c>
      <c r="AP13" s="184">
        <v>255</v>
      </c>
      <c r="AQ13" s="184">
        <v>325</v>
      </c>
      <c r="AR13" s="28">
        <f>SUM(AO13:AQ13)</f>
        <v>1295</v>
      </c>
      <c r="AS13" s="28">
        <f>IF(AO13&gt;0,ROUNDUP($AO13*AS$3,0),0)</f>
        <v>572</v>
      </c>
      <c r="AT13" s="163">
        <f>AR13-AS13</f>
        <v>723</v>
      </c>
      <c r="AU13" s="28">
        <f>IF(AO13&gt;0,ROUND(AN13/$AN$1*AU$3,0),0)</f>
        <v>611</v>
      </c>
      <c r="AV13" s="147">
        <f>AU13+AS13</f>
        <v>1183</v>
      </c>
      <c r="AW13" s="147">
        <f>AV13-AR13</f>
        <v>-112</v>
      </c>
      <c r="AX13" s="148">
        <f>IFERROR(AV13/AR13,0)</f>
        <v>0.91351351351351351</v>
      </c>
      <c r="AY13" s="167">
        <f t="shared" ref="AY13:AY14" si="36">AU13</f>
        <v>611</v>
      </c>
      <c r="AZ13" s="167">
        <f>IF(O13&lt;18,IF(AND(I13&gt;0,I13&lt;=60),60,IF(AND(I13&gt;60,I13&lt;=120),70,IF(AND(I13&gt;120,I13&lt;=200),80,IF(I13&gt;200,90,0)))),IF(O13&gt;=18,IF(AND(I13&gt;0,I13&lt;=60),70,IF(AND(I13&gt;60,I13&lt;=120),80,IF(AND(I13&gt;120,I13&lt;=200),90,100)))))</f>
        <v>90</v>
      </c>
      <c r="BB13" s="170">
        <f>AU13-AY13</f>
        <v>0</v>
      </c>
      <c r="BC13" s="202">
        <f>VLOOKUP(A13,ImportDataWA!A$14:AG$112,33,0)</f>
        <v>99.396781595414964</v>
      </c>
      <c r="BD13" s="170">
        <f t="shared" ref="BD13:BD14" si="37">AU13-AY13</f>
        <v>0</v>
      </c>
    </row>
    <row r="14" spans="1:56" hidden="1" x14ac:dyDescent="0.25">
      <c r="A14" s="232" t="s">
        <v>482</v>
      </c>
      <c r="B14" s="189" t="str">
        <f>VLOOKUP($A14,MainData!$A$4:$E$1967,2,FALSE)</f>
        <v>Inactive</v>
      </c>
      <c r="C14" s="189" t="str">
        <f>VLOOKUP($A14,MainData!$A$4:$E$1967,3,FALSE)</f>
        <v>Inactive</v>
      </c>
      <c r="D14" s="189" t="str">
        <f>VLOOKUP($A14,MainData!$A$4:$E$1967,4,FALSE)</f>
        <v>Basra</v>
      </c>
      <c r="E14" s="189" t="str">
        <f>VLOOKUP($A14,MainData!$A$4:$E$1967,5,FALSE)</f>
        <v>Inactive</v>
      </c>
      <c r="F14" s="11">
        <f>SUMIFS(MainData!G:G,MainData!$A:$A,$A14)</f>
        <v>2487.4725075757574</v>
      </c>
      <c r="G14" s="11">
        <f t="shared" si="22"/>
        <v>0</v>
      </c>
      <c r="H14" s="53">
        <f t="shared" si="2"/>
        <v>0</v>
      </c>
      <c r="I14" s="10">
        <f>SUMIFS(MainData!F:F,MainData!$A:$A,$A14)</f>
        <v>1</v>
      </c>
      <c r="J14" s="10">
        <f t="shared" si="23"/>
        <v>0</v>
      </c>
      <c r="K14" s="53">
        <f t="shared" si="3"/>
        <v>0</v>
      </c>
      <c r="L14" s="11">
        <f>SUMIFS(MainData!K:K,MainData!$A:$A,$A14)</f>
        <v>0</v>
      </c>
      <c r="M14" s="11">
        <f t="shared" si="24"/>
        <v>0</v>
      </c>
      <c r="N14" s="53">
        <f t="shared" si="4"/>
        <v>0</v>
      </c>
      <c r="O14" s="256">
        <f>SUMIFS(MainData!J:J,MainData!$A:$A,$A14)</f>
        <v>0</v>
      </c>
      <c r="P14" s="10">
        <f>IF($B14=$B$4,0,IF($B14=$B$1,VLOOKUP(D14,Target_Entry!$A$8:$AF$23,5,0),IF(LO!B14=LO!$B$2,VLOOKUP(LO!D14,Target_Entry!$A$8:$AF$23,25,0),IF(LO!B14=LO!$B$3,VLOOKUP(LO!D14,Target_Entry!$A$8:$AF$23,15,0)))))</f>
        <v>0</v>
      </c>
      <c r="Q14" s="53">
        <f t="shared" si="5"/>
        <v>0</v>
      </c>
      <c r="R14" s="10">
        <f>SUMIFS(MainData!J:J,MainData!$A:$A,$A14)</f>
        <v>0</v>
      </c>
      <c r="S14" s="10">
        <f>SUMIFS(MainData!M:M,MainData!$A:$A,$A14)</f>
        <v>0</v>
      </c>
      <c r="T14" s="53">
        <f t="shared" si="6"/>
        <v>0</v>
      </c>
      <c r="U14" s="10">
        <f>SUMIFS(MainData!L:L,MainData!$A:$A,$A14)</f>
        <v>0</v>
      </c>
      <c r="V14" s="12">
        <f t="shared" si="7"/>
        <v>0</v>
      </c>
      <c r="W14" s="10">
        <f>SUMIFS(MainData!F:F,MainData!$A:$A,$A14)</f>
        <v>1</v>
      </c>
      <c r="X14" s="12">
        <f t="shared" si="8"/>
        <v>4.0000000000000001E-3</v>
      </c>
      <c r="Y14" s="11">
        <f>SUMIFS(MainData!H:H,MainData!$A:$A,$A14)</f>
        <v>0</v>
      </c>
      <c r="Z14" s="12">
        <f t="shared" si="9"/>
        <v>0</v>
      </c>
      <c r="AA14" s="11">
        <f>SUMIFS(MainData!I:I,MainData!$A:$A,$A14)</f>
        <v>0</v>
      </c>
      <c r="AB14" s="12">
        <f t="shared" si="10"/>
        <v>0</v>
      </c>
      <c r="AC14" s="182"/>
      <c r="AD14" s="18">
        <f t="shared" si="11"/>
        <v>0</v>
      </c>
      <c r="AE14" s="18">
        <f t="shared" si="12"/>
        <v>0</v>
      </c>
      <c r="AF14" s="18">
        <f t="shared" si="13"/>
        <v>0</v>
      </c>
      <c r="AG14" s="18">
        <f t="shared" si="14"/>
        <v>0</v>
      </c>
      <c r="AH14" s="18">
        <f t="shared" si="15"/>
        <v>15</v>
      </c>
      <c r="AI14" s="18">
        <f t="shared" si="16"/>
        <v>37.5</v>
      </c>
      <c r="AJ14" s="18">
        <f t="shared" si="17"/>
        <v>0</v>
      </c>
      <c r="AK14" s="18">
        <f t="shared" si="18"/>
        <v>0</v>
      </c>
      <c r="AL14" s="18">
        <f t="shared" si="19"/>
        <v>0</v>
      </c>
      <c r="AM14" s="36">
        <f t="shared" si="20"/>
        <v>53</v>
      </c>
      <c r="AN14" s="36">
        <f t="shared" si="21"/>
        <v>0</v>
      </c>
      <c r="AO14" s="183">
        <v>729</v>
      </c>
      <c r="AP14" s="184">
        <v>0</v>
      </c>
      <c r="AQ14" s="184">
        <v>0</v>
      </c>
      <c r="AR14" s="28">
        <f>SUM(AO14:AQ14)</f>
        <v>729</v>
      </c>
      <c r="AS14" s="28">
        <f>IF(AO14&gt;0,ROUNDUP($AO14*AS$3,0),0)</f>
        <v>584</v>
      </c>
      <c r="AT14" s="163">
        <f>AR14-AS14</f>
        <v>145</v>
      </c>
      <c r="AU14" s="28">
        <f>IF(AO14&gt;0,ROUND(AN14/$AN$1*AU$3,0),0)</f>
        <v>0</v>
      </c>
      <c r="AV14" s="147">
        <f>AU14+AS14</f>
        <v>584</v>
      </c>
      <c r="AW14" s="147">
        <f>AV14-AR14</f>
        <v>-145</v>
      </c>
      <c r="AX14" s="148">
        <f>IFERROR(AV14/AR14,0)</f>
        <v>0.80109739368998634</v>
      </c>
      <c r="AY14" s="167">
        <f t="shared" si="36"/>
        <v>0</v>
      </c>
      <c r="AZ14" s="167">
        <f>IF(O14&lt;18,IF(AND(I14&gt;0,I14&lt;=60),60,IF(AND(I14&gt;60,I14&lt;=120),70,IF(AND(I14&gt;120,I14&lt;=200),80,IF(I14&gt;200,90,0)))),IF(O14&gt;=18,IF(AND(I14&gt;0,I14&lt;=60),70,IF(AND(I14&gt;60,I14&lt;=120),80,IF(AND(I14&gt;120,I14&lt;=200),90,100)))))</f>
        <v>60</v>
      </c>
      <c r="BB14" s="170">
        <f>AU14-AY14</f>
        <v>0</v>
      </c>
      <c r="BC14" s="202">
        <f>VLOOKUP(A14,ImportDataWA!A$14:AG$112,33,0)</f>
        <v>100</v>
      </c>
      <c r="BD14" s="170">
        <f t="shared" si="37"/>
        <v>0</v>
      </c>
    </row>
    <row r="15" spans="1:56" hidden="1" x14ac:dyDescent="0.25">
      <c r="A15" s="270" t="s">
        <v>436</v>
      </c>
      <c r="B15" s="189" t="str">
        <f>VLOOKUP($A15,MainData!$A$4:$E$1967,2,FALSE)</f>
        <v>Inactive</v>
      </c>
      <c r="C15" s="189" t="str">
        <f>VLOOKUP($A15,MainData!$A$4:$E$1967,3,FALSE)</f>
        <v>Inactive</v>
      </c>
      <c r="D15" s="189" t="str">
        <f>VLOOKUP($A15,MainData!$A$4:$E$1967,4,FALSE)</f>
        <v>Basra</v>
      </c>
      <c r="E15" s="189" t="str">
        <f>VLOOKUP($A15,MainData!$A$4:$E$1967,5,FALSE)</f>
        <v>Inactive</v>
      </c>
      <c r="F15" s="11">
        <f>SUMIFS(MainData!G:G,MainData!$A:$A,$A15)</f>
        <v>0</v>
      </c>
      <c r="G15" s="11">
        <f t="shared" si="22"/>
        <v>0</v>
      </c>
      <c r="H15" s="53">
        <f t="shared" si="2"/>
        <v>0</v>
      </c>
      <c r="I15" s="10">
        <f>SUMIFS(MainData!F:F,MainData!$A:$A,$A15)</f>
        <v>0</v>
      </c>
      <c r="J15" s="10">
        <f t="shared" si="23"/>
        <v>0</v>
      </c>
      <c r="K15" s="53">
        <f t="shared" si="3"/>
        <v>0</v>
      </c>
      <c r="L15" s="11">
        <f>SUMIFS(MainData!K:K,MainData!$A:$A,$A15)</f>
        <v>0</v>
      </c>
      <c r="M15" s="11">
        <f t="shared" si="24"/>
        <v>0</v>
      </c>
      <c r="N15" s="53">
        <f t="shared" si="4"/>
        <v>0</v>
      </c>
      <c r="O15" s="256">
        <f>SUMIFS(MainData!J:J,MainData!$A:$A,$A15)</f>
        <v>0</v>
      </c>
      <c r="P15" s="10">
        <f>IF($B15=$B$4,0,IF($B15=$B$1,VLOOKUP(D15,Target_Entry!$A$8:$AF$23,5,0),IF(LO!B15=LO!$B$2,VLOOKUP(LO!D15,Target_Entry!$A$8:$AF$23,25,0),IF(LO!B15=LO!$B$3,VLOOKUP(LO!D15,Target_Entry!$A$8:$AF$23,15,0)))))</f>
        <v>0</v>
      </c>
      <c r="Q15" s="53">
        <f t="shared" si="5"/>
        <v>0</v>
      </c>
      <c r="R15" s="10">
        <f>SUMIFS(MainData!J:J,MainData!$A:$A,$A15)</f>
        <v>0</v>
      </c>
      <c r="S15" s="10">
        <f>SUMIFS(MainData!M:M,MainData!$A:$A,$A15)</f>
        <v>0</v>
      </c>
      <c r="T15" s="53">
        <f t="shared" si="6"/>
        <v>0</v>
      </c>
      <c r="U15" s="10">
        <f>SUMIFS(MainData!L:L,MainData!$A:$A,$A15)</f>
        <v>0</v>
      </c>
      <c r="V15" s="12">
        <f t="shared" si="7"/>
        <v>0</v>
      </c>
      <c r="W15" s="10">
        <f>SUMIFS(MainData!F:F,MainData!$A:$A,$A15)</f>
        <v>0</v>
      </c>
      <c r="X15" s="12">
        <f t="shared" si="8"/>
        <v>0</v>
      </c>
      <c r="Y15" s="11">
        <f>SUMIFS(MainData!H:H,MainData!$A:$A,$A15)</f>
        <v>0</v>
      </c>
      <c r="Z15" s="12">
        <f t="shared" si="9"/>
        <v>0</v>
      </c>
      <c r="AA15" s="11">
        <f>SUMIFS(MainData!I:I,MainData!$A:$A,$A15)</f>
        <v>0</v>
      </c>
      <c r="AB15" s="12">
        <f t="shared" si="10"/>
        <v>0</v>
      </c>
      <c r="AC15" s="182"/>
      <c r="AD15" s="18">
        <f t="shared" si="11"/>
        <v>0</v>
      </c>
      <c r="AE15" s="18">
        <f t="shared" si="12"/>
        <v>0</v>
      </c>
      <c r="AF15" s="18">
        <f t="shared" si="13"/>
        <v>0</v>
      </c>
      <c r="AG15" s="18">
        <f t="shared" si="14"/>
        <v>0</v>
      </c>
      <c r="AH15" s="18">
        <f t="shared" si="15"/>
        <v>15</v>
      </c>
      <c r="AI15" s="18">
        <f t="shared" si="16"/>
        <v>37.5</v>
      </c>
      <c r="AJ15" s="18">
        <f t="shared" si="17"/>
        <v>0</v>
      </c>
      <c r="AK15" s="18">
        <f t="shared" si="18"/>
        <v>0</v>
      </c>
      <c r="AL15" s="18">
        <f t="shared" si="19"/>
        <v>0</v>
      </c>
      <c r="AM15" s="36">
        <f t="shared" si="20"/>
        <v>53</v>
      </c>
      <c r="AN15" s="36">
        <f t="shared" si="21"/>
        <v>0</v>
      </c>
      <c r="AO15" s="183"/>
      <c r="AP15" s="184"/>
      <c r="AQ15" s="184"/>
      <c r="AR15" s="28"/>
      <c r="AS15" s="28"/>
      <c r="AT15" s="28"/>
      <c r="AU15" s="28"/>
      <c r="AV15" s="147"/>
      <c r="AW15" s="147"/>
      <c r="AX15" s="148"/>
      <c r="AY15" s="167"/>
      <c r="AZ15" s="167"/>
      <c r="BB15" s="170"/>
      <c r="BC15" s="202" t="e">
        <f>VLOOKUP(A15,ImportDataWA!A$14:AG$112,33,0)</f>
        <v>#N/A</v>
      </c>
    </row>
    <row r="16" spans="1:56" hidden="1" x14ac:dyDescent="0.25">
      <c r="A16" s="192" t="s">
        <v>412</v>
      </c>
      <c r="B16" s="189" t="str">
        <f>VLOOKUP($A16,MainData!$A$4:$E$1967,2,FALSE)</f>
        <v>Inactive</v>
      </c>
      <c r="C16" s="189" t="str">
        <f>VLOOKUP($A16,MainData!$A$4:$E$1967,3,FALSE)</f>
        <v>Inactive</v>
      </c>
      <c r="D16" s="189" t="str">
        <f>VLOOKUP($A16,MainData!$A$4:$E$1967,4,FALSE)</f>
        <v>Basra</v>
      </c>
      <c r="E16" s="189" t="str">
        <f>VLOOKUP($A16,MainData!$A$4:$E$1967,5,FALSE)</f>
        <v>Inactive</v>
      </c>
      <c r="F16" s="11">
        <f>SUMIFS(MainData!G:G,MainData!$A:$A,$A16)</f>
        <v>0</v>
      </c>
      <c r="G16" s="11">
        <f t="shared" si="22"/>
        <v>0</v>
      </c>
      <c r="H16" s="53">
        <f t="shared" si="2"/>
        <v>0</v>
      </c>
      <c r="I16" s="10">
        <f>SUMIFS(MainData!F:F,MainData!$A:$A,$A16)</f>
        <v>0</v>
      </c>
      <c r="J16" s="10">
        <f t="shared" si="23"/>
        <v>0</v>
      </c>
      <c r="K16" s="53">
        <f t="shared" si="3"/>
        <v>0</v>
      </c>
      <c r="L16" s="11">
        <f>SUMIFS(MainData!K:K,MainData!$A:$A,$A16)</f>
        <v>0</v>
      </c>
      <c r="M16" s="11">
        <f t="shared" si="24"/>
        <v>0</v>
      </c>
      <c r="N16" s="53">
        <f t="shared" si="4"/>
        <v>0</v>
      </c>
      <c r="O16" s="256">
        <f>SUMIFS(MainData!J:J,MainData!$A:$A,$A16)</f>
        <v>0</v>
      </c>
      <c r="P16" s="10">
        <f>IF($B16=$B$4,0,IF($B16=$B$1,VLOOKUP(D16,Target_Entry!$A$8:$AF$23,5,0),IF(LO!B16=LO!$B$2,VLOOKUP(LO!D16,Target_Entry!$A$8:$AF$23,25,0),IF(LO!B16=LO!$B$3,VLOOKUP(LO!D16,Target_Entry!$A$8:$AF$23,15,0)))))</f>
        <v>0</v>
      </c>
      <c r="Q16" s="53">
        <f t="shared" si="5"/>
        <v>0</v>
      </c>
      <c r="R16" s="10">
        <f>SUMIFS(MainData!J:J,MainData!$A:$A,$A16)</f>
        <v>0</v>
      </c>
      <c r="S16" s="10">
        <f>SUMIFS(MainData!M:M,MainData!$A:$A,$A16)</f>
        <v>0</v>
      </c>
      <c r="T16" s="53">
        <f t="shared" si="6"/>
        <v>0</v>
      </c>
      <c r="U16" s="10">
        <f>SUMIFS(MainData!L:L,MainData!$A:$A,$A16)</f>
        <v>0</v>
      </c>
      <c r="V16" s="12">
        <f t="shared" si="7"/>
        <v>0</v>
      </c>
      <c r="W16" s="10">
        <f>SUMIFS(MainData!F:F,MainData!$A:$A,$A16)</f>
        <v>0</v>
      </c>
      <c r="X16" s="12">
        <f t="shared" si="8"/>
        <v>0</v>
      </c>
      <c r="Y16" s="11">
        <f>SUMIFS(MainData!H:H,MainData!$A:$A,$A16)</f>
        <v>0</v>
      </c>
      <c r="Z16" s="12">
        <f t="shared" si="9"/>
        <v>0</v>
      </c>
      <c r="AA16" s="11">
        <f>SUMIFS(MainData!I:I,MainData!$A:$A,$A16)</f>
        <v>0</v>
      </c>
      <c r="AB16" s="12">
        <f t="shared" si="10"/>
        <v>0</v>
      </c>
      <c r="AC16" s="182"/>
      <c r="AD16" s="18">
        <f t="shared" si="11"/>
        <v>0</v>
      </c>
      <c r="AE16" s="18">
        <f t="shared" si="12"/>
        <v>0</v>
      </c>
      <c r="AF16" s="18">
        <f t="shared" si="13"/>
        <v>0</v>
      </c>
      <c r="AG16" s="18">
        <f t="shared" si="14"/>
        <v>0</v>
      </c>
      <c r="AH16" s="18">
        <f t="shared" si="15"/>
        <v>15</v>
      </c>
      <c r="AI16" s="18">
        <f t="shared" si="16"/>
        <v>37.5</v>
      </c>
      <c r="AJ16" s="18">
        <f t="shared" si="17"/>
        <v>0</v>
      </c>
      <c r="AK16" s="18">
        <f t="shared" si="18"/>
        <v>0</v>
      </c>
      <c r="AL16" s="18">
        <f t="shared" si="19"/>
        <v>0</v>
      </c>
      <c r="AM16" s="36">
        <f t="shared" si="20"/>
        <v>53</v>
      </c>
      <c r="AN16" s="36">
        <f t="shared" si="21"/>
        <v>0</v>
      </c>
      <c r="AO16" s="183"/>
      <c r="AP16" s="184"/>
      <c r="AQ16" s="184"/>
      <c r="AR16" s="28"/>
      <c r="AS16" s="28"/>
      <c r="AT16" s="163"/>
      <c r="AU16" s="28"/>
      <c r="AV16" s="147"/>
      <c r="AW16" s="147"/>
      <c r="AX16" s="148"/>
      <c r="AY16" s="167"/>
      <c r="AZ16" s="167"/>
      <c r="BB16" s="170"/>
      <c r="BC16" s="202"/>
    </row>
    <row r="17" spans="1:56" hidden="1" x14ac:dyDescent="0.25">
      <c r="A17" s="196" t="s">
        <v>420</v>
      </c>
      <c r="B17" s="189" t="str">
        <f>VLOOKUP($A17,MainData!$A$4:$E$1967,2,FALSE)</f>
        <v>Inactive</v>
      </c>
      <c r="C17" s="189" t="str">
        <f>VLOOKUP($A17,MainData!$A$4:$E$1967,3,FALSE)</f>
        <v>Inactive</v>
      </c>
      <c r="D17" s="189" t="str">
        <f>VLOOKUP($A17,MainData!$A$4:$E$1967,4,FALSE)</f>
        <v>Basra</v>
      </c>
      <c r="E17" s="189" t="str">
        <f>VLOOKUP($A17,MainData!$A$4:$E$1967,5,FALSE)</f>
        <v>Inactive</v>
      </c>
      <c r="F17" s="11">
        <f>SUMIFS(MainData!G:G,MainData!$A:$A,$A17)</f>
        <v>0</v>
      </c>
      <c r="G17" s="11">
        <f t="shared" si="22"/>
        <v>0</v>
      </c>
      <c r="H17" s="53">
        <f t="shared" si="2"/>
        <v>0</v>
      </c>
      <c r="I17" s="10">
        <f>SUMIFS(MainData!F:F,MainData!$A:$A,$A17)</f>
        <v>0</v>
      </c>
      <c r="J17" s="10">
        <f t="shared" si="23"/>
        <v>0</v>
      </c>
      <c r="K17" s="53">
        <f t="shared" si="3"/>
        <v>0</v>
      </c>
      <c r="L17" s="11">
        <f>SUMIFS(MainData!K:K,MainData!$A:$A,$A17)</f>
        <v>0</v>
      </c>
      <c r="M17" s="11">
        <f t="shared" si="24"/>
        <v>0</v>
      </c>
      <c r="N17" s="53">
        <f t="shared" si="4"/>
        <v>0</v>
      </c>
      <c r="O17" s="256">
        <f>SUMIFS(MainData!J:J,MainData!$A:$A,$A17)</f>
        <v>0</v>
      </c>
      <c r="P17" s="10">
        <f>IF($B17=$B$4,0,IF($B17=$B$1,VLOOKUP(D17,Target_Entry!$A$8:$AF$23,5,0),IF(LO!B17=LO!$B$2,VLOOKUP(LO!D17,Target_Entry!$A$8:$AF$23,25,0),IF(LO!B17=LO!$B$3,VLOOKUP(LO!D17,Target_Entry!$A$8:$AF$23,15,0)))))</f>
        <v>0</v>
      </c>
      <c r="Q17" s="53">
        <f t="shared" si="5"/>
        <v>0</v>
      </c>
      <c r="R17" s="10">
        <f>SUMIFS(MainData!J:J,MainData!$A:$A,$A17)</f>
        <v>0</v>
      </c>
      <c r="S17" s="10">
        <f>SUMIFS(MainData!M:M,MainData!$A:$A,$A17)</f>
        <v>0</v>
      </c>
      <c r="T17" s="53">
        <f t="shared" si="6"/>
        <v>0</v>
      </c>
      <c r="U17" s="10">
        <f>SUMIFS(MainData!L:L,MainData!$A:$A,$A17)</f>
        <v>0</v>
      </c>
      <c r="V17" s="12">
        <f t="shared" si="7"/>
        <v>0</v>
      </c>
      <c r="W17" s="10">
        <f>SUMIFS(MainData!F:F,MainData!$A:$A,$A17)</f>
        <v>0</v>
      </c>
      <c r="X17" s="12">
        <f t="shared" si="8"/>
        <v>0</v>
      </c>
      <c r="Y17" s="11">
        <f>SUMIFS(MainData!H:H,MainData!$A:$A,$A17)</f>
        <v>0</v>
      </c>
      <c r="Z17" s="12">
        <f t="shared" si="9"/>
        <v>0</v>
      </c>
      <c r="AA17" s="11">
        <f>SUMIFS(MainData!I:I,MainData!$A:$A,$A17)</f>
        <v>0</v>
      </c>
      <c r="AB17" s="12">
        <f t="shared" si="10"/>
        <v>0</v>
      </c>
      <c r="AC17" s="182"/>
      <c r="AD17" s="18">
        <f t="shared" si="11"/>
        <v>0</v>
      </c>
      <c r="AE17" s="18">
        <f t="shared" si="12"/>
        <v>0</v>
      </c>
      <c r="AF17" s="18">
        <f t="shared" si="13"/>
        <v>0</v>
      </c>
      <c r="AG17" s="18">
        <f t="shared" si="14"/>
        <v>0</v>
      </c>
      <c r="AH17" s="18">
        <f t="shared" si="15"/>
        <v>15</v>
      </c>
      <c r="AI17" s="18">
        <f t="shared" si="16"/>
        <v>37.5</v>
      </c>
      <c r="AJ17" s="18">
        <f t="shared" si="17"/>
        <v>0</v>
      </c>
      <c r="AK17" s="18">
        <f t="shared" si="18"/>
        <v>0</v>
      </c>
      <c r="AL17" s="18">
        <f t="shared" si="19"/>
        <v>0</v>
      </c>
      <c r="AM17" s="36">
        <f t="shared" si="20"/>
        <v>53</v>
      </c>
      <c r="AN17" s="36">
        <f t="shared" si="21"/>
        <v>0</v>
      </c>
      <c r="AO17" s="183"/>
      <c r="AP17" s="184"/>
      <c r="AQ17" s="184"/>
      <c r="AR17" s="28"/>
      <c r="AS17" s="28"/>
      <c r="AT17" s="163"/>
      <c r="AU17" s="28"/>
      <c r="AV17" s="147"/>
      <c r="AW17" s="165"/>
      <c r="AX17" s="148"/>
      <c r="AY17" s="167"/>
      <c r="AZ17" s="167"/>
      <c r="BB17" s="170">
        <f t="shared" ref="BB17:BB21" si="38">AU17-AY17</f>
        <v>0</v>
      </c>
      <c r="BC17" s="202" t="e">
        <f>VLOOKUP(A17,ImportDataWA!A$14:AG$112,33,0)</f>
        <v>#N/A</v>
      </c>
    </row>
    <row r="18" spans="1:56" hidden="1" x14ac:dyDescent="0.25">
      <c r="A18" s="9" t="s">
        <v>431</v>
      </c>
      <c r="B18" s="9" t="str">
        <f>VLOOKUP($A18,MainData!$A$4:$E$1967,2,FALSE)</f>
        <v>Micro</v>
      </c>
      <c r="C18" s="9" t="str">
        <f>VLOOKUP($A18,MainData!$A$4:$E$1967,3,FALSE)</f>
        <v>Amer Ahmed AbdulWahid</v>
      </c>
      <c r="D18" s="9" t="str">
        <f>VLOOKUP($A18,MainData!$A$4:$E$1967,4,FALSE)</f>
        <v>Dewaniya</v>
      </c>
      <c r="E18" s="9" t="str">
        <f>VLOOKUP($A18,MainData!$A$4:$E$1967,5,FALSE)</f>
        <v>Hayder Hashim Mohammed</v>
      </c>
      <c r="F18" s="11">
        <f>SUMIFS(MainData!G:G,MainData!$A:$A,$A18)</f>
        <v>211067.20006060609</v>
      </c>
      <c r="G18" s="11">
        <f t="shared" si="22"/>
        <v>333333.33333333331</v>
      </c>
      <c r="H18" s="53">
        <f t="shared" ref="H18:H19" si="39">IFERROR(F18/G18,0)</f>
        <v>0.63320160018181826</v>
      </c>
      <c r="I18" s="10">
        <f>SUMIFS(MainData!F:F,MainData!$A:$A,$A18)</f>
        <v>54</v>
      </c>
      <c r="J18" s="10">
        <f t="shared" si="23"/>
        <v>400</v>
      </c>
      <c r="K18" s="53">
        <f t="shared" ref="K18:K19" si="40">IFERROR(I18/J18,0)</f>
        <v>0.13500000000000001</v>
      </c>
      <c r="L18" s="11">
        <f>SUMIFS(MainData!K:K,MainData!$A:$A,$A18)</f>
        <v>52272.727272727272</v>
      </c>
      <c r="M18" s="11">
        <f t="shared" si="24"/>
        <v>56818.18</v>
      </c>
      <c r="N18" s="53">
        <f t="shared" ref="N18:N19" si="41">IFERROR(L18/M18,0)</f>
        <v>0.92000002944000092</v>
      </c>
      <c r="O18" s="256">
        <f>SUMIFS(MainData!J:J,MainData!$A:$A,$A18)</f>
        <v>13</v>
      </c>
      <c r="P18" s="10">
        <f>IF($B18=$B$4,0,IF($B18=$B$1,VLOOKUP(D18,Target_Entry!$A$8:$AF$23,5,0),IF(LO!B18=LO!$B$2,VLOOKUP(LO!D18,Target_Entry!$A$8:$AF$23,25,0),IF(LO!B18=LO!$B$3,VLOOKUP(LO!D18,Target_Entry!$A$8:$AF$23,15,0)))))</f>
        <v>15</v>
      </c>
      <c r="Q18" s="53">
        <f t="shared" ref="Q18:Q19" si="42">IFERROR(O18/P18,0)</f>
        <v>0.8666666666666667</v>
      </c>
      <c r="R18" s="10">
        <f>SUMIFS(MainData!J:J,MainData!$A:$A,$A18)</f>
        <v>13</v>
      </c>
      <c r="S18" s="10">
        <f>SUMIFS(MainData!M:M,MainData!$A:$A,$A18)</f>
        <v>7</v>
      </c>
      <c r="T18" s="53">
        <f t="shared" ref="T18:T19" si="43">IFERROR(S18/R18,0)</f>
        <v>0.53846153846153844</v>
      </c>
      <c r="U18" s="10">
        <f>SUMIFS(MainData!L:L,MainData!$A:$A,$A18)</f>
        <v>7</v>
      </c>
      <c r="V18" s="12">
        <f t="shared" ref="V18:V19" si="44">IFERROR(U18/R18,0)</f>
        <v>0.53846153846153844</v>
      </c>
      <c r="W18" s="10">
        <f>SUMIFS(MainData!F:F,MainData!$A:$A,$A18)</f>
        <v>54</v>
      </c>
      <c r="X18" s="12">
        <f t="shared" ref="X18:X19" si="45">IF($B18=$B$2,W18/X$3,W18/X$2)</f>
        <v>0.216</v>
      </c>
      <c r="Y18" s="11">
        <f>SUMIFS(MainData!H:H,MainData!$A:$A,$A18)</f>
        <v>0</v>
      </c>
      <c r="Z18" s="12">
        <f t="shared" ref="Z18:Z19" si="46">IFERROR(Y18/$F18,0)</f>
        <v>0</v>
      </c>
      <c r="AA18" s="11">
        <f>SUMIFS(MainData!I:I,MainData!$A:$A,$A18)</f>
        <v>0</v>
      </c>
      <c r="AB18" s="12">
        <f t="shared" ref="AB18:AB19" si="47">IFERROR(AA18/$F18,0)</f>
        <v>0</v>
      </c>
      <c r="AC18" s="182"/>
      <c r="AD18" s="18">
        <f t="shared" ref="AD18:AD19" si="48">MAX(AD$5,MIN(AD$4,AD$1*(H18/(AD$2-AD$3)-(AD$3/(AD$2-AD$3)))))</f>
        <v>0</v>
      </c>
      <c r="AE18" s="18">
        <f t="shared" ref="AE18:AE19" si="49">MAX(AE$5,MIN(AE$4,AE$1*(K18/(AE$2-AE$3)-(AE$3/(AE$2-AE$3)))))</f>
        <v>0</v>
      </c>
      <c r="AF18" s="18">
        <f t="shared" ref="AF18:AF19" si="50">MAX(AF$5,MIN(AF$4,AF$1*(N18/(AF$2-AF$3)-(AF$3/(AF$2-AF$3)))))</f>
        <v>22.000002944000087</v>
      </c>
      <c r="AG18" s="18">
        <f t="shared" ref="AG18:AG19" si="51">MAX(AG$5,MIN(AG$4,AG$1*(Q18/(AG$2-AG$3)-(AG$3/(AG$2-AG$3)))))</f>
        <v>0</v>
      </c>
      <c r="AH18" s="18">
        <f t="shared" ref="AH18:AH19" si="52">MIN(AH$4,MAX(AH$5,AH$1-AH$1*(Z18/(AH$3-AH$2)-(AH$2/(AH$3-AH$2)))))</f>
        <v>15</v>
      </c>
      <c r="AI18" s="18">
        <f t="shared" ref="AI18:AI19" si="53">MIN(AI$4,MAX(AI$5,AI$1-AI$1*(AB18/(AI$3-AI$2)-(AI$2/(AI$3-AI$2)))))</f>
        <v>37.5</v>
      </c>
      <c r="AJ18" s="18">
        <f t="shared" ref="AJ18:AJ19" si="54">MAX(AJ$5,MIN(AJ$4,AJ$1*(X18/(AJ$2-AJ$3)-(AJ$3/(AJ$2-AJ$3)))))</f>
        <v>0</v>
      </c>
      <c r="AK18" s="18">
        <f t="shared" ref="AK18:AK19" si="55">MAX(AK$5,MIN(AK$4,AK$1*(T18/(AK$2-AK$3)-(AK$3/(AK$2-AK$3)))))</f>
        <v>3.384615384615385</v>
      </c>
      <c r="AL18" s="18">
        <f t="shared" ref="AL18:AL19" si="56">MAX(AL$5,MIN(AL$4,AL$1*(V18/(AL$2-AL$3)-(AL$3/(AL$2-AL$3)))))</f>
        <v>5</v>
      </c>
      <c r="AM18" s="36">
        <f t="shared" ref="AM18:AM19" si="57">ROUND(SUM(AD18:AL18),0)</f>
        <v>83</v>
      </c>
      <c r="AN18" s="36">
        <f t="shared" ref="AN18:AN19" si="58">IF(AND(AB18&lt;=AN$2,OR(AND(O18&gt;=AO$3,L18&gt;=AN$3),AND(O18&gt;=AO$4,L18&gt;=AN$4))),AM18,0)</f>
        <v>0</v>
      </c>
      <c r="AO18" s="183"/>
      <c r="AP18" s="184"/>
      <c r="AQ18" s="184"/>
      <c r="AR18" s="28"/>
      <c r="AS18" s="28"/>
      <c r="AT18" s="163"/>
      <c r="AU18" s="28"/>
      <c r="AV18" s="147"/>
      <c r="AW18" s="165"/>
      <c r="AX18" s="148"/>
      <c r="AY18" s="167"/>
      <c r="AZ18" s="167"/>
      <c r="BB18" s="170">
        <f t="shared" ref="BB18:BB19" si="59">AU18-AY18</f>
        <v>0</v>
      </c>
      <c r="BC18" s="202" t="e">
        <f>VLOOKUP(A18,ImportDataWA!A$14:AG$112,33,0)</f>
        <v>#N/A</v>
      </c>
    </row>
    <row r="19" spans="1:56" hidden="1" x14ac:dyDescent="0.25">
      <c r="A19" s="9" t="s">
        <v>432</v>
      </c>
      <c r="B19" s="9" t="str">
        <f>VLOOKUP($A19,MainData!$A$4:$E$1967,2,FALSE)</f>
        <v>Micro</v>
      </c>
      <c r="C19" s="9" t="str">
        <f>VLOOKUP($A19,MainData!$A$4:$E$1967,3,FALSE)</f>
        <v>Amer Ahmed AbdulWahid</v>
      </c>
      <c r="D19" s="9" t="str">
        <f>VLOOKUP($A19,MainData!$A$4:$E$1967,4,FALSE)</f>
        <v>Dewaniya</v>
      </c>
      <c r="E19" s="9" t="str">
        <f>VLOOKUP($A19,MainData!$A$4:$E$1967,5,FALSE)</f>
        <v>Hayder Hashim Mohammed</v>
      </c>
      <c r="F19" s="11">
        <f>SUMIFS(MainData!G:G,MainData!$A:$A,$A19)</f>
        <v>89010.853007575744</v>
      </c>
      <c r="G19" s="11">
        <f t="shared" si="22"/>
        <v>333333.33333333331</v>
      </c>
      <c r="H19" s="53">
        <f t="shared" si="39"/>
        <v>0.26703255902272727</v>
      </c>
      <c r="I19" s="10">
        <f>SUMIFS(MainData!F:F,MainData!$A:$A,$A19)</f>
        <v>24</v>
      </c>
      <c r="J19" s="10">
        <f t="shared" si="23"/>
        <v>400</v>
      </c>
      <c r="K19" s="53">
        <f t="shared" si="40"/>
        <v>0.06</v>
      </c>
      <c r="L19" s="11">
        <f>SUMIFS(MainData!K:K,MainData!$A:$A,$A19)</f>
        <v>25000.000000000004</v>
      </c>
      <c r="M19" s="11">
        <f t="shared" si="24"/>
        <v>56818.18</v>
      </c>
      <c r="N19" s="53">
        <f t="shared" si="41"/>
        <v>0.4400000140800005</v>
      </c>
      <c r="O19" s="256">
        <f>SUMIFS(MainData!J:J,MainData!$A:$A,$A19)</f>
        <v>5</v>
      </c>
      <c r="P19" s="10">
        <f>IF($B19=$B$4,0,IF($B19=$B$1,VLOOKUP(D19,Target_Entry!$A$8:$AF$23,5,0),IF(LO!B19=LO!$B$2,VLOOKUP(LO!D19,Target_Entry!$A$8:$AF$23,25,0),IF(LO!B19=LO!$B$3,VLOOKUP(LO!D19,Target_Entry!$A$8:$AF$23,15,0)))))</f>
        <v>15</v>
      </c>
      <c r="Q19" s="53">
        <f t="shared" si="42"/>
        <v>0.33333333333333331</v>
      </c>
      <c r="R19" s="10">
        <f>SUMIFS(MainData!J:J,MainData!$A:$A,$A19)</f>
        <v>5</v>
      </c>
      <c r="S19" s="10">
        <f>SUMIFS(MainData!M:M,MainData!$A:$A,$A19)</f>
        <v>2</v>
      </c>
      <c r="T19" s="53">
        <f t="shared" si="43"/>
        <v>0.4</v>
      </c>
      <c r="U19" s="10">
        <f>SUMIFS(MainData!L:L,MainData!$A:$A,$A19)</f>
        <v>2</v>
      </c>
      <c r="V19" s="12">
        <f t="shared" si="44"/>
        <v>0.4</v>
      </c>
      <c r="W19" s="10">
        <f>SUMIFS(MainData!F:F,MainData!$A:$A,$A19)</f>
        <v>24</v>
      </c>
      <c r="X19" s="12">
        <f t="shared" si="45"/>
        <v>9.6000000000000002E-2</v>
      </c>
      <c r="Y19" s="11">
        <f>SUMIFS(MainData!H:H,MainData!$A:$A,$A19)</f>
        <v>0</v>
      </c>
      <c r="Z19" s="12">
        <f t="shared" si="46"/>
        <v>0</v>
      </c>
      <c r="AA19" s="11">
        <f>SUMIFS(MainData!I:I,MainData!$A:$A,$A19)</f>
        <v>0</v>
      </c>
      <c r="AB19" s="12">
        <f t="shared" si="47"/>
        <v>0</v>
      </c>
      <c r="AC19" s="182"/>
      <c r="AD19" s="18">
        <f t="shared" si="48"/>
        <v>0</v>
      </c>
      <c r="AE19" s="18">
        <f t="shared" si="49"/>
        <v>0</v>
      </c>
      <c r="AF19" s="18">
        <f t="shared" si="50"/>
        <v>0</v>
      </c>
      <c r="AG19" s="18">
        <f t="shared" si="51"/>
        <v>0</v>
      </c>
      <c r="AH19" s="18">
        <f t="shared" si="52"/>
        <v>15</v>
      </c>
      <c r="AI19" s="18">
        <f t="shared" si="53"/>
        <v>37.5</v>
      </c>
      <c r="AJ19" s="18">
        <f t="shared" si="54"/>
        <v>0</v>
      </c>
      <c r="AK19" s="18">
        <f t="shared" si="55"/>
        <v>2.0000000000000004</v>
      </c>
      <c r="AL19" s="18">
        <f t="shared" si="56"/>
        <v>5</v>
      </c>
      <c r="AM19" s="36">
        <f t="shared" si="57"/>
        <v>60</v>
      </c>
      <c r="AN19" s="36">
        <f t="shared" si="58"/>
        <v>0</v>
      </c>
      <c r="AO19" s="183"/>
      <c r="AP19" s="184"/>
      <c r="AQ19" s="184"/>
      <c r="AR19" s="28"/>
      <c r="AS19" s="28"/>
      <c r="AT19" s="163"/>
      <c r="AU19" s="28"/>
      <c r="AV19" s="147"/>
      <c r="AW19" s="165"/>
      <c r="AX19" s="148"/>
      <c r="AY19" s="167"/>
      <c r="AZ19" s="167"/>
      <c r="BB19" s="170">
        <f t="shared" si="59"/>
        <v>0</v>
      </c>
      <c r="BC19" s="202" t="e">
        <f>VLOOKUP(A19,ImportDataWA!A$14:AG$112,33,0)</f>
        <v>#N/A</v>
      </c>
    </row>
    <row r="20" spans="1:56" hidden="1" x14ac:dyDescent="0.25">
      <c r="A20" s="195" t="s">
        <v>2</v>
      </c>
      <c r="B20" s="9" t="str">
        <f>VLOOKUP($A20,MainData!$A$4:$E$1967,2,FALSE)</f>
        <v>SE</v>
      </c>
      <c r="C20" s="9" t="str">
        <f>VLOOKUP($A20,MainData!$A$4:$E$1967,3,FALSE)</f>
        <v>Rashad Hadi Lafta</v>
      </c>
      <c r="D20" s="9" t="str">
        <f>VLOOKUP($A20,MainData!$A$4:$E$1967,4,FALSE)</f>
        <v>Dewaniya</v>
      </c>
      <c r="E20" s="9" t="str">
        <f>VLOOKUP($A20,MainData!$A$4:$E$1967,5,FALSE)</f>
        <v>Ammar Jawad hasan</v>
      </c>
      <c r="F20" s="11">
        <f>SUMIFS(MainData!G:G,MainData!$A:$A,$A20)</f>
        <v>1440778.5476949404</v>
      </c>
      <c r="G20" s="11">
        <f t="shared" si="22"/>
        <v>2111111.111111111</v>
      </c>
      <c r="H20" s="53">
        <f t="shared" si="2"/>
        <v>0.68247404890812968</v>
      </c>
      <c r="I20" s="10">
        <f>SUMIFS(MainData!F:F,MainData!$A:$A,$A20)</f>
        <v>187</v>
      </c>
      <c r="J20" s="10">
        <f t="shared" si="23"/>
        <v>222</v>
      </c>
      <c r="K20" s="53">
        <f t="shared" si="3"/>
        <v>0.84234234234234229</v>
      </c>
      <c r="L20" s="11">
        <f>SUMIFS(MainData!K:K,MainData!$A:$A,$A20)</f>
        <v>43409.090909090912</v>
      </c>
      <c r="M20" s="11">
        <f t="shared" si="24"/>
        <v>94696.97</v>
      </c>
      <c r="N20" s="53">
        <f t="shared" si="4"/>
        <v>0.45839999853312002</v>
      </c>
      <c r="O20" s="256">
        <f>SUMIFS(MainData!J:J,MainData!$A:$A,$A20)</f>
        <v>4</v>
      </c>
      <c r="P20" s="10">
        <f>IF($B20=$B$4,0,IF($B20=$B$1,VLOOKUP(D20,Target_Entry!$A$8:$AF$23,5,0),IF(LO!B20=LO!$B$2,VLOOKUP(LO!D20,Target_Entry!$A$8:$AF$23,25,0),IF(LO!B20=LO!$B$3,VLOOKUP(LO!D20,Target_Entry!$A$8:$AF$23,15,0)))))</f>
        <v>3</v>
      </c>
      <c r="Q20" s="53">
        <f t="shared" si="5"/>
        <v>1.3333333333333333</v>
      </c>
      <c r="R20" s="10">
        <f>SUMIFS(MainData!J:J,MainData!$A:$A,$A20)</f>
        <v>4</v>
      </c>
      <c r="S20" s="10">
        <f>SUMIFS(MainData!M:M,MainData!$A:$A,$A20)</f>
        <v>3</v>
      </c>
      <c r="T20" s="53">
        <f t="shared" si="6"/>
        <v>0.75</v>
      </c>
      <c r="U20" s="10">
        <f>SUMIFS(MainData!L:L,MainData!$A:$A,$A20)</f>
        <v>2</v>
      </c>
      <c r="V20" s="12">
        <f t="shared" si="7"/>
        <v>0.5</v>
      </c>
      <c r="W20" s="10">
        <f>SUMIFS(MainData!F:F,MainData!$A:$A,$A20)</f>
        <v>187</v>
      </c>
      <c r="X20" s="12">
        <f t="shared" si="8"/>
        <v>1.87</v>
      </c>
      <c r="Y20" s="11">
        <f>SUMIFS(MainData!H:H,MainData!$A:$A,$A20)</f>
        <v>56330.902525930534</v>
      </c>
      <c r="Z20" s="12">
        <f t="shared" si="9"/>
        <v>3.9097543905031555E-2</v>
      </c>
      <c r="AA20" s="11">
        <f>SUMIFS(MainData!I:I,MainData!$A:$A,$A20)</f>
        <v>55192.86010061964</v>
      </c>
      <c r="AB20" s="231">
        <f t="shared" si="10"/>
        <v>3.8307663720369166E-2</v>
      </c>
      <c r="AC20" s="182"/>
      <c r="AD20" s="18">
        <f t="shared" si="11"/>
        <v>0</v>
      </c>
      <c r="AE20" s="18">
        <f t="shared" si="12"/>
        <v>0</v>
      </c>
      <c r="AF20" s="18">
        <f t="shared" si="13"/>
        <v>0</v>
      </c>
      <c r="AG20" s="18">
        <f t="shared" si="14"/>
        <v>0</v>
      </c>
      <c r="AH20" s="18">
        <f t="shared" si="15"/>
        <v>3.2707368284905343</v>
      </c>
      <c r="AI20" s="18">
        <f t="shared" si="16"/>
        <v>27.923084069907709</v>
      </c>
      <c r="AJ20" s="18">
        <f t="shared" si="17"/>
        <v>5</v>
      </c>
      <c r="AK20" s="18">
        <f t="shared" si="18"/>
        <v>5</v>
      </c>
      <c r="AL20" s="18">
        <f t="shared" si="19"/>
        <v>5</v>
      </c>
      <c r="AM20" s="36">
        <f t="shared" si="20"/>
        <v>46</v>
      </c>
      <c r="AN20" s="36">
        <f t="shared" si="21"/>
        <v>0</v>
      </c>
      <c r="AO20" s="183">
        <v>837</v>
      </c>
      <c r="AP20" s="184">
        <v>0</v>
      </c>
      <c r="AQ20" s="184">
        <v>0</v>
      </c>
      <c r="AR20" s="28">
        <f>SUM(AO20:AQ20)</f>
        <v>837</v>
      </c>
      <c r="AS20" s="28">
        <f>IF(AO20&gt;0,ROUNDUP($AO20*AS$3,0),0)</f>
        <v>670</v>
      </c>
      <c r="AT20" s="163">
        <f>AR20-AS20</f>
        <v>167</v>
      </c>
      <c r="AU20" s="28">
        <f>IF(AO20&gt;0,ROUND(AN20/$AN$1*AU$3,0),0)</f>
        <v>0</v>
      </c>
      <c r="AV20" s="147">
        <f>AU20+AS20</f>
        <v>670</v>
      </c>
      <c r="AW20" s="147">
        <f>AV20-AR20</f>
        <v>-167</v>
      </c>
      <c r="AX20" s="148">
        <f>IFERROR(AV20/AR20,0)</f>
        <v>0.80047789725209084</v>
      </c>
      <c r="AY20" s="167">
        <f t="shared" ref="AY20:AY21" si="60">AU20</f>
        <v>0</v>
      </c>
      <c r="AZ20" s="167">
        <f>IF(O20&lt;18,IF(AND(I20&gt;0,I20&lt;=60),60,IF(AND(I20&gt;60,I20&lt;=120),70,IF(AND(I20&gt;120,I20&lt;=200),80,IF(I20&gt;200,90,0)))),IF(O20&gt;=18,IF(AND(I20&gt;0,I20&lt;=60),70,IF(AND(I20&gt;60,I20&lt;=120),80,IF(AND(I20&gt;120,I20&lt;=200),90,100)))))</f>
        <v>80</v>
      </c>
      <c r="BB20" s="170">
        <f t="shared" si="38"/>
        <v>0</v>
      </c>
      <c r="BC20" s="202">
        <f>VLOOKUP(A20,ImportDataWA!A$14:AG$112,33,0)</f>
        <v>96.745097251865815</v>
      </c>
      <c r="BD20" s="170">
        <f t="shared" ref="BD20:BD21" si="61">AU20-AY20</f>
        <v>0</v>
      </c>
    </row>
    <row r="21" spans="1:56" hidden="1" x14ac:dyDescent="0.25">
      <c r="A21" s="195" t="s">
        <v>4</v>
      </c>
      <c r="B21" s="9" t="str">
        <f>VLOOKUP($A21,MainData!$A$4:$E$1967,2,FALSE)</f>
        <v>VSE</v>
      </c>
      <c r="C21" s="9" t="str">
        <f>VLOOKUP($A21,MainData!$A$4:$E$1967,3,FALSE)</f>
        <v>Amer Ahmed AbdulWahid</v>
      </c>
      <c r="D21" s="9" t="str">
        <f>VLOOKUP($A21,MainData!$A$4:$E$1967,4,FALSE)</f>
        <v>Dewaniya</v>
      </c>
      <c r="E21" s="9" t="str">
        <f>VLOOKUP($A21,MainData!$A$4:$E$1967,5,FALSE)</f>
        <v>Hayder Hashim Mohammed</v>
      </c>
      <c r="F21" s="11">
        <f>SUMIFS(MainData!G:G,MainData!$A:$A,$A21)</f>
        <v>888722.04101347236</v>
      </c>
      <c r="G21" s="11">
        <f t="shared" si="22"/>
        <v>777777.77777777775</v>
      </c>
      <c r="H21" s="53">
        <f t="shared" si="2"/>
        <v>1.1426426241601788</v>
      </c>
      <c r="I21" s="10">
        <f>SUMIFS(MainData!F:F,MainData!$A:$A,$A21)</f>
        <v>224</v>
      </c>
      <c r="J21" s="10">
        <f t="shared" si="23"/>
        <v>889</v>
      </c>
      <c r="K21" s="53">
        <f t="shared" si="3"/>
        <v>0.25196850393700787</v>
      </c>
      <c r="L21" s="11">
        <f>SUMIFS(MainData!K:K,MainData!$A:$A,$A21)</f>
        <v>72348.484848484848</v>
      </c>
      <c r="M21" s="11">
        <f t="shared" si="24"/>
        <v>79545.45</v>
      </c>
      <c r="N21" s="53">
        <f t="shared" si="4"/>
        <v>0.90952386149660158</v>
      </c>
      <c r="O21" s="256">
        <f>SUMIFS(MainData!J:J,MainData!$A:$A,$A21)</f>
        <v>15</v>
      </c>
      <c r="P21" s="10">
        <f>IF($B21=$B$4,0,IF($B21=$B$1,VLOOKUP(D21,Target_Entry!$A$8:$AF$23,5,0),IF(LO!B21=LO!$B$2,VLOOKUP(LO!D21,Target_Entry!$A$8:$AF$23,25,0),IF(LO!B21=LO!$B$3,VLOOKUP(LO!D21,Target_Entry!$A$8:$AF$23,15,0)))))</f>
        <v>8</v>
      </c>
      <c r="Q21" s="53">
        <f t="shared" si="5"/>
        <v>1.875</v>
      </c>
      <c r="R21" s="10">
        <v>13</v>
      </c>
      <c r="S21" s="10">
        <f>SUMIFS(MainData!M:M,MainData!$A:$A,$A21)</f>
        <v>12</v>
      </c>
      <c r="T21" s="53">
        <f t="shared" si="6"/>
        <v>0.92307692307692313</v>
      </c>
      <c r="U21" s="10">
        <f>SUMIFS(MainData!L:L,MainData!$A:$A,$A21)</f>
        <v>1</v>
      </c>
      <c r="V21" s="12">
        <f t="shared" si="7"/>
        <v>7.6923076923076927E-2</v>
      </c>
      <c r="W21" s="10">
        <f>SUMIFS(MainData!F:F,MainData!$A:$A,$A21)</f>
        <v>224</v>
      </c>
      <c r="X21" s="12">
        <f t="shared" si="8"/>
        <v>0.89600000000000002</v>
      </c>
      <c r="Y21" s="11">
        <f>SUMIFS(MainData!H:H,MainData!$A:$A,$A21)</f>
        <v>22291.60565909091</v>
      </c>
      <c r="Z21" s="12">
        <f t="shared" si="9"/>
        <v>2.5082764498189133E-2</v>
      </c>
      <c r="AA21" s="11">
        <f>SUMIFS(MainData!I:I,MainData!$A:$A,$A21)</f>
        <v>40007.080638472726</v>
      </c>
      <c r="AB21" s="12">
        <f t="shared" si="10"/>
        <v>4.5016415473222465E-2</v>
      </c>
      <c r="AC21" s="182"/>
      <c r="AD21" s="18">
        <f t="shared" si="11"/>
        <v>10</v>
      </c>
      <c r="AE21" s="18">
        <f t="shared" si="12"/>
        <v>0</v>
      </c>
      <c r="AF21" s="18">
        <f t="shared" si="13"/>
        <v>20.95238614966015</v>
      </c>
      <c r="AG21" s="18">
        <f t="shared" si="14"/>
        <v>0</v>
      </c>
      <c r="AH21" s="18">
        <f t="shared" si="15"/>
        <v>7.4751706505432605</v>
      </c>
      <c r="AI21" s="18">
        <f t="shared" si="16"/>
        <v>26.245896131694384</v>
      </c>
      <c r="AJ21" s="18">
        <f t="shared" si="17"/>
        <v>3.96</v>
      </c>
      <c r="AK21" s="18">
        <f t="shared" si="18"/>
        <v>5</v>
      </c>
      <c r="AL21" s="18">
        <f t="shared" si="19"/>
        <v>1.2820512820512822</v>
      </c>
      <c r="AM21" s="36">
        <f t="shared" si="20"/>
        <v>75</v>
      </c>
      <c r="AN21" s="36">
        <f t="shared" si="21"/>
        <v>75</v>
      </c>
      <c r="AO21" s="183">
        <v>1074</v>
      </c>
      <c r="AP21" s="184">
        <v>0</v>
      </c>
      <c r="AQ21" s="184">
        <v>171</v>
      </c>
      <c r="AR21" s="28">
        <f>SUM(AO21:AQ21)</f>
        <v>1245</v>
      </c>
      <c r="AS21" s="28">
        <f>IF(AO21&gt;0,ROUNDUP($AO21*AS$3,0),0)</f>
        <v>860</v>
      </c>
      <c r="AT21" s="163">
        <f>AR21-AS21</f>
        <v>385</v>
      </c>
      <c r="AU21" s="28">
        <f>IF(AO21&gt;0,ROUND(AN21/$AN$1*AU$3,0),0)</f>
        <v>488</v>
      </c>
      <c r="AV21" s="147">
        <f>AU21+AS21</f>
        <v>1348</v>
      </c>
      <c r="AW21" s="147">
        <f>AV21-AR21</f>
        <v>103</v>
      </c>
      <c r="AX21" s="148">
        <f>IFERROR(AV21/AR21,0)</f>
        <v>1.0827309236947791</v>
      </c>
      <c r="AY21" s="167">
        <f t="shared" si="60"/>
        <v>488</v>
      </c>
      <c r="AZ21" s="167">
        <f>IF(O21&lt;18,IF(AND(I21&gt;0,I21&lt;=60),60,IF(AND(I21&gt;60,I21&lt;=120),70,IF(AND(I21&gt;120,I21&lt;=200),80,IF(I21&gt;200,90,0)))),IF(O21&gt;=18,IF(AND(I21&gt;0,I21&lt;=60),70,IF(AND(I21&gt;60,I21&lt;=120),80,IF(AND(I21&gt;120,I21&lt;=200),90,100)))))</f>
        <v>90</v>
      </c>
      <c r="BB21" s="170">
        <f t="shared" si="38"/>
        <v>0</v>
      </c>
      <c r="BC21" s="202">
        <f>VLOOKUP(A21,ImportDataWA!A$14:AG$112,33,0)</f>
        <v>96.930661239351608</v>
      </c>
      <c r="BD21" s="170">
        <f t="shared" si="61"/>
        <v>0</v>
      </c>
    </row>
    <row r="22" spans="1:56" hidden="1" x14ac:dyDescent="0.25">
      <c r="A22" s="192" t="s">
        <v>398</v>
      </c>
      <c r="B22" s="189" t="str">
        <f>VLOOKUP($A22,MainData!$A$4:$E$1967,2,FALSE)</f>
        <v>Inactive</v>
      </c>
      <c r="C22" s="189" t="str">
        <f>VLOOKUP($A22,MainData!$A$4:$E$1967,3,FALSE)</f>
        <v>Inactive</v>
      </c>
      <c r="D22" s="189" t="str">
        <f>VLOOKUP($A22,MainData!$A$4:$E$1967,4,FALSE)</f>
        <v>Dewaniya</v>
      </c>
      <c r="E22" s="189" t="str">
        <f>VLOOKUP($A22,MainData!$A$4:$E$1967,5,FALSE)</f>
        <v>Inactive</v>
      </c>
      <c r="F22" s="11">
        <f>SUMIFS(MainData!G:G,MainData!$A:$A,$A22)</f>
        <v>0</v>
      </c>
      <c r="G22" s="11">
        <f t="shared" si="22"/>
        <v>0</v>
      </c>
      <c r="H22" s="53">
        <f t="shared" si="2"/>
        <v>0</v>
      </c>
      <c r="I22" s="10">
        <f>SUMIFS(MainData!F:F,MainData!$A:$A,$A22)</f>
        <v>0</v>
      </c>
      <c r="J22" s="10">
        <f t="shared" si="23"/>
        <v>0</v>
      </c>
      <c r="K22" s="53">
        <f t="shared" si="3"/>
        <v>0</v>
      </c>
      <c r="L22" s="11">
        <f>SUMIFS(MainData!K:K,MainData!$A:$A,$A22)</f>
        <v>0</v>
      </c>
      <c r="M22" s="11">
        <f t="shared" si="24"/>
        <v>0</v>
      </c>
      <c r="N22" s="53">
        <f t="shared" si="4"/>
        <v>0</v>
      </c>
      <c r="O22" s="256">
        <f>SUMIFS(MainData!J:J,MainData!$A:$A,$A22)</f>
        <v>0</v>
      </c>
      <c r="P22" s="10">
        <f>IF($B22=$B$4,0,IF($B22=$B$1,VLOOKUP(D22,Target_Entry!$A$8:$AF$23,5,0),IF(LO!B22=LO!$B$2,VLOOKUP(LO!D22,Target_Entry!$A$8:$AF$23,25,0),IF(LO!B22=LO!$B$3,VLOOKUP(LO!D22,Target_Entry!$A$8:$AF$23,15,0)))))</f>
        <v>0</v>
      </c>
      <c r="Q22" s="53">
        <f t="shared" si="5"/>
        <v>0</v>
      </c>
      <c r="R22" s="10">
        <f>SUMIFS(MainData!J:J,MainData!$A:$A,$A22)</f>
        <v>0</v>
      </c>
      <c r="S22" s="10">
        <f>SUMIFS(MainData!M:M,MainData!$A:$A,$A22)</f>
        <v>0</v>
      </c>
      <c r="T22" s="53">
        <f t="shared" si="6"/>
        <v>0</v>
      </c>
      <c r="U22" s="10">
        <f>SUMIFS(MainData!L:L,MainData!$A:$A,$A22)</f>
        <v>0</v>
      </c>
      <c r="V22" s="12">
        <f t="shared" si="7"/>
        <v>0</v>
      </c>
      <c r="W22" s="10">
        <f>SUMIFS(MainData!F:F,MainData!$A:$A,$A22)</f>
        <v>0</v>
      </c>
      <c r="X22" s="12">
        <f t="shared" si="8"/>
        <v>0</v>
      </c>
      <c r="Y22" s="11">
        <f>SUMIFS(MainData!H:H,MainData!$A:$A,$A22)</f>
        <v>0</v>
      </c>
      <c r="Z22" s="12">
        <f t="shared" si="9"/>
        <v>0</v>
      </c>
      <c r="AA22" s="11">
        <f>SUMIFS(MainData!I:I,MainData!$A:$A,$A22)</f>
        <v>0</v>
      </c>
      <c r="AB22" s="12">
        <f t="shared" si="10"/>
        <v>0</v>
      </c>
      <c r="AC22" s="182"/>
      <c r="AD22" s="18">
        <f t="shared" si="11"/>
        <v>0</v>
      </c>
      <c r="AE22" s="18">
        <f t="shared" si="12"/>
        <v>0</v>
      </c>
      <c r="AF22" s="18">
        <f t="shared" si="13"/>
        <v>0</v>
      </c>
      <c r="AG22" s="18">
        <f t="shared" si="14"/>
        <v>0</v>
      </c>
      <c r="AH22" s="18">
        <f t="shared" si="15"/>
        <v>15</v>
      </c>
      <c r="AI22" s="18">
        <f t="shared" si="16"/>
        <v>37.5</v>
      </c>
      <c r="AJ22" s="18">
        <f t="shared" si="17"/>
        <v>0</v>
      </c>
      <c r="AK22" s="18">
        <f t="shared" si="18"/>
        <v>0</v>
      </c>
      <c r="AL22" s="18">
        <f t="shared" si="19"/>
        <v>0</v>
      </c>
      <c r="AM22" s="36">
        <f t="shared" si="20"/>
        <v>53</v>
      </c>
      <c r="AN22" s="36">
        <f t="shared" si="21"/>
        <v>0</v>
      </c>
      <c r="AO22" s="183"/>
      <c r="AP22" s="184"/>
      <c r="AQ22" s="184"/>
      <c r="AR22" s="28"/>
      <c r="AS22" s="28"/>
      <c r="AT22" s="163"/>
      <c r="AU22" s="28"/>
      <c r="AV22" s="147"/>
      <c r="AW22" s="147"/>
      <c r="AX22" s="148"/>
      <c r="AY22" s="167"/>
      <c r="AZ22" s="167"/>
      <c r="BB22" s="170"/>
      <c r="BC22" s="202"/>
    </row>
    <row r="23" spans="1:56" hidden="1" x14ac:dyDescent="0.25">
      <c r="A23" s="198" t="s">
        <v>31</v>
      </c>
      <c r="B23" s="9" t="str">
        <f>VLOOKUP($A23,MainData!$A$4:$E$1967,2,FALSE)</f>
        <v>VSE</v>
      </c>
      <c r="C23" s="9" t="str">
        <f>VLOOKUP($A23,MainData!$A$4:$E$1967,3,FALSE)</f>
        <v>Amer Ahmed AbdulWahid</v>
      </c>
      <c r="D23" s="9" t="str">
        <f>VLOOKUP($A23,MainData!$A$4:$E$1967,4,FALSE)</f>
        <v>Dewaniya</v>
      </c>
      <c r="E23" s="9" t="str">
        <f>VLOOKUP($A23,MainData!$A$4:$E$1967,5,FALSE)</f>
        <v>Hayder Hashim Mohammed</v>
      </c>
      <c r="F23" s="11">
        <f>SUMIFS(MainData!G:G,MainData!$A:$A,$A23)</f>
        <v>1359741.0045703396</v>
      </c>
      <c r="G23" s="11">
        <f t="shared" si="22"/>
        <v>777777.77777777775</v>
      </c>
      <c r="H23" s="53">
        <f t="shared" si="2"/>
        <v>1.7482384344475794</v>
      </c>
      <c r="I23" s="10">
        <f>SUMIFS(MainData!F:F,MainData!$A:$A,$A23)</f>
        <v>222</v>
      </c>
      <c r="J23" s="10">
        <f t="shared" si="23"/>
        <v>889</v>
      </c>
      <c r="K23" s="53">
        <f t="shared" si="3"/>
        <v>0.24971878515185603</v>
      </c>
      <c r="L23" s="11">
        <f>SUMIFS(MainData!K:K,MainData!$A:$A,$A23)</f>
        <v>99696.969696969667</v>
      </c>
      <c r="M23" s="11">
        <f t="shared" si="24"/>
        <v>79545.45</v>
      </c>
      <c r="N23" s="53">
        <f t="shared" si="4"/>
        <v>1.2533334049523848</v>
      </c>
      <c r="O23" s="256">
        <f>SUMIFS(MainData!J:J,MainData!$A:$A,$A23)</f>
        <v>10</v>
      </c>
      <c r="P23" s="10">
        <f>IF($B23=$B$4,0,IF($B23=$B$1,VLOOKUP(D23,Target_Entry!$A$8:$AF$23,5,0),IF(LO!B23=LO!$B$2,VLOOKUP(LO!D23,Target_Entry!$A$8:$AF$23,25,0),IF(LO!B23=LO!$B$3,VLOOKUP(LO!D23,Target_Entry!$A$8:$AF$23,15,0)))))</f>
        <v>8</v>
      </c>
      <c r="Q23" s="53">
        <f t="shared" si="5"/>
        <v>1.25</v>
      </c>
      <c r="R23" s="10">
        <f>SUMIFS(MainData!J:J,MainData!$A:$A,$A23)</f>
        <v>10</v>
      </c>
      <c r="S23" s="10">
        <f>SUMIFS(MainData!M:M,MainData!$A:$A,$A23)</f>
        <v>8</v>
      </c>
      <c r="T23" s="53">
        <f t="shared" si="6"/>
        <v>0.8</v>
      </c>
      <c r="U23" s="10">
        <f>SUMIFS(MainData!L:L,MainData!$A:$A,$A23)</f>
        <v>3</v>
      </c>
      <c r="V23" s="12">
        <f t="shared" si="7"/>
        <v>0.3</v>
      </c>
      <c r="W23" s="10">
        <f>SUMIFS(MainData!F:F,MainData!$A:$A,$A23)</f>
        <v>222</v>
      </c>
      <c r="X23" s="12">
        <f t="shared" si="8"/>
        <v>0.88800000000000001</v>
      </c>
      <c r="Y23" s="11">
        <f>SUMIFS(MainData!H:H,MainData!$A:$A,$A23)</f>
        <v>48713.558420306515</v>
      </c>
      <c r="Z23" s="12">
        <f t="shared" si="9"/>
        <v>3.5825615508079327E-2</v>
      </c>
      <c r="AA23" s="11">
        <f>SUMIFS(MainData!I:I,MainData!$A:$A,$A23)</f>
        <v>19931.356371212121</v>
      </c>
      <c r="AB23" s="231">
        <f t="shared" si="10"/>
        <v>1.4658200572181883E-2</v>
      </c>
      <c r="AC23" s="182"/>
      <c r="AD23" s="18">
        <f t="shared" si="11"/>
        <v>10</v>
      </c>
      <c r="AE23" s="18">
        <f t="shared" si="12"/>
        <v>0</v>
      </c>
      <c r="AF23" s="18">
        <f t="shared" si="13"/>
        <v>45</v>
      </c>
      <c r="AG23" s="18">
        <f t="shared" si="14"/>
        <v>0</v>
      </c>
      <c r="AH23" s="18">
        <f t="shared" si="15"/>
        <v>4.2523153475762037</v>
      </c>
      <c r="AI23" s="18">
        <f t="shared" si="16"/>
        <v>33.835449856954526</v>
      </c>
      <c r="AJ23" s="18">
        <f t="shared" si="17"/>
        <v>3.88</v>
      </c>
      <c r="AK23" s="18">
        <f t="shared" si="18"/>
        <v>5</v>
      </c>
      <c r="AL23" s="18">
        <f t="shared" si="19"/>
        <v>5</v>
      </c>
      <c r="AM23" s="36">
        <f t="shared" si="20"/>
        <v>107</v>
      </c>
      <c r="AN23" s="36">
        <f t="shared" si="21"/>
        <v>107</v>
      </c>
      <c r="AO23" s="183">
        <v>1010</v>
      </c>
      <c r="AP23" s="184">
        <v>90</v>
      </c>
      <c r="AQ23" s="184">
        <v>241</v>
      </c>
      <c r="AR23" s="28">
        <f t="shared" ref="AR23:AR28" si="62">SUM(AO23:AQ23)</f>
        <v>1341</v>
      </c>
      <c r="AS23" s="28">
        <f t="shared" ref="AS23:AS28" si="63">IF(AO23&gt;0,ROUNDUP($AO23*AS$3,0),0)</f>
        <v>808</v>
      </c>
      <c r="AT23" s="163">
        <f t="shared" ref="AT23:AT28" si="64">AR23-AS23</f>
        <v>533</v>
      </c>
      <c r="AU23" s="28">
        <f t="shared" ref="AU23:AU28" si="65">IF(AO23&gt;0,ROUND(AN23/$AN$1*AU$3,0),0)</f>
        <v>696</v>
      </c>
      <c r="AV23" s="147">
        <f t="shared" ref="AV23:AV28" si="66">AU23+AS23</f>
        <v>1504</v>
      </c>
      <c r="AW23" s="147">
        <f t="shared" ref="AW23:AW28" si="67">AV23-AR23</f>
        <v>163</v>
      </c>
      <c r="AX23" s="148">
        <f t="shared" ref="AX23:AX28" si="68">IFERROR(AV23/AR23,0)</f>
        <v>1.1215510812826248</v>
      </c>
      <c r="AY23" s="167">
        <f>AU23</f>
        <v>696</v>
      </c>
      <c r="AZ23" s="167">
        <f>IF(O23&lt;18,IF(AND(I23&gt;0,I23&lt;=60),60,IF(AND(I23&gt;60,I23&lt;=120),70,IF(AND(I23&gt;120,I23&lt;=200),80,IF(I23&gt;200,90,0)))),IF(O23&gt;=18,IF(AND(I23&gt;0,I23&lt;=60),70,IF(AND(I23&gt;60,I23&lt;=120),80,IF(AND(I23&gt;120,I23&lt;=200),90,100)))))</f>
        <v>90</v>
      </c>
      <c r="BB23" s="170">
        <f t="shared" ref="BB23:BB28" si="69">AU23-AY23</f>
        <v>0</v>
      </c>
      <c r="BC23" s="202">
        <f>VLOOKUP(A23,ImportDataWA!A$14:AG$112,33,0)</f>
        <v>98.023684017606726</v>
      </c>
      <c r="BD23" s="170">
        <f t="shared" ref="BD23:BD28" si="70">AU23-AY23</f>
        <v>0</v>
      </c>
    </row>
    <row r="24" spans="1:56" hidden="1" x14ac:dyDescent="0.25">
      <c r="A24" s="195" t="s">
        <v>93</v>
      </c>
      <c r="B24" s="9" t="str">
        <f>VLOOKUP($A24,MainData!$A$4:$E$1967,2,FALSE)</f>
        <v>Micro</v>
      </c>
      <c r="C24" s="9" t="str">
        <f>VLOOKUP($A24,MainData!$A$4:$E$1967,3,FALSE)</f>
        <v>Rashad Hadi Lafta</v>
      </c>
      <c r="D24" s="9" t="str">
        <f>VLOOKUP($A24,MainData!$A$4:$E$1967,4,FALSE)</f>
        <v>Dewaniya</v>
      </c>
      <c r="E24" s="9" t="str">
        <f>VLOOKUP($A24,MainData!$A$4:$E$1967,5,FALSE)</f>
        <v>Hayder Hashim Mohammed</v>
      </c>
      <c r="F24" s="11">
        <f>SUMIFS(MainData!G:G,MainData!$A:$A,$A24)</f>
        <v>815910.42772995715</v>
      </c>
      <c r="G24" s="11">
        <f t="shared" si="22"/>
        <v>333333.33333333331</v>
      </c>
      <c r="H24" s="53">
        <f t="shared" si="2"/>
        <v>2.4477312831898717</v>
      </c>
      <c r="I24" s="10">
        <f>SUMIFS(MainData!F:F,MainData!$A:$A,$A24)</f>
        <v>288</v>
      </c>
      <c r="J24" s="10">
        <f t="shared" si="23"/>
        <v>400</v>
      </c>
      <c r="K24" s="53">
        <f t="shared" si="3"/>
        <v>0.72</v>
      </c>
      <c r="L24" s="11">
        <f>SUMIFS(MainData!K:K,MainData!$A:$A,$A24)</f>
        <v>76136.363636363632</v>
      </c>
      <c r="M24" s="11">
        <f t="shared" si="24"/>
        <v>56818.18</v>
      </c>
      <c r="N24" s="53">
        <f t="shared" si="4"/>
        <v>1.3400000428800012</v>
      </c>
      <c r="O24" s="256">
        <f>SUMIFS(MainData!J:J,MainData!$A:$A,$A24)</f>
        <v>12</v>
      </c>
      <c r="P24" s="10">
        <f>IF($B24=$B$4,0,IF($B24=$B$1,VLOOKUP(D24,Target_Entry!$A$8:$AF$23,5,0),IF(LO!B24=LO!$B$2,VLOOKUP(LO!D24,Target_Entry!$A$8:$AF$23,25,0),IF(LO!B24=LO!$B$3,VLOOKUP(LO!D24,Target_Entry!$A$8:$AF$23,15,0)))))</f>
        <v>15</v>
      </c>
      <c r="Q24" s="53">
        <f t="shared" si="5"/>
        <v>0.8</v>
      </c>
      <c r="R24" s="10">
        <f>SUMIFS(MainData!J:J,MainData!$A:$A,$A24)</f>
        <v>12</v>
      </c>
      <c r="S24" s="10">
        <f>SUMIFS(MainData!M:M,MainData!$A:$A,$A24)</f>
        <v>6</v>
      </c>
      <c r="T24" s="53">
        <f t="shared" si="6"/>
        <v>0.5</v>
      </c>
      <c r="U24" s="10">
        <f>SUMIFS(MainData!L:L,MainData!$A:$A,$A24)</f>
        <v>8</v>
      </c>
      <c r="V24" s="12">
        <f t="shared" si="7"/>
        <v>0.66666666666666663</v>
      </c>
      <c r="W24" s="10">
        <f>SUMIFS(MainData!F:F,MainData!$A:$A,$A24)</f>
        <v>288</v>
      </c>
      <c r="X24" s="12">
        <f t="shared" si="8"/>
        <v>1.1519999999999999</v>
      </c>
      <c r="Y24" s="11">
        <f>SUMIFS(MainData!H:H,MainData!$A:$A,$A24)</f>
        <v>1624.3201060606061</v>
      </c>
      <c r="Z24" s="12">
        <f t="shared" si="9"/>
        <v>1.9908068960214458E-3</v>
      </c>
      <c r="AA24" s="11">
        <f>SUMIFS(MainData!I:I,MainData!$A:$A,$A24)</f>
        <v>1686.4948106060606</v>
      </c>
      <c r="AB24" s="12">
        <f t="shared" si="10"/>
        <v>2.0670097516687722E-3</v>
      </c>
      <c r="AC24" s="182"/>
      <c r="AD24" s="18">
        <f t="shared" si="11"/>
        <v>10</v>
      </c>
      <c r="AE24" s="18">
        <f t="shared" si="12"/>
        <v>0</v>
      </c>
      <c r="AF24" s="18">
        <f t="shared" si="13"/>
        <v>45</v>
      </c>
      <c r="AG24" s="18">
        <f t="shared" si="14"/>
        <v>0</v>
      </c>
      <c r="AH24" s="18">
        <f t="shared" si="15"/>
        <v>14.402757931193566</v>
      </c>
      <c r="AI24" s="18">
        <f t="shared" si="16"/>
        <v>36.983247562082809</v>
      </c>
      <c r="AJ24" s="18">
        <f t="shared" si="17"/>
        <v>5</v>
      </c>
      <c r="AK24" s="18">
        <f t="shared" si="18"/>
        <v>2.9999999999999991</v>
      </c>
      <c r="AL24" s="18">
        <f t="shared" si="19"/>
        <v>5</v>
      </c>
      <c r="AM24" s="36">
        <f t="shared" si="20"/>
        <v>119</v>
      </c>
      <c r="AN24" s="36">
        <f t="shared" si="21"/>
        <v>119</v>
      </c>
      <c r="AO24" s="183">
        <v>763</v>
      </c>
      <c r="AP24" s="184">
        <v>201</v>
      </c>
      <c r="AQ24" s="184">
        <v>318</v>
      </c>
      <c r="AR24" s="28">
        <f t="shared" si="62"/>
        <v>1282</v>
      </c>
      <c r="AS24" s="28">
        <f t="shared" si="63"/>
        <v>611</v>
      </c>
      <c r="AT24" s="163">
        <f t="shared" si="64"/>
        <v>671</v>
      </c>
      <c r="AU24" s="28">
        <f t="shared" si="65"/>
        <v>774</v>
      </c>
      <c r="AV24" s="147">
        <f t="shared" si="66"/>
        <v>1385</v>
      </c>
      <c r="AW24" s="147">
        <f t="shared" si="67"/>
        <v>103</v>
      </c>
      <c r="AX24" s="148">
        <f t="shared" si="68"/>
        <v>1.0803432137285491</v>
      </c>
      <c r="AY24" s="167">
        <f t="shared" ref="AY24:AY28" si="71">AU24</f>
        <v>774</v>
      </c>
      <c r="AZ24" s="167">
        <f t="shared" ref="AZ24:AZ28" si="72">IF(O24&lt;18,IF(AND(I24&gt;0,I24&lt;=60),60,IF(AND(I24&gt;60,I24&lt;=120),70,IF(AND(I24&gt;120,I24&lt;=200),80,IF(I24&gt;200,90,0)))),IF(O24&gt;=18,IF(AND(I24&gt;0,I24&lt;=60),70,IF(AND(I24&gt;60,I24&lt;=120),80,IF(AND(I24&gt;120,I24&lt;=200),90,100)))))</f>
        <v>90</v>
      </c>
      <c r="BB24" s="170">
        <f t="shared" si="69"/>
        <v>0</v>
      </c>
      <c r="BC24" s="202">
        <f>VLOOKUP(A24,ImportDataWA!A$14:AG$112,33,0)</f>
        <v>99.758809700861761</v>
      </c>
      <c r="BD24" s="170">
        <f t="shared" si="70"/>
        <v>0</v>
      </c>
    </row>
    <row r="25" spans="1:56" hidden="1" x14ac:dyDescent="0.25">
      <c r="A25" s="197" t="s">
        <v>49</v>
      </c>
      <c r="B25" s="9" t="e">
        <f>VLOOKUP($A25,MainData!$A$4:$E$1967,2,FALSE)</f>
        <v>#N/A</v>
      </c>
      <c r="C25" s="9" t="e">
        <f>VLOOKUP($A25,MainData!$A$4:$E$1967,3,FALSE)</f>
        <v>#N/A</v>
      </c>
      <c r="D25" s="9" t="e">
        <f>VLOOKUP($A25,MainData!$A$4:$E$1967,4,FALSE)</f>
        <v>#N/A</v>
      </c>
      <c r="E25" s="9" t="e">
        <f>VLOOKUP($A25,MainData!$A$4:$E$1967,5,FALSE)</f>
        <v>#N/A</v>
      </c>
      <c r="F25" s="11">
        <f>SUMIFS(MainData!G:G,MainData!$A:$A,$A25)</f>
        <v>0</v>
      </c>
      <c r="G25" s="11" t="e">
        <f t="shared" si="22"/>
        <v>#N/A</v>
      </c>
      <c r="H25" s="53">
        <f t="shared" si="2"/>
        <v>0</v>
      </c>
      <c r="I25" s="10">
        <f>SUMIFS(MainData!F:F,MainData!$A:$A,$A25)</f>
        <v>0</v>
      </c>
      <c r="J25" s="10" t="e">
        <f t="shared" si="23"/>
        <v>#N/A</v>
      </c>
      <c r="K25" s="53">
        <f t="shared" si="3"/>
        <v>0</v>
      </c>
      <c r="L25" s="11">
        <f>SUMIFS(MainData!K:K,MainData!$A:$A,$A25)</f>
        <v>0</v>
      </c>
      <c r="M25" s="11" t="e">
        <f t="shared" si="24"/>
        <v>#N/A</v>
      </c>
      <c r="N25" s="53">
        <f t="shared" si="4"/>
        <v>0</v>
      </c>
      <c r="O25" s="256">
        <f>SUMIFS(MainData!J:J,MainData!$A:$A,$A25)</f>
        <v>0</v>
      </c>
      <c r="P25" s="10" t="e">
        <f>IF($B25=$B$4,0,IF($B25=$B$1,VLOOKUP(D25,Target_Entry!$A$8:$AF$23,5,0),IF(LO!B25=LO!$B$2,VLOOKUP(LO!D25,Target_Entry!$A$8:$AF$23,25,0),IF(LO!B25=LO!$B$3,VLOOKUP(LO!D25,Target_Entry!$A$8:$AF$23,15,0)))))</f>
        <v>#N/A</v>
      </c>
      <c r="Q25" s="53">
        <f t="shared" si="5"/>
        <v>0</v>
      </c>
      <c r="R25" s="10">
        <f>SUMIFS(MainData!J:J,MainData!$A:$A,$A25)</f>
        <v>0</v>
      </c>
      <c r="S25" s="10">
        <f>SUMIFS(MainData!M:M,MainData!$A:$A,$A25)</f>
        <v>0</v>
      </c>
      <c r="T25" s="53">
        <f t="shared" si="6"/>
        <v>0</v>
      </c>
      <c r="U25" s="10">
        <f>SUMIFS(MainData!L:L,MainData!$A:$A,$A25)</f>
        <v>0</v>
      </c>
      <c r="V25" s="12">
        <f t="shared" si="7"/>
        <v>0</v>
      </c>
      <c r="W25" s="10">
        <f>SUMIFS(MainData!F:F,MainData!$A:$A,$A25)</f>
        <v>0</v>
      </c>
      <c r="X25" s="12" t="e">
        <f t="shared" si="8"/>
        <v>#N/A</v>
      </c>
      <c r="Y25" s="11">
        <f>SUMIFS(MainData!H:H,MainData!$A:$A,$A25)</f>
        <v>0</v>
      </c>
      <c r="Z25" s="12">
        <f t="shared" si="9"/>
        <v>0</v>
      </c>
      <c r="AA25" s="11">
        <f>SUMIFS(MainData!I:I,MainData!$A:$A,$A25)</f>
        <v>0</v>
      </c>
      <c r="AB25" s="12">
        <f t="shared" si="10"/>
        <v>0</v>
      </c>
      <c r="AC25" s="182"/>
      <c r="AD25" s="18">
        <f t="shared" si="11"/>
        <v>0</v>
      </c>
      <c r="AE25" s="18">
        <f t="shared" si="12"/>
        <v>0</v>
      </c>
      <c r="AF25" s="18">
        <f t="shared" si="13"/>
        <v>0</v>
      </c>
      <c r="AG25" s="18">
        <f t="shared" si="14"/>
        <v>0</v>
      </c>
      <c r="AH25" s="18">
        <f t="shared" si="15"/>
        <v>15</v>
      </c>
      <c r="AI25" s="18">
        <f t="shared" si="16"/>
        <v>37.5</v>
      </c>
      <c r="AJ25" s="18" t="e">
        <f t="shared" si="17"/>
        <v>#N/A</v>
      </c>
      <c r="AK25" s="18">
        <f t="shared" si="18"/>
        <v>0</v>
      </c>
      <c r="AL25" s="18">
        <f t="shared" si="19"/>
        <v>0</v>
      </c>
      <c r="AM25" s="36" t="e">
        <f t="shared" si="20"/>
        <v>#N/A</v>
      </c>
      <c r="AN25" s="36">
        <f t="shared" si="21"/>
        <v>0</v>
      </c>
      <c r="AO25" s="183">
        <v>715</v>
      </c>
      <c r="AP25" s="184">
        <v>0</v>
      </c>
      <c r="AQ25" s="184">
        <v>0</v>
      </c>
      <c r="AR25" s="28">
        <f t="shared" si="62"/>
        <v>715</v>
      </c>
      <c r="AS25" s="28">
        <f t="shared" si="63"/>
        <v>572</v>
      </c>
      <c r="AT25" s="163">
        <f t="shared" si="64"/>
        <v>143</v>
      </c>
      <c r="AU25" s="28">
        <f t="shared" si="65"/>
        <v>0</v>
      </c>
      <c r="AV25" s="147">
        <f t="shared" si="66"/>
        <v>572</v>
      </c>
      <c r="AW25" s="147">
        <f t="shared" si="67"/>
        <v>-143</v>
      </c>
      <c r="AX25" s="148">
        <f t="shared" si="68"/>
        <v>0.8</v>
      </c>
      <c r="AY25" s="167">
        <f t="shared" si="71"/>
        <v>0</v>
      </c>
      <c r="AZ25" s="167">
        <f t="shared" si="72"/>
        <v>0</v>
      </c>
      <c r="BB25" s="170">
        <f t="shared" si="69"/>
        <v>0</v>
      </c>
      <c r="BC25" s="202" t="e">
        <f>VLOOKUP(A25,ImportDataWA!A$14:AG$112,33,0)</f>
        <v>#N/A</v>
      </c>
      <c r="BD25" s="170">
        <f t="shared" si="70"/>
        <v>0</v>
      </c>
    </row>
    <row r="26" spans="1:56" hidden="1" x14ac:dyDescent="0.25">
      <c r="A26" s="195" t="s">
        <v>66</v>
      </c>
      <c r="B26" s="9" t="str">
        <f>VLOOKUP($A26,MainData!$A$4:$E$1967,2,FALSE)</f>
        <v>Micro</v>
      </c>
      <c r="C26" s="9" t="str">
        <f>VLOOKUP($A26,MainData!$A$4:$E$1967,3,FALSE)</f>
        <v>Rashad Hadi Lafta</v>
      </c>
      <c r="D26" s="9" t="str">
        <f>VLOOKUP($A26,MainData!$A$4:$E$1967,4,FALSE)</f>
        <v>Dewaniya</v>
      </c>
      <c r="E26" s="9" t="str">
        <f>VLOOKUP($A26,MainData!$A$4:$E$1967,5,FALSE)</f>
        <v>Hayder Hashim Mohammed</v>
      </c>
      <c r="F26" s="11">
        <f>SUMIFS(MainData!G:G,MainData!$A:$A,$A26)</f>
        <v>747265.09804629837</v>
      </c>
      <c r="G26" s="11">
        <f t="shared" si="22"/>
        <v>333333.33333333331</v>
      </c>
      <c r="H26" s="53">
        <f t="shared" si="2"/>
        <v>2.2417952941388952</v>
      </c>
      <c r="I26" s="10">
        <f>SUMIFS(MainData!F:F,MainData!$A:$A,$A26)</f>
        <v>318</v>
      </c>
      <c r="J26" s="10">
        <f t="shared" si="23"/>
        <v>400</v>
      </c>
      <c r="K26" s="53">
        <f t="shared" si="3"/>
        <v>0.79500000000000004</v>
      </c>
      <c r="L26" s="11">
        <f>SUMIFS(MainData!K:K,MainData!$A:$A,$A26)</f>
        <v>50757.575757575774</v>
      </c>
      <c r="M26" s="11">
        <f t="shared" si="24"/>
        <v>56818.18</v>
      </c>
      <c r="N26" s="53">
        <f t="shared" si="4"/>
        <v>0.89333336192000123</v>
      </c>
      <c r="O26" s="256">
        <f>SUMIFS(MainData!J:J,MainData!$A:$A,$A26)</f>
        <v>13</v>
      </c>
      <c r="P26" s="10">
        <f>IF($B26=$B$4,0,IF($B26=$B$1,VLOOKUP(D26,Target_Entry!$A$8:$AF$23,5,0),IF(LO!B26=LO!$B$2,VLOOKUP(LO!D26,Target_Entry!$A$8:$AF$23,25,0),IF(LO!B26=LO!$B$3,VLOOKUP(LO!D26,Target_Entry!$A$8:$AF$23,15,0)))))</f>
        <v>15</v>
      </c>
      <c r="Q26" s="53">
        <f t="shared" si="5"/>
        <v>0.8666666666666667</v>
      </c>
      <c r="R26" s="10">
        <f>SUMIFS(MainData!J:J,MainData!$A:$A,$A26)</f>
        <v>13</v>
      </c>
      <c r="S26" s="10">
        <f>SUMIFS(MainData!M:M,MainData!$A:$A,$A26)</f>
        <v>9</v>
      </c>
      <c r="T26" s="53">
        <f t="shared" si="6"/>
        <v>0.69230769230769229</v>
      </c>
      <c r="U26" s="10">
        <f>SUMIFS(MainData!L:L,MainData!$A:$A,$A26)</f>
        <v>9</v>
      </c>
      <c r="V26" s="12">
        <f t="shared" si="7"/>
        <v>0.69230769230769229</v>
      </c>
      <c r="W26" s="10">
        <f>SUMIFS(MainData!F:F,MainData!$A:$A,$A26)</f>
        <v>318</v>
      </c>
      <c r="X26" s="12">
        <f t="shared" si="8"/>
        <v>1.272</v>
      </c>
      <c r="Y26" s="11">
        <f>SUMIFS(MainData!H:H,MainData!$A:$A,$A26)</f>
        <v>70848.077049142245</v>
      </c>
      <c r="Z26" s="12">
        <f t="shared" si="9"/>
        <v>9.4809830185261387E-2</v>
      </c>
      <c r="AA26" s="11">
        <f>SUMIFS(MainData!I:I,MainData!$A:$A,$A26)</f>
        <v>41307.697046770656</v>
      </c>
      <c r="AB26" s="12">
        <f t="shared" si="10"/>
        <v>5.5278504448780443E-2</v>
      </c>
      <c r="AC26" s="182"/>
      <c r="AD26" s="18">
        <f t="shared" si="11"/>
        <v>10</v>
      </c>
      <c r="AE26" s="18">
        <f t="shared" si="12"/>
        <v>0</v>
      </c>
      <c r="AF26" s="18">
        <f t="shared" si="13"/>
        <v>19.333336192000115</v>
      </c>
      <c r="AG26" s="18">
        <f t="shared" si="14"/>
        <v>0</v>
      </c>
      <c r="AH26" s="18">
        <f t="shared" si="15"/>
        <v>0</v>
      </c>
      <c r="AI26" s="18">
        <f t="shared" si="16"/>
        <v>23.680373887804887</v>
      </c>
      <c r="AJ26" s="18">
        <f t="shared" si="17"/>
        <v>5</v>
      </c>
      <c r="AK26" s="18">
        <f t="shared" si="18"/>
        <v>4.9230769230769234</v>
      </c>
      <c r="AL26" s="18">
        <f t="shared" si="19"/>
        <v>5</v>
      </c>
      <c r="AM26" s="36">
        <f t="shared" si="20"/>
        <v>68</v>
      </c>
      <c r="AN26" s="36">
        <f t="shared" si="21"/>
        <v>0</v>
      </c>
      <c r="AO26" s="183">
        <v>715</v>
      </c>
      <c r="AP26" s="184">
        <v>0</v>
      </c>
      <c r="AQ26" s="184">
        <v>0</v>
      </c>
      <c r="AR26" s="28">
        <f t="shared" si="62"/>
        <v>715</v>
      </c>
      <c r="AS26" s="28">
        <f t="shared" si="63"/>
        <v>572</v>
      </c>
      <c r="AT26" s="163">
        <f t="shared" si="64"/>
        <v>143</v>
      </c>
      <c r="AU26" s="28">
        <f t="shared" si="65"/>
        <v>0</v>
      </c>
      <c r="AV26" s="147">
        <f t="shared" si="66"/>
        <v>572</v>
      </c>
      <c r="AW26" s="147">
        <f t="shared" si="67"/>
        <v>-143</v>
      </c>
      <c r="AX26" s="148">
        <f t="shared" si="68"/>
        <v>0.8</v>
      </c>
      <c r="AY26" s="167">
        <f t="shared" si="71"/>
        <v>0</v>
      </c>
      <c r="AZ26" s="167">
        <f t="shared" si="72"/>
        <v>90</v>
      </c>
      <c r="BB26" s="170">
        <f t="shared" si="69"/>
        <v>0</v>
      </c>
      <c r="BC26" s="202">
        <f>VLOOKUP(A26,ImportDataWA!A$14:AG$112,33,0)</f>
        <v>95.6884830436112</v>
      </c>
      <c r="BD26" s="170">
        <f t="shared" si="70"/>
        <v>0</v>
      </c>
    </row>
    <row r="27" spans="1:56" hidden="1" x14ac:dyDescent="0.25">
      <c r="A27" s="230" t="s">
        <v>277</v>
      </c>
      <c r="B27" s="9" t="str">
        <f>VLOOKUP($A27,MainData!$A$4:$E$1967,2,FALSE)</f>
        <v>VSE</v>
      </c>
      <c r="C27" s="9" t="str">
        <f>VLOOKUP($A27,MainData!$A$4:$E$1967,3,FALSE)</f>
        <v>Rashad Hadi Lafta</v>
      </c>
      <c r="D27" s="9" t="str">
        <f>VLOOKUP($A27,MainData!$A$4:$E$1967,4,FALSE)</f>
        <v>Dewaniya</v>
      </c>
      <c r="E27" s="9" t="str">
        <f>VLOOKUP($A27,MainData!$A$4:$E$1967,5,FALSE)</f>
        <v>Hayder Hashim Mohammed</v>
      </c>
      <c r="F27" s="11">
        <f>SUMIFS(MainData!G:G,MainData!$A:$A,$A27)</f>
        <v>941756.28318155557</v>
      </c>
      <c r="G27" s="11">
        <f t="shared" si="22"/>
        <v>777777.77777777775</v>
      </c>
      <c r="H27" s="53">
        <f t="shared" si="2"/>
        <v>1.2108295069477144</v>
      </c>
      <c r="I27" s="10">
        <f>SUMIFS(MainData!F:F,MainData!$A:$A,$A27)</f>
        <v>180</v>
      </c>
      <c r="J27" s="10">
        <f t="shared" si="23"/>
        <v>889</v>
      </c>
      <c r="K27" s="53">
        <f t="shared" si="3"/>
        <v>0.20247469066366705</v>
      </c>
      <c r="L27" s="11">
        <f>SUMIFS(MainData!K:K,MainData!$A:$A,$A27)</f>
        <v>73863.636363636353</v>
      </c>
      <c r="M27" s="11">
        <f t="shared" si="24"/>
        <v>79545.45</v>
      </c>
      <c r="N27" s="53">
        <f t="shared" si="4"/>
        <v>0.92857148163265602</v>
      </c>
      <c r="O27" s="256">
        <f>SUMIFS(MainData!J:J,MainData!$A:$A,$A27)</f>
        <v>9</v>
      </c>
      <c r="P27" s="10">
        <f>IF($B27=$B$4,0,IF($B27=$B$1,VLOOKUP(D27,Target_Entry!$A$8:$AF$23,5,0),IF(LO!B27=LO!$B$2,VLOOKUP(LO!D27,Target_Entry!$A$8:$AF$23,25,0),IF(LO!B27=LO!$B$3,VLOOKUP(LO!D27,Target_Entry!$A$8:$AF$23,15,0)))))</f>
        <v>8</v>
      </c>
      <c r="Q27" s="53">
        <f t="shared" si="5"/>
        <v>1.125</v>
      </c>
      <c r="R27" s="10">
        <f>SUMIFS(MainData!J:J,MainData!$A:$A,$A27)</f>
        <v>9</v>
      </c>
      <c r="S27" s="10">
        <f>SUMIFS(MainData!M:M,MainData!$A:$A,$A27)</f>
        <v>5</v>
      </c>
      <c r="T27" s="53">
        <f t="shared" si="6"/>
        <v>0.55555555555555558</v>
      </c>
      <c r="U27" s="10">
        <f>SUMIFS(MainData!L:L,MainData!$A:$A,$A27)</f>
        <v>3</v>
      </c>
      <c r="V27" s="12">
        <f t="shared" si="7"/>
        <v>0.33333333333333331</v>
      </c>
      <c r="W27" s="10">
        <f>SUMIFS(MainData!F:F,MainData!$A:$A,$A27)</f>
        <v>180</v>
      </c>
      <c r="X27" s="12">
        <f t="shared" si="8"/>
        <v>0.72</v>
      </c>
      <c r="Y27" s="11">
        <f>SUMIFS(MainData!H:H,MainData!$A:$A,$A27)</f>
        <v>25031.233453698485</v>
      </c>
      <c r="Z27" s="12">
        <f t="shared" si="9"/>
        <v>2.6579311336405349E-2</v>
      </c>
      <c r="AA27" s="11">
        <f>SUMIFS(MainData!I:I,MainData!$A:$A,$A27)</f>
        <v>40375.088075757572</v>
      </c>
      <c r="AB27" s="12">
        <f t="shared" si="10"/>
        <v>4.2872119673422873E-2</v>
      </c>
      <c r="AC27" s="182"/>
      <c r="AD27" s="18">
        <f t="shared" si="11"/>
        <v>10</v>
      </c>
      <c r="AE27" s="18">
        <f t="shared" si="12"/>
        <v>0</v>
      </c>
      <c r="AF27" s="18">
        <f t="shared" si="13"/>
        <v>22.857148163265599</v>
      </c>
      <c r="AG27" s="18">
        <f t="shared" si="14"/>
        <v>0</v>
      </c>
      <c r="AH27" s="18">
        <f t="shared" si="15"/>
        <v>7.026206599078396</v>
      </c>
      <c r="AI27" s="18">
        <f t="shared" si="16"/>
        <v>26.781970081644282</v>
      </c>
      <c r="AJ27" s="18">
        <f t="shared" si="17"/>
        <v>2.1999999999999997</v>
      </c>
      <c r="AK27" s="18">
        <f t="shared" si="18"/>
        <v>3.5555555555555562</v>
      </c>
      <c r="AL27" s="18">
        <f t="shared" si="19"/>
        <v>5</v>
      </c>
      <c r="AM27" s="36">
        <f t="shared" si="20"/>
        <v>77</v>
      </c>
      <c r="AN27" s="36">
        <f t="shared" si="21"/>
        <v>77</v>
      </c>
      <c r="AO27" s="183">
        <v>657</v>
      </c>
      <c r="AP27" s="184">
        <v>0</v>
      </c>
      <c r="AQ27" s="184">
        <v>0</v>
      </c>
      <c r="AR27" s="28">
        <f t="shared" si="62"/>
        <v>657</v>
      </c>
      <c r="AS27" s="28">
        <f t="shared" si="63"/>
        <v>526</v>
      </c>
      <c r="AT27" s="163">
        <f t="shared" si="64"/>
        <v>131</v>
      </c>
      <c r="AU27" s="28">
        <f t="shared" si="65"/>
        <v>501</v>
      </c>
      <c r="AV27" s="147">
        <f t="shared" si="66"/>
        <v>1027</v>
      </c>
      <c r="AW27" s="147">
        <f t="shared" si="67"/>
        <v>370</v>
      </c>
      <c r="AX27" s="148">
        <f t="shared" si="68"/>
        <v>1.5631659056316591</v>
      </c>
      <c r="AY27" s="167">
        <f t="shared" si="71"/>
        <v>501</v>
      </c>
      <c r="AZ27" s="167">
        <f t="shared" si="72"/>
        <v>80</v>
      </c>
      <c r="BB27" s="170">
        <f t="shared" si="69"/>
        <v>0</v>
      </c>
      <c r="BC27" s="202">
        <f>VLOOKUP(A27,ImportDataWA!A$14:AG$112,33,0)</f>
        <v>97.251918401508519</v>
      </c>
      <c r="BD27" s="170">
        <f t="shared" si="70"/>
        <v>0</v>
      </c>
    </row>
    <row r="28" spans="1:56" hidden="1" x14ac:dyDescent="0.25">
      <c r="A28" s="195" t="s">
        <v>96</v>
      </c>
      <c r="B28" s="9" t="str">
        <f>VLOOKUP($A28,MainData!$A$4:$E$1967,2,FALSE)</f>
        <v>Inactive</v>
      </c>
      <c r="C28" s="9" t="str">
        <f>VLOOKUP($A28,MainData!$A$4:$E$1967,3,FALSE)</f>
        <v>Inactive</v>
      </c>
      <c r="D28" s="9" t="str">
        <f>VLOOKUP($A28,MainData!$A$4:$E$1967,4,FALSE)</f>
        <v>Dewaniya</v>
      </c>
      <c r="E28" s="9" t="str">
        <f>VLOOKUP($A28,MainData!$A$4:$E$1967,5,FALSE)</f>
        <v>Inactive</v>
      </c>
      <c r="F28" s="11">
        <f>SUMIFS(MainData!G:G,MainData!$A:$A,$A28)</f>
        <v>295145.9180710169</v>
      </c>
      <c r="G28" s="11">
        <f t="shared" si="22"/>
        <v>0</v>
      </c>
      <c r="H28" s="53">
        <f t="shared" si="2"/>
        <v>0</v>
      </c>
      <c r="I28" s="10">
        <f>SUMIFS(MainData!F:F,MainData!$A:$A,$A28)</f>
        <v>82</v>
      </c>
      <c r="J28" s="10">
        <f t="shared" si="23"/>
        <v>0</v>
      </c>
      <c r="K28" s="53">
        <f t="shared" si="3"/>
        <v>0</v>
      </c>
      <c r="L28" s="11">
        <f>SUMIFS(MainData!K:K,MainData!$A:$A,$A28)</f>
        <v>0</v>
      </c>
      <c r="M28" s="11">
        <f t="shared" si="24"/>
        <v>0</v>
      </c>
      <c r="N28" s="53">
        <f t="shared" si="4"/>
        <v>0</v>
      </c>
      <c r="O28" s="256">
        <f>SUMIFS(MainData!J:J,MainData!$A:$A,$A28)</f>
        <v>0</v>
      </c>
      <c r="P28" s="10">
        <f>IF($B28=$B$4,0,IF($B28=$B$1,VLOOKUP(D28,Target_Entry!$A$8:$AF$23,5,0),IF(LO!B28=LO!$B$2,VLOOKUP(LO!D28,Target_Entry!$A$8:$AF$23,25,0),IF(LO!B28=LO!$B$3,VLOOKUP(LO!D28,Target_Entry!$A$8:$AF$23,15,0)))))</f>
        <v>0</v>
      </c>
      <c r="Q28" s="53">
        <f t="shared" si="5"/>
        <v>0</v>
      </c>
      <c r="R28" s="10">
        <f>SUMIFS(MainData!J:J,MainData!$A:$A,$A28)</f>
        <v>0</v>
      </c>
      <c r="S28" s="10">
        <f>SUMIFS(MainData!M:M,MainData!$A:$A,$A28)</f>
        <v>0</v>
      </c>
      <c r="T28" s="53">
        <f t="shared" si="6"/>
        <v>0</v>
      </c>
      <c r="U28" s="10">
        <f>SUMIFS(MainData!L:L,MainData!$A:$A,$A28)</f>
        <v>0</v>
      </c>
      <c r="V28" s="12">
        <f t="shared" si="7"/>
        <v>0</v>
      </c>
      <c r="W28" s="10">
        <f>SUMIFS(MainData!F:F,MainData!$A:$A,$A28)</f>
        <v>82</v>
      </c>
      <c r="X28" s="12">
        <f t="shared" si="8"/>
        <v>0.32800000000000001</v>
      </c>
      <c r="Y28" s="11">
        <f>SUMIFS(MainData!H:H,MainData!$A:$A,$A28)</f>
        <v>100637.51656654532</v>
      </c>
      <c r="Z28" s="12">
        <f t="shared" si="9"/>
        <v>0.3409754646931295</v>
      </c>
      <c r="AA28" s="11">
        <f>SUMIFS(MainData!I:I,MainData!$A:$A,$A28)</f>
        <v>66857.48712568375</v>
      </c>
      <c r="AB28" s="231">
        <f t="shared" si="10"/>
        <v>0.22652350255305498</v>
      </c>
      <c r="AC28" s="182"/>
      <c r="AD28" s="18">
        <f t="shared" si="11"/>
        <v>0</v>
      </c>
      <c r="AE28" s="18">
        <f t="shared" si="12"/>
        <v>0</v>
      </c>
      <c r="AF28" s="18">
        <f t="shared" si="13"/>
        <v>0</v>
      </c>
      <c r="AG28" s="18">
        <f t="shared" si="14"/>
        <v>0</v>
      </c>
      <c r="AH28" s="18">
        <f t="shared" si="15"/>
        <v>0</v>
      </c>
      <c r="AI28" s="18">
        <f t="shared" si="16"/>
        <v>0</v>
      </c>
      <c r="AJ28" s="18">
        <f t="shared" si="17"/>
        <v>0</v>
      </c>
      <c r="AK28" s="18">
        <f t="shared" si="18"/>
        <v>0</v>
      </c>
      <c r="AL28" s="18">
        <f t="shared" si="19"/>
        <v>0</v>
      </c>
      <c r="AM28" s="36">
        <f t="shared" si="20"/>
        <v>0</v>
      </c>
      <c r="AN28" s="36">
        <f t="shared" si="21"/>
        <v>0</v>
      </c>
      <c r="AO28" s="183">
        <v>835</v>
      </c>
      <c r="AP28" s="184">
        <v>0</v>
      </c>
      <c r="AQ28" s="184">
        <v>8</v>
      </c>
      <c r="AR28" s="28">
        <f t="shared" si="62"/>
        <v>843</v>
      </c>
      <c r="AS28" s="28">
        <f t="shared" si="63"/>
        <v>668</v>
      </c>
      <c r="AT28" s="163">
        <f t="shared" si="64"/>
        <v>175</v>
      </c>
      <c r="AU28" s="28">
        <f t="shared" si="65"/>
        <v>0</v>
      </c>
      <c r="AV28" s="147">
        <f t="shared" si="66"/>
        <v>668</v>
      </c>
      <c r="AW28" s="147">
        <f t="shared" si="67"/>
        <v>-175</v>
      </c>
      <c r="AX28" s="148">
        <f t="shared" si="68"/>
        <v>0.79240806642941874</v>
      </c>
      <c r="AY28" s="167">
        <f t="shared" si="71"/>
        <v>0</v>
      </c>
      <c r="AZ28" s="167">
        <f t="shared" si="72"/>
        <v>70</v>
      </c>
      <c r="BB28" s="170">
        <f t="shared" si="69"/>
        <v>0</v>
      </c>
      <c r="BC28" s="202">
        <f>VLOOKUP(A28,ImportDataWA!A$14:AG$112,33,0)</f>
        <v>90.694861936038109</v>
      </c>
      <c r="BD28" s="170">
        <f t="shared" si="70"/>
        <v>0</v>
      </c>
    </row>
    <row r="29" spans="1:56" hidden="1" x14ac:dyDescent="0.25">
      <c r="A29" s="192" t="s">
        <v>419</v>
      </c>
      <c r="B29" s="189" t="str">
        <f>VLOOKUP($A29,MainData!$A$4:$E$1967,2,FALSE)</f>
        <v>Inactive</v>
      </c>
      <c r="C29" s="189" t="str">
        <f>VLOOKUP($A29,MainData!$A$4:$E$1967,3,FALSE)</f>
        <v>Inactive</v>
      </c>
      <c r="D29" s="189" t="str">
        <f>VLOOKUP($A29,MainData!$A$4:$E$1967,4,FALSE)</f>
        <v>Dewaniya</v>
      </c>
      <c r="E29" s="189" t="str">
        <f>VLOOKUP($A29,MainData!$A$4:$E$1967,5,FALSE)</f>
        <v>Inactive</v>
      </c>
      <c r="F29" s="11">
        <f>SUMIFS(MainData!G:G,MainData!$A:$A,$A29)</f>
        <v>0</v>
      </c>
      <c r="G29" s="11">
        <f t="shared" si="22"/>
        <v>0</v>
      </c>
      <c r="H29" s="53">
        <f t="shared" si="2"/>
        <v>0</v>
      </c>
      <c r="I29" s="10">
        <f>SUMIFS(MainData!F:F,MainData!$A:$A,$A29)</f>
        <v>0</v>
      </c>
      <c r="J29" s="10">
        <f t="shared" si="23"/>
        <v>0</v>
      </c>
      <c r="K29" s="53">
        <f t="shared" si="3"/>
        <v>0</v>
      </c>
      <c r="L29" s="11">
        <f>SUMIFS(MainData!K:K,MainData!$A:$A,$A29)</f>
        <v>0</v>
      </c>
      <c r="M29" s="11">
        <f t="shared" si="24"/>
        <v>0</v>
      </c>
      <c r="N29" s="53">
        <f t="shared" si="4"/>
        <v>0</v>
      </c>
      <c r="O29" s="256">
        <f>SUMIFS(MainData!J:J,MainData!$A:$A,$A29)</f>
        <v>0</v>
      </c>
      <c r="P29" s="10">
        <f>IF($B29=$B$4,0,IF($B29=$B$1,VLOOKUP(D29,Target_Entry!$A$8:$AF$23,5,0),IF(LO!B29=LO!$B$2,VLOOKUP(LO!D29,Target_Entry!$A$8:$AF$23,25,0),IF(LO!B29=LO!$B$3,VLOOKUP(LO!D29,Target_Entry!$A$8:$AF$23,15,0)))))</f>
        <v>0</v>
      </c>
      <c r="Q29" s="53">
        <f t="shared" si="5"/>
        <v>0</v>
      </c>
      <c r="R29" s="10">
        <f>SUMIFS(MainData!J:J,MainData!$A:$A,$A29)</f>
        <v>0</v>
      </c>
      <c r="S29" s="10">
        <f>SUMIFS(MainData!M:M,MainData!$A:$A,$A29)</f>
        <v>0</v>
      </c>
      <c r="T29" s="53">
        <f t="shared" si="6"/>
        <v>0</v>
      </c>
      <c r="U29" s="10">
        <f>SUMIFS(MainData!L:L,MainData!$A:$A,$A29)</f>
        <v>0</v>
      </c>
      <c r="V29" s="12">
        <f t="shared" si="7"/>
        <v>0</v>
      </c>
      <c r="W29" s="10">
        <f>SUMIFS(MainData!F:F,MainData!$A:$A,$A29)</f>
        <v>0</v>
      </c>
      <c r="X29" s="12">
        <f t="shared" si="8"/>
        <v>0</v>
      </c>
      <c r="Y29" s="11">
        <f>SUMIFS(MainData!H:H,MainData!$A:$A,$A29)</f>
        <v>0</v>
      </c>
      <c r="Z29" s="12">
        <f t="shared" si="9"/>
        <v>0</v>
      </c>
      <c r="AA29" s="11">
        <f>SUMIFS(MainData!I:I,MainData!$A:$A,$A29)</f>
        <v>0</v>
      </c>
      <c r="AB29" s="12">
        <f t="shared" si="10"/>
        <v>0</v>
      </c>
      <c r="AC29" s="182"/>
      <c r="AD29" s="18">
        <f t="shared" si="11"/>
        <v>0</v>
      </c>
      <c r="AE29" s="18">
        <f t="shared" si="12"/>
        <v>0</v>
      </c>
      <c r="AF29" s="18">
        <f t="shared" si="13"/>
        <v>0</v>
      </c>
      <c r="AG29" s="18">
        <f t="shared" si="14"/>
        <v>0</v>
      </c>
      <c r="AH29" s="18">
        <f t="shared" si="15"/>
        <v>15</v>
      </c>
      <c r="AI29" s="18">
        <f t="shared" si="16"/>
        <v>37.5</v>
      </c>
      <c r="AJ29" s="18">
        <f t="shared" si="17"/>
        <v>0</v>
      </c>
      <c r="AK29" s="18">
        <f t="shared" si="18"/>
        <v>0</v>
      </c>
      <c r="AL29" s="18">
        <f t="shared" si="19"/>
        <v>0</v>
      </c>
      <c r="AM29" s="36">
        <f t="shared" si="20"/>
        <v>53</v>
      </c>
      <c r="AN29" s="36">
        <f t="shared" si="21"/>
        <v>0</v>
      </c>
      <c r="AO29" s="183"/>
      <c r="AP29" s="184"/>
      <c r="AQ29" s="184"/>
      <c r="AR29" s="28"/>
      <c r="AS29" s="28"/>
      <c r="AT29" s="163"/>
      <c r="AU29" s="28"/>
      <c r="AV29" s="147"/>
      <c r="AW29" s="147"/>
      <c r="AX29" s="148"/>
      <c r="AY29" s="167"/>
      <c r="AZ29" s="167"/>
      <c r="BB29" s="170"/>
      <c r="BC29" s="202"/>
    </row>
    <row r="30" spans="1:56" hidden="1" x14ac:dyDescent="0.25">
      <c r="A30" s="195" t="s">
        <v>106</v>
      </c>
      <c r="B30" s="9" t="str">
        <f>VLOOKUP($A30,MainData!$A$4:$E$1967,2,FALSE)</f>
        <v>Micro</v>
      </c>
      <c r="C30" s="9" t="str">
        <f>VLOOKUP($A30,MainData!$A$4:$E$1967,3,FALSE)</f>
        <v>Rashad Hadi Lafta</v>
      </c>
      <c r="D30" s="9" t="str">
        <f>VLOOKUP($A30,MainData!$A$4:$E$1967,4,FALSE)</f>
        <v>Dewaniya</v>
      </c>
      <c r="E30" s="9" t="str">
        <f>VLOOKUP($A30,MainData!$A$4:$E$1967,5,FALSE)</f>
        <v>Hayder Hashim Mohammed</v>
      </c>
      <c r="F30" s="11">
        <f>SUMIFS(MainData!G:G,MainData!$A:$A,$A30)</f>
        <v>903342.08828446979</v>
      </c>
      <c r="G30" s="11">
        <f t="shared" si="22"/>
        <v>333333.33333333331</v>
      </c>
      <c r="H30" s="53">
        <f t="shared" si="2"/>
        <v>2.7100262648534095</v>
      </c>
      <c r="I30" s="10">
        <f>SUMIFS(MainData!F:F,MainData!$A:$A,$A30)</f>
        <v>345</v>
      </c>
      <c r="J30" s="10">
        <f t="shared" si="23"/>
        <v>400</v>
      </c>
      <c r="K30" s="53">
        <f t="shared" si="3"/>
        <v>0.86250000000000004</v>
      </c>
      <c r="L30" s="11">
        <f>SUMIFS(MainData!K:K,MainData!$A:$A,$A30)</f>
        <v>22727.272727272728</v>
      </c>
      <c r="M30" s="11">
        <f t="shared" si="24"/>
        <v>56818.18</v>
      </c>
      <c r="N30" s="53">
        <f t="shared" si="4"/>
        <v>0.40000001280000042</v>
      </c>
      <c r="O30" s="256">
        <f>SUMIFS(MainData!J:J,MainData!$A:$A,$A30)</f>
        <v>1</v>
      </c>
      <c r="P30" s="10">
        <f>IF($B30=$B$4,0,IF($B30=$B$1,VLOOKUP(D30,Target_Entry!$A$8:$AF$23,5,0),IF(LO!B30=LO!$B$2,VLOOKUP(LO!D30,Target_Entry!$A$8:$AF$23,25,0),IF(LO!B30=LO!$B$3,VLOOKUP(LO!D30,Target_Entry!$A$8:$AF$23,15,0)))))</f>
        <v>15</v>
      </c>
      <c r="Q30" s="53">
        <f t="shared" si="5"/>
        <v>6.6666666666666666E-2</v>
      </c>
      <c r="R30" s="10">
        <f>SUMIFS(MainData!J:J,MainData!$A:$A,$A30)</f>
        <v>1</v>
      </c>
      <c r="S30" s="10">
        <f>SUMIFS(MainData!M:M,MainData!$A:$A,$A30)</f>
        <v>1</v>
      </c>
      <c r="T30" s="53">
        <f t="shared" si="6"/>
        <v>1</v>
      </c>
      <c r="U30" s="10">
        <f>SUMIFS(MainData!L:L,MainData!$A:$A,$A30)</f>
        <v>0</v>
      </c>
      <c r="V30" s="12">
        <f t="shared" si="7"/>
        <v>0</v>
      </c>
      <c r="W30" s="10">
        <f>SUMIFS(MainData!F:F,MainData!$A:$A,$A30)</f>
        <v>345</v>
      </c>
      <c r="X30" s="12">
        <f t="shared" si="8"/>
        <v>1.38</v>
      </c>
      <c r="Y30" s="11">
        <f>SUMIFS(MainData!H:H,MainData!$A:$A,$A30)</f>
        <v>35271.478486547203</v>
      </c>
      <c r="Z30" s="12">
        <f t="shared" si="9"/>
        <v>3.904553872114052E-2</v>
      </c>
      <c r="AA30" s="11">
        <f>SUMIFS(MainData!I:I,MainData!$A:$A,$A30)</f>
        <v>36757.515815142484</v>
      </c>
      <c r="AB30" s="12">
        <f t="shared" si="10"/>
        <v>4.0690582551011663E-2</v>
      </c>
      <c r="AC30" s="182"/>
      <c r="AD30" s="18">
        <f t="shared" si="11"/>
        <v>10</v>
      </c>
      <c r="AE30" s="18">
        <f t="shared" si="12"/>
        <v>0</v>
      </c>
      <c r="AF30" s="18">
        <f t="shared" si="13"/>
        <v>0</v>
      </c>
      <c r="AG30" s="18">
        <f t="shared" si="14"/>
        <v>0</v>
      </c>
      <c r="AH30" s="18">
        <f t="shared" si="15"/>
        <v>3.2863383836578457</v>
      </c>
      <c r="AI30" s="18">
        <f t="shared" si="16"/>
        <v>27.327354362247085</v>
      </c>
      <c r="AJ30" s="18">
        <f t="shared" si="17"/>
        <v>5</v>
      </c>
      <c r="AK30" s="18">
        <f t="shared" si="18"/>
        <v>5</v>
      </c>
      <c r="AL30" s="18">
        <f t="shared" si="19"/>
        <v>0</v>
      </c>
      <c r="AM30" s="36">
        <f t="shared" si="20"/>
        <v>51</v>
      </c>
      <c r="AN30" s="36">
        <f t="shared" si="21"/>
        <v>0</v>
      </c>
      <c r="AO30" s="183">
        <v>810</v>
      </c>
      <c r="AP30" s="184">
        <v>0</v>
      </c>
      <c r="AQ30" s="184">
        <v>6</v>
      </c>
      <c r="AR30" s="28">
        <f t="shared" ref="AR30:AR39" si="73">SUM(AO30:AQ30)</f>
        <v>816</v>
      </c>
      <c r="AS30" s="28">
        <f t="shared" ref="AS30:AS39" si="74">IF(AO30&gt;0,ROUNDUP($AO30*AS$3,0),0)</f>
        <v>648</v>
      </c>
      <c r="AT30" s="163">
        <f t="shared" ref="AT30:AT39" si="75">AR30-AS30</f>
        <v>168</v>
      </c>
      <c r="AU30" s="28">
        <f>IF(AO30&gt;0,ROUND(AN30/$AN$1*AU$3,0),0)</f>
        <v>0</v>
      </c>
      <c r="AV30" s="147">
        <f>AU30+AS30</f>
        <v>648</v>
      </c>
      <c r="AW30" s="147">
        <f>AV30-AR30</f>
        <v>-168</v>
      </c>
      <c r="AX30" s="148">
        <f>IFERROR(AV30/AR30,0)</f>
        <v>0.79411764705882348</v>
      </c>
      <c r="AY30" s="167">
        <f t="shared" ref="AY30:AY31" si="76">AU30</f>
        <v>0</v>
      </c>
      <c r="AZ30" s="167">
        <f>IF(O30&lt;18,IF(AND(I30&gt;0,I30&lt;=60),60,IF(AND(I30&gt;60,I30&lt;=120),70,IF(AND(I30&gt;120,I30&lt;=200),80,IF(I30&gt;200,90,0)))),IF(O30&gt;=18,IF(AND(I30&gt;0,I30&lt;=60),70,IF(AND(I30&gt;60,I30&lt;=120),80,IF(AND(I30&gt;120,I30&lt;=200),90,100)))))</f>
        <v>90</v>
      </c>
      <c r="BB30" s="170">
        <f t="shared" ref="BB30:BB35" si="77">AU30-AY30</f>
        <v>0</v>
      </c>
      <c r="BC30" s="202">
        <f>VLOOKUP(A30,ImportDataWA!A$14:AG$112,33,0)</f>
        <v>97.37552493266179</v>
      </c>
      <c r="BD30" s="170">
        <f t="shared" ref="BD30:BD31" si="78">AU30-AY30</f>
        <v>0</v>
      </c>
    </row>
    <row r="31" spans="1:56" hidden="1" x14ac:dyDescent="0.25">
      <c r="A31" s="230" t="s">
        <v>115</v>
      </c>
      <c r="B31" s="9" t="str">
        <f>VLOOKUP($A31,MainData!$A$4:$E$1967,2,FALSE)</f>
        <v>Micro</v>
      </c>
      <c r="C31" s="9" t="str">
        <f>VLOOKUP($A31,MainData!$A$4:$E$1967,3,FALSE)</f>
        <v>Amer Ahmed AbdulWahid</v>
      </c>
      <c r="D31" s="9" t="str">
        <f>VLOOKUP($A31,MainData!$A$4:$E$1967,4,FALSE)</f>
        <v>Dewaniya</v>
      </c>
      <c r="E31" s="9" t="str">
        <f>VLOOKUP($A31,MainData!$A$4:$E$1967,5,FALSE)</f>
        <v>Hayder Hashim Mohammed</v>
      </c>
      <c r="F31" s="11">
        <f>SUMIFS(MainData!G:G,MainData!$A:$A,$A31)</f>
        <v>694210.36604803253</v>
      </c>
      <c r="G31" s="11">
        <f t="shared" si="22"/>
        <v>333333.33333333331</v>
      </c>
      <c r="H31" s="53">
        <f t="shared" si="2"/>
        <v>2.0826310981440979</v>
      </c>
      <c r="I31" s="10">
        <f>SUMIFS(MainData!F:F,MainData!$A:$A,$A31)</f>
        <v>270</v>
      </c>
      <c r="J31" s="10">
        <f t="shared" si="23"/>
        <v>400</v>
      </c>
      <c r="K31" s="53">
        <f t="shared" si="3"/>
        <v>0.67500000000000004</v>
      </c>
      <c r="L31" s="11">
        <f>SUMIFS(MainData!K:K,MainData!$A:$A,$A31)</f>
        <v>70909.090909090897</v>
      </c>
      <c r="M31" s="11">
        <f t="shared" si="24"/>
        <v>56818.18</v>
      </c>
      <c r="N31" s="53">
        <f t="shared" si="4"/>
        <v>1.2480000399360012</v>
      </c>
      <c r="O31" s="256">
        <f>SUMIFS(MainData!J:J,MainData!$A:$A,$A31)</f>
        <v>16</v>
      </c>
      <c r="P31" s="10">
        <f>IF($B31=$B$4,0,IF($B31=$B$1,VLOOKUP(D31,Target_Entry!$A$8:$AF$23,5,0),IF(LO!B31=LO!$B$2,VLOOKUP(LO!D31,Target_Entry!$A$8:$AF$23,25,0),IF(LO!B31=LO!$B$3,VLOOKUP(LO!D31,Target_Entry!$A$8:$AF$23,15,0)))))</f>
        <v>15</v>
      </c>
      <c r="Q31" s="53">
        <f t="shared" si="5"/>
        <v>1.0666666666666667</v>
      </c>
      <c r="R31" s="10">
        <f>SUMIFS(MainData!J:J,MainData!$A:$A,$A31)</f>
        <v>16</v>
      </c>
      <c r="S31" s="10">
        <f>SUMIFS(MainData!M:M,MainData!$A:$A,$A31)</f>
        <v>8</v>
      </c>
      <c r="T31" s="53">
        <f t="shared" si="6"/>
        <v>0.5</v>
      </c>
      <c r="U31" s="10">
        <f>SUMIFS(MainData!L:L,MainData!$A:$A,$A31)</f>
        <v>7</v>
      </c>
      <c r="V31" s="12">
        <f t="shared" si="7"/>
        <v>0.4375</v>
      </c>
      <c r="W31" s="10">
        <f>SUMIFS(MainData!F:F,MainData!$A:$A,$A31)</f>
        <v>270</v>
      </c>
      <c r="X31" s="12">
        <f t="shared" si="8"/>
        <v>1.08</v>
      </c>
      <c r="Y31" s="11">
        <f>SUMIFS(MainData!H:H,MainData!$A:$A,$A31)</f>
        <v>29165.003856175099</v>
      </c>
      <c r="Z31" s="12">
        <f t="shared" si="9"/>
        <v>4.2011766580502437E-2</v>
      </c>
      <c r="AA31" s="11">
        <f>SUMIFS(MainData!I:I,MainData!$A:$A,$A31)</f>
        <v>18361.969623676032</v>
      </c>
      <c r="AB31" s="12">
        <f t="shared" si="10"/>
        <v>2.6450151887253099E-2</v>
      </c>
      <c r="AC31" s="182"/>
      <c r="AD31" s="18">
        <f t="shared" si="11"/>
        <v>10</v>
      </c>
      <c r="AE31" s="18">
        <f t="shared" si="12"/>
        <v>0</v>
      </c>
      <c r="AF31" s="18">
        <f t="shared" si="13"/>
        <v>45</v>
      </c>
      <c r="AG31" s="18">
        <f t="shared" si="14"/>
        <v>0</v>
      </c>
      <c r="AH31" s="18">
        <f t="shared" si="15"/>
        <v>2.3964700258492702</v>
      </c>
      <c r="AI31" s="18">
        <f t="shared" si="16"/>
        <v>30.887462028186725</v>
      </c>
      <c r="AJ31" s="18">
        <f t="shared" si="17"/>
        <v>5</v>
      </c>
      <c r="AK31" s="18">
        <f t="shared" si="18"/>
        <v>2.9999999999999991</v>
      </c>
      <c r="AL31" s="18">
        <f t="shared" si="19"/>
        <v>5</v>
      </c>
      <c r="AM31" s="36">
        <f t="shared" si="20"/>
        <v>101</v>
      </c>
      <c r="AN31" s="36">
        <f t="shared" si="21"/>
        <v>101</v>
      </c>
      <c r="AO31" s="183">
        <v>715</v>
      </c>
      <c r="AP31" s="184">
        <v>0</v>
      </c>
      <c r="AQ31" s="184">
        <v>0</v>
      </c>
      <c r="AR31" s="28">
        <f t="shared" si="73"/>
        <v>715</v>
      </c>
      <c r="AS31" s="28">
        <f t="shared" si="74"/>
        <v>572</v>
      </c>
      <c r="AT31" s="163">
        <f t="shared" si="75"/>
        <v>143</v>
      </c>
      <c r="AU31" s="28">
        <f>IF(AO31&gt;0,ROUND(AN31/$AN$1*AU$3,0),0)</f>
        <v>657</v>
      </c>
      <c r="AV31" s="147">
        <f>AU31+AS31</f>
        <v>1229</v>
      </c>
      <c r="AW31" s="147">
        <f>AV31-AR31</f>
        <v>514</v>
      </c>
      <c r="AX31" s="148">
        <f>IFERROR(AV31/AR31,0)</f>
        <v>1.7188811188811188</v>
      </c>
      <c r="AY31" s="167">
        <f t="shared" si="76"/>
        <v>657</v>
      </c>
      <c r="AZ31" s="167">
        <f>IF(O31&lt;18,IF(AND(I31&gt;0,I31&lt;=60),60,IF(AND(I31&gt;60,I31&lt;=120),70,IF(AND(I31&gt;120,I31&lt;=200),80,IF(I31&gt;200,90,0)))),IF(O31&gt;=18,IF(AND(I31&gt;0,I31&lt;=60),70,IF(AND(I31&gt;60,I31&lt;=120),80,IF(AND(I31&gt;120,I31&lt;=200),90,100)))))</f>
        <v>90</v>
      </c>
      <c r="BB31" s="170">
        <f t="shared" si="77"/>
        <v>0</v>
      </c>
      <c r="BC31" s="202" t="e">
        <f>VLOOKUP(A31,ImportDataWA!A$14:AG$112,33,0)</f>
        <v>#N/A</v>
      </c>
      <c r="BD31" s="170">
        <f t="shared" si="78"/>
        <v>0</v>
      </c>
    </row>
    <row r="32" spans="1:56" hidden="1" x14ac:dyDescent="0.25">
      <c r="A32" s="233" t="s">
        <v>205</v>
      </c>
      <c r="B32" s="32" t="s">
        <v>278</v>
      </c>
      <c r="C32" s="32" t="str">
        <f>VLOOKUP($A32,MainData!$A$4:$E$1967,3,FALSE)</f>
        <v>Inactive</v>
      </c>
      <c r="D32" s="32" t="str">
        <f>VLOOKUP($A32,MainData!$A$4:$E$1967,4,FALSE)</f>
        <v>Erbil</v>
      </c>
      <c r="E32" s="32" t="s">
        <v>278</v>
      </c>
      <c r="F32" s="11">
        <f>SUMIFS(MainData!G:G,MainData!$A:$A,$A32)</f>
        <v>0</v>
      </c>
      <c r="G32" s="11">
        <f t="shared" si="22"/>
        <v>0</v>
      </c>
      <c r="H32" s="53">
        <f t="shared" si="2"/>
        <v>0</v>
      </c>
      <c r="I32" s="10">
        <f>SUMIFS(MainData!F:F,MainData!$A:$A,$A32)</f>
        <v>0</v>
      </c>
      <c r="J32" s="10">
        <f t="shared" si="23"/>
        <v>0</v>
      </c>
      <c r="K32" s="53">
        <f t="shared" si="3"/>
        <v>0</v>
      </c>
      <c r="L32" s="11">
        <f>SUMIFS(MainData!K:K,MainData!$A:$A,$A32)</f>
        <v>0</v>
      </c>
      <c r="M32" s="11">
        <f t="shared" si="24"/>
        <v>0</v>
      </c>
      <c r="N32" s="53">
        <f t="shared" si="4"/>
        <v>0</v>
      </c>
      <c r="O32" s="256">
        <f>SUMIFS(MainData!J:J,MainData!$A:$A,$A32)</f>
        <v>0</v>
      </c>
      <c r="P32" s="10">
        <f>IF($B32=$B$4,0,IF($B32=$B$1,VLOOKUP(D32,Target_Entry!$A$8:$AF$23,5,0),IF(LO!B32=LO!$B$2,VLOOKUP(LO!D32,Target_Entry!$A$8:$AF$23,25,0),IF(LO!B32=LO!$B$3,VLOOKUP(LO!D32,Target_Entry!$A$8:$AF$23,15,0)))))</f>
        <v>0</v>
      </c>
      <c r="Q32" s="53">
        <f t="shared" si="5"/>
        <v>0</v>
      </c>
      <c r="R32" s="10">
        <f>SUMIFS(MainData!J:J,MainData!$A:$A,$A32)</f>
        <v>0</v>
      </c>
      <c r="S32" s="10">
        <f>SUMIFS(MainData!M:M,MainData!$A:$A,$A32)</f>
        <v>0</v>
      </c>
      <c r="T32" s="53">
        <f t="shared" si="6"/>
        <v>0</v>
      </c>
      <c r="U32" s="10">
        <f>SUMIFS(MainData!L:L,MainData!$A:$A,$A32)</f>
        <v>0</v>
      </c>
      <c r="V32" s="12">
        <f t="shared" si="7"/>
        <v>0</v>
      </c>
      <c r="W32" s="10">
        <f>SUMIFS(MainData!F:F,MainData!$A:$A,$A32)</f>
        <v>0</v>
      </c>
      <c r="X32" s="12">
        <f t="shared" si="8"/>
        <v>0</v>
      </c>
      <c r="Y32" s="11">
        <f>SUMIFS(MainData!H:H,MainData!$A:$A,$A32)</f>
        <v>0</v>
      </c>
      <c r="Z32" s="12">
        <f t="shared" si="9"/>
        <v>0</v>
      </c>
      <c r="AA32" s="11">
        <f>SUMIFS(MainData!I:I,MainData!$A:$A,$A32)</f>
        <v>0</v>
      </c>
      <c r="AB32" s="12">
        <f t="shared" si="10"/>
        <v>0</v>
      </c>
      <c r="AC32" s="182"/>
      <c r="AD32" s="18">
        <f t="shared" si="11"/>
        <v>0</v>
      </c>
      <c r="AE32" s="18">
        <f t="shared" si="12"/>
        <v>0</v>
      </c>
      <c r="AF32" s="18">
        <f t="shared" si="13"/>
        <v>0</v>
      </c>
      <c r="AG32" s="18">
        <f t="shared" si="14"/>
        <v>0</v>
      </c>
      <c r="AH32" s="18">
        <f t="shared" si="15"/>
        <v>15</v>
      </c>
      <c r="AI32" s="18">
        <f t="shared" si="16"/>
        <v>37.5</v>
      </c>
      <c r="AJ32" s="18">
        <f t="shared" si="17"/>
        <v>0</v>
      </c>
      <c r="AK32" s="18">
        <f t="shared" si="18"/>
        <v>0</v>
      </c>
      <c r="AL32" s="18">
        <f t="shared" si="19"/>
        <v>0</v>
      </c>
      <c r="AM32" s="36">
        <f t="shared" si="20"/>
        <v>53</v>
      </c>
      <c r="AN32" s="36">
        <f t="shared" si="21"/>
        <v>0</v>
      </c>
      <c r="AO32" s="183"/>
      <c r="AP32" s="184"/>
      <c r="AQ32" s="184"/>
      <c r="AR32" s="28"/>
      <c r="AS32" s="28"/>
      <c r="AT32" s="163"/>
      <c r="AU32" s="28"/>
      <c r="AV32" s="147"/>
      <c r="AW32" s="147"/>
      <c r="AX32" s="148"/>
      <c r="AY32" s="167"/>
      <c r="AZ32" s="167"/>
      <c r="BB32" s="170">
        <f t="shared" si="77"/>
        <v>0</v>
      </c>
      <c r="BC32" s="202" t="e">
        <f>VLOOKUP(A32,ImportDataWA!A$14:AG$112,33,0)</f>
        <v>#N/A</v>
      </c>
    </row>
    <row r="33" spans="1:56" hidden="1" x14ac:dyDescent="0.25">
      <c r="A33" s="199" t="s">
        <v>30</v>
      </c>
      <c r="B33" s="32" t="str">
        <f>VLOOKUP($A33,MainData!$A$4:$E$1967,2,FALSE)</f>
        <v>Inactive</v>
      </c>
      <c r="C33" s="32" t="str">
        <f>VLOOKUP($A33,MainData!$A$4:$E$1967,3,FALSE)</f>
        <v>Inactive</v>
      </c>
      <c r="D33" s="32" t="str">
        <f>VLOOKUP($A33,MainData!$A$4:$E$1967,4,FALSE)</f>
        <v>Erbil</v>
      </c>
      <c r="E33" s="32" t="str">
        <f>VLOOKUP($A33,MainData!$A$4:$E$1967,5,FALSE)</f>
        <v>Inactive</v>
      </c>
      <c r="F33" s="11">
        <f>SUMIFS(MainData!G:G,MainData!$A:$A,$A33)</f>
        <v>0</v>
      </c>
      <c r="G33" s="11">
        <f t="shared" si="22"/>
        <v>0</v>
      </c>
      <c r="H33" s="53">
        <f t="shared" si="2"/>
        <v>0</v>
      </c>
      <c r="I33" s="10">
        <f>SUMIFS(MainData!F:F,MainData!$A:$A,$A33)</f>
        <v>0</v>
      </c>
      <c r="J33" s="10">
        <f t="shared" si="23"/>
        <v>0</v>
      </c>
      <c r="K33" s="53">
        <f t="shared" si="3"/>
        <v>0</v>
      </c>
      <c r="L33" s="11">
        <f>SUMIFS(MainData!K:K,MainData!$A:$A,$A33)</f>
        <v>0</v>
      </c>
      <c r="M33" s="11">
        <f t="shared" si="24"/>
        <v>0</v>
      </c>
      <c r="N33" s="53">
        <f t="shared" si="4"/>
        <v>0</v>
      </c>
      <c r="O33" s="256">
        <f>SUMIFS(MainData!J:J,MainData!$A:$A,$A33)</f>
        <v>0</v>
      </c>
      <c r="P33" s="10">
        <f>IF($B33=$B$4,0,IF($B33=$B$1,VLOOKUP(D33,Target_Entry!$A$8:$AF$23,5,0),IF(LO!B33=LO!$B$2,VLOOKUP(LO!D33,Target_Entry!$A$8:$AF$23,25,0),IF(LO!B33=LO!$B$3,VLOOKUP(LO!D33,Target_Entry!$A$8:$AF$23,15,0)))))</f>
        <v>0</v>
      </c>
      <c r="Q33" s="53">
        <f t="shared" si="5"/>
        <v>0</v>
      </c>
      <c r="R33" s="10">
        <f>SUMIFS(MainData!J:J,MainData!$A:$A,$A33)</f>
        <v>0</v>
      </c>
      <c r="S33" s="10">
        <f>SUMIFS(MainData!M:M,MainData!$A:$A,$A33)</f>
        <v>0</v>
      </c>
      <c r="T33" s="53">
        <f t="shared" si="6"/>
        <v>0</v>
      </c>
      <c r="U33" s="10">
        <f>SUMIFS(MainData!L:L,MainData!$A:$A,$A33)</f>
        <v>0</v>
      </c>
      <c r="V33" s="12">
        <f t="shared" si="7"/>
        <v>0</v>
      </c>
      <c r="W33" s="10">
        <f>SUMIFS(MainData!F:F,MainData!$A:$A,$A33)</f>
        <v>0</v>
      </c>
      <c r="X33" s="12">
        <f t="shared" si="8"/>
        <v>0</v>
      </c>
      <c r="Y33" s="11">
        <f>SUMIFS(MainData!H:H,MainData!$A:$A,$A33)</f>
        <v>0</v>
      </c>
      <c r="Z33" s="12">
        <f t="shared" si="9"/>
        <v>0</v>
      </c>
      <c r="AA33" s="11">
        <f>SUMIFS(MainData!I:I,MainData!$A:$A,$A33)</f>
        <v>0</v>
      </c>
      <c r="AB33" s="12">
        <f t="shared" si="10"/>
        <v>0</v>
      </c>
      <c r="AC33" s="182"/>
      <c r="AD33" s="18">
        <f t="shared" si="11"/>
        <v>0</v>
      </c>
      <c r="AE33" s="18">
        <f t="shared" si="12"/>
        <v>0</v>
      </c>
      <c r="AF33" s="18">
        <f t="shared" si="13"/>
        <v>0</v>
      </c>
      <c r="AG33" s="18">
        <f t="shared" si="14"/>
        <v>0</v>
      </c>
      <c r="AH33" s="18">
        <f t="shared" si="15"/>
        <v>15</v>
      </c>
      <c r="AI33" s="18">
        <f t="shared" si="16"/>
        <v>37.5</v>
      </c>
      <c r="AJ33" s="18">
        <f t="shared" si="17"/>
        <v>0</v>
      </c>
      <c r="AK33" s="18">
        <f t="shared" si="18"/>
        <v>0</v>
      </c>
      <c r="AL33" s="18">
        <f t="shared" si="19"/>
        <v>0</v>
      </c>
      <c r="AM33" s="36">
        <f t="shared" si="20"/>
        <v>53</v>
      </c>
      <c r="AN33" s="36">
        <f t="shared" si="21"/>
        <v>0</v>
      </c>
      <c r="AO33" s="183"/>
      <c r="AP33" s="184"/>
      <c r="AQ33" s="184"/>
      <c r="AR33" s="28"/>
      <c r="AS33" s="28"/>
      <c r="AT33" s="28"/>
      <c r="AU33" s="28"/>
      <c r="AV33" s="147"/>
      <c r="AW33" s="147"/>
      <c r="AX33" s="148"/>
      <c r="AY33" s="167"/>
      <c r="AZ33" s="167"/>
      <c r="BB33" s="170">
        <f t="shared" si="77"/>
        <v>0</v>
      </c>
      <c r="BC33" s="202" t="e">
        <f>VLOOKUP(A33,ImportDataWA!A$14:AG$112,33,0)</f>
        <v>#N/A</v>
      </c>
    </row>
    <row r="34" spans="1:56" hidden="1" x14ac:dyDescent="0.25">
      <c r="A34" s="186" t="s">
        <v>210</v>
      </c>
      <c r="B34" s="32" t="s">
        <v>278</v>
      </c>
      <c r="C34" s="32" t="str">
        <f>VLOOKUP($A34,MainData!$A$4:$E$1967,3,FALSE)</f>
        <v>Inactive</v>
      </c>
      <c r="D34" s="32" t="str">
        <f>VLOOKUP($A34,MainData!$A$4:$E$1967,4,FALSE)</f>
        <v>Erbil</v>
      </c>
      <c r="E34" s="32" t="s">
        <v>278</v>
      </c>
      <c r="F34" s="11">
        <f>SUMIFS(MainData!G:G,MainData!$A:$A,$A34)</f>
        <v>0</v>
      </c>
      <c r="G34" s="11">
        <f t="shared" si="22"/>
        <v>0</v>
      </c>
      <c r="H34" s="53">
        <f t="shared" si="2"/>
        <v>0</v>
      </c>
      <c r="I34" s="10">
        <f>SUMIFS(MainData!F:F,MainData!$A:$A,$A34)</f>
        <v>0</v>
      </c>
      <c r="J34" s="10">
        <f t="shared" si="23"/>
        <v>0</v>
      </c>
      <c r="K34" s="53">
        <f t="shared" si="3"/>
        <v>0</v>
      </c>
      <c r="L34" s="11">
        <f>SUMIFS(MainData!K:K,MainData!$A:$A,$A34)</f>
        <v>0</v>
      </c>
      <c r="M34" s="11">
        <f t="shared" si="24"/>
        <v>0</v>
      </c>
      <c r="N34" s="53">
        <f t="shared" si="4"/>
        <v>0</v>
      </c>
      <c r="O34" s="256">
        <f>SUMIFS(MainData!J:J,MainData!$A:$A,$A34)</f>
        <v>0</v>
      </c>
      <c r="P34" s="10">
        <f>IF($B34=$B$4,0,IF($B34=$B$1,VLOOKUP(D34,Target_Entry!$A$8:$AF$23,5,0),IF(LO!B34=LO!$B$2,VLOOKUP(LO!D34,Target_Entry!$A$8:$AF$23,25,0),IF(LO!B34=LO!$B$3,VLOOKUP(LO!D34,Target_Entry!$A$8:$AF$23,15,0)))))</f>
        <v>0</v>
      </c>
      <c r="Q34" s="53">
        <f t="shared" si="5"/>
        <v>0</v>
      </c>
      <c r="R34" s="10">
        <f>SUMIFS(MainData!J:J,MainData!$A:$A,$A34)</f>
        <v>0</v>
      </c>
      <c r="S34" s="10">
        <f>SUMIFS(MainData!M:M,MainData!$A:$A,$A34)</f>
        <v>0</v>
      </c>
      <c r="T34" s="53">
        <f t="shared" si="6"/>
        <v>0</v>
      </c>
      <c r="U34" s="10">
        <f>SUMIFS(MainData!L:L,MainData!$A:$A,$A34)</f>
        <v>0</v>
      </c>
      <c r="V34" s="12">
        <f t="shared" si="7"/>
        <v>0</v>
      </c>
      <c r="W34" s="10">
        <f>SUMIFS(MainData!F:F,MainData!$A:$A,$A34)</f>
        <v>0</v>
      </c>
      <c r="X34" s="12">
        <f t="shared" si="8"/>
        <v>0</v>
      </c>
      <c r="Y34" s="11">
        <f>SUMIFS(MainData!H:H,MainData!$A:$A,$A34)</f>
        <v>0</v>
      </c>
      <c r="Z34" s="12">
        <f t="shared" si="9"/>
        <v>0</v>
      </c>
      <c r="AA34" s="11">
        <f>SUMIFS(MainData!I:I,MainData!$A:$A,$A34)</f>
        <v>0</v>
      </c>
      <c r="AB34" s="12">
        <f t="shared" si="10"/>
        <v>0</v>
      </c>
      <c r="AC34" s="182"/>
      <c r="AD34" s="18">
        <f t="shared" si="11"/>
        <v>0</v>
      </c>
      <c r="AE34" s="18">
        <f t="shared" si="12"/>
        <v>0</v>
      </c>
      <c r="AF34" s="18">
        <f t="shared" si="13"/>
        <v>0</v>
      </c>
      <c r="AG34" s="18">
        <f t="shared" si="14"/>
        <v>0</v>
      </c>
      <c r="AH34" s="18">
        <f t="shared" si="15"/>
        <v>15</v>
      </c>
      <c r="AI34" s="18">
        <f t="shared" si="16"/>
        <v>37.5</v>
      </c>
      <c r="AJ34" s="18">
        <f t="shared" si="17"/>
        <v>0</v>
      </c>
      <c r="AK34" s="18">
        <f t="shared" si="18"/>
        <v>0</v>
      </c>
      <c r="AL34" s="18">
        <f t="shared" si="19"/>
        <v>0</v>
      </c>
      <c r="AM34" s="36">
        <f t="shared" si="20"/>
        <v>53</v>
      </c>
      <c r="AN34" s="36">
        <f t="shared" si="21"/>
        <v>0</v>
      </c>
      <c r="AO34" s="183"/>
      <c r="AP34" s="184"/>
      <c r="AQ34" s="184"/>
      <c r="AR34" s="28"/>
      <c r="AS34" s="28"/>
      <c r="AT34" s="163"/>
      <c r="AU34" s="28"/>
      <c r="AV34" s="147"/>
      <c r="AW34" s="147"/>
      <c r="AX34" s="148"/>
      <c r="AY34" s="167"/>
      <c r="AZ34" s="167"/>
      <c r="BB34" s="170">
        <f t="shared" si="77"/>
        <v>0</v>
      </c>
      <c r="BC34" s="202" t="e">
        <f>VLOOKUP(A34,ImportDataWA!A$14:AG$112,33,0)</f>
        <v>#N/A</v>
      </c>
    </row>
    <row r="35" spans="1:56" hidden="1" x14ac:dyDescent="0.25">
      <c r="A35" s="233" t="s">
        <v>86</v>
      </c>
      <c r="B35" s="32" t="s">
        <v>278</v>
      </c>
      <c r="C35" s="32" t="str">
        <f>VLOOKUP($A35,MainData!$A$4:$E$1967,3,FALSE)</f>
        <v>Inactive</v>
      </c>
      <c r="D35" s="32" t="str">
        <f>VLOOKUP($A35,MainData!$A$4:$E$1967,4,FALSE)</f>
        <v>Erbil</v>
      </c>
      <c r="E35" s="32" t="s">
        <v>278</v>
      </c>
      <c r="F35" s="11">
        <f>SUMIFS(MainData!G:G,MainData!$A:$A,$A35)</f>
        <v>0</v>
      </c>
      <c r="G35" s="11">
        <f t="shared" si="22"/>
        <v>0</v>
      </c>
      <c r="H35" s="53">
        <f t="shared" si="2"/>
        <v>0</v>
      </c>
      <c r="I35" s="10">
        <f>SUMIFS(MainData!F:F,MainData!$A:$A,$A35)</f>
        <v>0</v>
      </c>
      <c r="J35" s="10">
        <f t="shared" si="23"/>
        <v>0</v>
      </c>
      <c r="K35" s="53">
        <f t="shared" si="3"/>
        <v>0</v>
      </c>
      <c r="L35" s="11">
        <f>SUMIFS(MainData!K:K,MainData!$A:$A,$A35)</f>
        <v>0</v>
      </c>
      <c r="M35" s="11">
        <f t="shared" si="24"/>
        <v>0</v>
      </c>
      <c r="N35" s="53">
        <f t="shared" si="4"/>
        <v>0</v>
      </c>
      <c r="O35" s="256">
        <f>SUMIFS(MainData!J:J,MainData!$A:$A,$A35)</f>
        <v>0</v>
      </c>
      <c r="P35" s="10">
        <f>IF($B35=$B$4,0,IF($B35=$B$1,VLOOKUP(D35,Target_Entry!$A$8:$AF$23,5,0),IF(LO!B35=LO!$B$2,VLOOKUP(LO!D35,Target_Entry!$A$8:$AF$23,25,0),IF(LO!B35=LO!$B$3,VLOOKUP(LO!D35,Target_Entry!$A$8:$AF$23,15,0)))))</f>
        <v>0</v>
      </c>
      <c r="Q35" s="53">
        <f t="shared" si="5"/>
        <v>0</v>
      </c>
      <c r="R35" s="10">
        <f>SUMIFS(MainData!J:J,MainData!$A:$A,$A35)</f>
        <v>0</v>
      </c>
      <c r="S35" s="10">
        <f>SUMIFS(MainData!M:M,MainData!$A:$A,$A35)</f>
        <v>0</v>
      </c>
      <c r="T35" s="53">
        <f t="shared" si="6"/>
        <v>0</v>
      </c>
      <c r="U35" s="10">
        <f>SUMIFS(MainData!L:L,MainData!$A:$A,$A35)</f>
        <v>0</v>
      </c>
      <c r="V35" s="12">
        <f t="shared" si="7"/>
        <v>0</v>
      </c>
      <c r="W35" s="10">
        <f>SUMIFS(MainData!F:F,MainData!$A:$A,$A35)</f>
        <v>0</v>
      </c>
      <c r="X35" s="12">
        <f t="shared" si="8"/>
        <v>0</v>
      </c>
      <c r="Y35" s="11">
        <f>SUMIFS(MainData!H:H,MainData!$A:$A,$A35)</f>
        <v>0</v>
      </c>
      <c r="Z35" s="12">
        <f t="shared" si="9"/>
        <v>0</v>
      </c>
      <c r="AA35" s="11">
        <f>SUMIFS(MainData!I:I,MainData!$A:$A,$A35)</f>
        <v>0</v>
      </c>
      <c r="AB35" s="12">
        <f t="shared" si="10"/>
        <v>0</v>
      </c>
      <c r="AC35" s="182"/>
      <c r="AD35" s="18">
        <f t="shared" si="11"/>
        <v>0</v>
      </c>
      <c r="AE35" s="18">
        <f t="shared" si="12"/>
        <v>0</v>
      </c>
      <c r="AF35" s="18">
        <f t="shared" si="13"/>
        <v>0</v>
      </c>
      <c r="AG35" s="18">
        <f t="shared" si="14"/>
        <v>0</v>
      </c>
      <c r="AH35" s="18">
        <f t="shared" si="15"/>
        <v>15</v>
      </c>
      <c r="AI35" s="18">
        <f t="shared" si="16"/>
        <v>37.5</v>
      </c>
      <c r="AJ35" s="18">
        <f t="shared" si="17"/>
        <v>0</v>
      </c>
      <c r="AK35" s="18">
        <f t="shared" si="18"/>
        <v>0</v>
      </c>
      <c r="AL35" s="18">
        <f t="shared" si="19"/>
        <v>0</v>
      </c>
      <c r="AM35" s="36">
        <f t="shared" si="20"/>
        <v>53</v>
      </c>
      <c r="AN35" s="36">
        <f t="shared" si="21"/>
        <v>0</v>
      </c>
      <c r="AO35" s="183"/>
      <c r="AP35" s="184"/>
      <c r="AQ35" s="184"/>
      <c r="AR35" s="28"/>
      <c r="AS35" s="28"/>
      <c r="AT35" s="163"/>
      <c r="AU35" s="28"/>
      <c r="AV35" s="147"/>
      <c r="AW35" s="147"/>
      <c r="AX35" s="148"/>
      <c r="AY35" s="167"/>
      <c r="AZ35" s="167"/>
      <c r="BB35" s="170">
        <f t="shared" si="77"/>
        <v>0</v>
      </c>
      <c r="BC35" s="202" t="e">
        <f>VLOOKUP(A35,ImportDataWA!A$14:AG$112,33,0)</f>
        <v>#N/A</v>
      </c>
    </row>
    <row r="36" spans="1:56" hidden="1" x14ac:dyDescent="0.25">
      <c r="A36" s="195" t="s">
        <v>417</v>
      </c>
      <c r="B36" s="9" t="str">
        <f>VLOOKUP($A36,MainData!$A$4:$E$1967,2,FALSE)</f>
        <v>Inactive</v>
      </c>
      <c r="C36" s="9" t="str">
        <f>VLOOKUP($A36,MainData!$A$4:$E$1967,3,FALSE)</f>
        <v>Inactive</v>
      </c>
      <c r="D36" s="9" t="str">
        <f>VLOOKUP($A36,MainData!$A$4:$E$1967,4,FALSE)</f>
        <v>Erbil</v>
      </c>
      <c r="E36" s="9" t="str">
        <f>VLOOKUP($A36,MainData!$A$4:$E$1967,5,FALSE)</f>
        <v>Inactive</v>
      </c>
      <c r="F36" s="11">
        <f>SUMIFS(MainData!G:G,MainData!$A:$A,$A36)</f>
        <v>0</v>
      </c>
      <c r="G36" s="11">
        <f t="shared" si="22"/>
        <v>0</v>
      </c>
      <c r="H36" s="53">
        <f t="shared" si="2"/>
        <v>0</v>
      </c>
      <c r="I36" s="10">
        <f>SUMIFS(MainData!F:F,MainData!$A:$A,$A36)</f>
        <v>0</v>
      </c>
      <c r="J36" s="10">
        <f t="shared" si="23"/>
        <v>0</v>
      </c>
      <c r="K36" s="53">
        <f t="shared" si="3"/>
        <v>0</v>
      </c>
      <c r="L36" s="11">
        <f>SUMIFS(MainData!K:K,MainData!$A:$A,$A36)</f>
        <v>0</v>
      </c>
      <c r="M36" s="11">
        <f t="shared" si="24"/>
        <v>0</v>
      </c>
      <c r="N36" s="53">
        <f t="shared" si="4"/>
        <v>0</v>
      </c>
      <c r="O36" s="256">
        <f>SUMIFS(MainData!J:J,MainData!$A:$A,$A36)</f>
        <v>0</v>
      </c>
      <c r="P36" s="10">
        <f>IF($B36=$B$4,0,IF($B36=$B$1,VLOOKUP(D36,Target_Entry!$A$8:$AF$23,5,0),IF(LO!B36=LO!$B$2,VLOOKUP(LO!D36,Target_Entry!$A$8:$AF$23,25,0),IF(LO!B36=LO!$B$3,VLOOKUP(LO!D36,Target_Entry!$A$8:$AF$23,15,0)))))</f>
        <v>0</v>
      </c>
      <c r="Q36" s="53">
        <f t="shared" si="5"/>
        <v>0</v>
      </c>
      <c r="R36" s="10">
        <f>SUMIFS(MainData!J:J,MainData!$A:$A,$A36)</f>
        <v>0</v>
      </c>
      <c r="S36" s="10">
        <f>SUMIFS(MainData!M:M,MainData!$A:$A,$A36)</f>
        <v>0</v>
      </c>
      <c r="T36" s="53">
        <f t="shared" si="6"/>
        <v>0</v>
      </c>
      <c r="U36" s="10">
        <f>SUMIFS(MainData!L:L,MainData!$A:$A,$A36)</f>
        <v>0</v>
      </c>
      <c r="V36" s="12">
        <f t="shared" si="7"/>
        <v>0</v>
      </c>
      <c r="W36" s="10">
        <f>SUMIFS(MainData!F:F,MainData!$A:$A,$A36)</f>
        <v>0</v>
      </c>
      <c r="X36" s="12">
        <f t="shared" si="8"/>
        <v>0</v>
      </c>
      <c r="Y36" s="11">
        <f>SUMIFS(MainData!H:H,MainData!$A:$A,$A36)</f>
        <v>0</v>
      </c>
      <c r="Z36" s="12">
        <f t="shared" si="9"/>
        <v>0</v>
      </c>
      <c r="AA36" s="11">
        <f>SUMIFS(MainData!I:I,MainData!$A:$A,$A36)</f>
        <v>0</v>
      </c>
      <c r="AB36" s="12">
        <f t="shared" si="10"/>
        <v>0</v>
      </c>
      <c r="AC36" s="182"/>
      <c r="AD36" s="18">
        <f t="shared" si="11"/>
        <v>0</v>
      </c>
      <c r="AE36" s="18">
        <f t="shared" si="12"/>
        <v>0</v>
      </c>
      <c r="AF36" s="18">
        <f t="shared" si="13"/>
        <v>0</v>
      </c>
      <c r="AG36" s="18">
        <f t="shared" si="14"/>
        <v>0</v>
      </c>
      <c r="AH36" s="18">
        <f t="shared" si="15"/>
        <v>15</v>
      </c>
      <c r="AI36" s="18">
        <f t="shared" si="16"/>
        <v>37.5</v>
      </c>
      <c r="AJ36" s="18">
        <f t="shared" si="17"/>
        <v>0</v>
      </c>
      <c r="AK36" s="18">
        <f t="shared" si="18"/>
        <v>0</v>
      </c>
      <c r="AL36" s="18">
        <f t="shared" si="19"/>
        <v>0</v>
      </c>
      <c r="AM36" s="36">
        <f t="shared" si="20"/>
        <v>53</v>
      </c>
      <c r="AN36" s="36">
        <f t="shared" si="21"/>
        <v>0</v>
      </c>
      <c r="AO36" s="183">
        <v>950</v>
      </c>
      <c r="AP36" s="184">
        <v>0</v>
      </c>
      <c r="AQ36" s="184">
        <v>0</v>
      </c>
      <c r="AR36" s="28">
        <f t="shared" si="73"/>
        <v>950</v>
      </c>
      <c r="AS36" s="28">
        <f t="shared" si="74"/>
        <v>760</v>
      </c>
      <c r="AT36" s="163">
        <f t="shared" si="75"/>
        <v>190</v>
      </c>
      <c r="AU36" s="28">
        <f>IF(AO36&gt;0,ROUND(AN36/$AN$1*AU$3,0),0)</f>
        <v>0</v>
      </c>
      <c r="AV36" s="147">
        <f>AU36+AS36</f>
        <v>760</v>
      </c>
      <c r="AW36" s="147">
        <f>AV36-AR36</f>
        <v>-190</v>
      </c>
      <c r="AX36" s="148">
        <f>IFERROR(AV36/AR36,0)</f>
        <v>0.8</v>
      </c>
      <c r="AY36" s="167">
        <f t="shared" ref="AY36:AY39" si="79">AU36</f>
        <v>0</v>
      </c>
      <c r="AZ36" s="167">
        <v>70</v>
      </c>
      <c r="BB36" s="170"/>
      <c r="BC36" s="202" t="e">
        <f>VLOOKUP(A36,ImportDataWA!A$14:AG$112,33,0)</f>
        <v>#N/A</v>
      </c>
      <c r="BD36" s="170">
        <f t="shared" ref="BD36:BD39" si="80">AU36-AY36</f>
        <v>0</v>
      </c>
    </row>
    <row r="37" spans="1:56" hidden="1" x14ac:dyDescent="0.25">
      <c r="A37" s="195" t="s">
        <v>1</v>
      </c>
      <c r="B37" s="9" t="str">
        <f>VLOOKUP($A37,MainData!$A$4:$E$1967,2,FALSE)</f>
        <v>Micro</v>
      </c>
      <c r="C37" s="9" t="str">
        <f>VLOOKUP($A37,MainData!$A$4:$E$1967,3,FALSE)</f>
        <v xml:space="preserve"> Hayder  Hussein Obayes</v>
      </c>
      <c r="D37" s="9" t="str">
        <f>VLOOKUP($A37,MainData!$A$4:$E$1967,4,FALSE)</f>
        <v>Hashimiyah</v>
      </c>
      <c r="E37" s="9" t="str">
        <f>VLOOKUP($A37,MainData!$A$4:$E$1967,5,FALSE)</f>
        <v>Hayder Hashim Mohammed</v>
      </c>
      <c r="F37" s="11">
        <f>SUMIFS(MainData!G:G,MainData!$A:$A,$A37)</f>
        <v>598048.84202695545</v>
      </c>
      <c r="G37" s="11">
        <f t="shared" si="22"/>
        <v>333333.33333333331</v>
      </c>
      <c r="H37" s="53">
        <f t="shared" si="2"/>
        <v>1.7941465260808664</v>
      </c>
      <c r="I37" s="10">
        <f>SUMIFS(MainData!F:F,MainData!$A:$A,$A37)</f>
        <v>244</v>
      </c>
      <c r="J37" s="10">
        <f t="shared" si="23"/>
        <v>400</v>
      </c>
      <c r="K37" s="53">
        <f t="shared" si="3"/>
        <v>0.61</v>
      </c>
      <c r="L37" s="11">
        <f>SUMIFS(MainData!K:K,MainData!$A:$A,$A37)</f>
        <v>50000</v>
      </c>
      <c r="M37" s="11">
        <f t="shared" si="24"/>
        <v>56818.18</v>
      </c>
      <c r="N37" s="53">
        <f t="shared" si="4"/>
        <v>0.88000002816000089</v>
      </c>
      <c r="O37" s="256">
        <f>SUMIFS(MainData!J:J,MainData!$A:$A,$A37)</f>
        <v>13</v>
      </c>
      <c r="P37" s="10">
        <f>IF($B37=$B$4,0,IF($B37=$B$1,VLOOKUP(D37,Target_Entry!$A$8:$AF$23,5,0),IF(LO!B37=LO!$B$2,VLOOKUP(LO!D37,Target_Entry!$A$8:$AF$23,25,0),IF(LO!B37=LO!$B$3,VLOOKUP(LO!D37,Target_Entry!$A$8:$AF$23,15,0)))))</f>
        <v>15</v>
      </c>
      <c r="Q37" s="53">
        <f t="shared" si="5"/>
        <v>0.8666666666666667</v>
      </c>
      <c r="R37" s="10">
        <f>SUMIFS(MainData!J:J,MainData!$A:$A,$A37)</f>
        <v>13</v>
      </c>
      <c r="S37" s="10">
        <f>SUMIFS(MainData!M:M,MainData!$A:$A,$A37)</f>
        <v>5</v>
      </c>
      <c r="T37" s="53">
        <f t="shared" si="6"/>
        <v>0.38461538461538464</v>
      </c>
      <c r="U37" s="10">
        <f>SUMIFS(MainData!L:L,MainData!$A:$A,$A37)</f>
        <v>7</v>
      </c>
      <c r="V37" s="12">
        <f t="shared" si="7"/>
        <v>0.53846153846153844</v>
      </c>
      <c r="W37" s="10">
        <f>SUMIFS(MainData!F:F,MainData!$A:$A,$A37)</f>
        <v>244</v>
      </c>
      <c r="X37" s="12">
        <f t="shared" si="8"/>
        <v>0.97599999999999998</v>
      </c>
      <c r="Y37" s="11">
        <f>SUMIFS(MainData!H:H,MainData!$A:$A,$A37)</f>
        <v>14831.415651515152</v>
      </c>
      <c r="Z37" s="12">
        <f t="shared" si="9"/>
        <v>2.4799672884989327E-2</v>
      </c>
      <c r="AA37" s="11">
        <f>SUMIFS(MainData!I:I,MainData!$A:$A,$A37)</f>
        <v>0</v>
      </c>
      <c r="AB37" s="231">
        <f t="shared" si="10"/>
        <v>0</v>
      </c>
      <c r="AC37" s="182"/>
      <c r="AD37" s="18">
        <f t="shared" si="11"/>
        <v>10</v>
      </c>
      <c r="AE37" s="18">
        <f t="shared" si="12"/>
        <v>0</v>
      </c>
      <c r="AF37" s="18">
        <f t="shared" si="13"/>
        <v>18.000002816000091</v>
      </c>
      <c r="AG37" s="18">
        <f t="shared" si="14"/>
        <v>0</v>
      </c>
      <c r="AH37" s="18">
        <f t="shared" si="15"/>
        <v>7.5600981345032023</v>
      </c>
      <c r="AI37" s="18">
        <f t="shared" si="16"/>
        <v>37.5</v>
      </c>
      <c r="AJ37" s="18">
        <f t="shared" si="17"/>
        <v>4.76</v>
      </c>
      <c r="AK37" s="18">
        <f t="shared" si="18"/>
        <v>1.8461538461538465</v>
      </c>
      <c r="AL37" s="18">
        <f t="shared" si="19"/>
        <v>5</v>
      </c>
      <c r="AM37" s="36">
        <f t="shared" si="20"/>
        <v>85</v>
      </c>
      <c r="AN37" s="36">
        <f t="shared" si="21"/>
        <v>0</v>
      </c>
      <c r="AO37" s="183">
        <v>789</v>
      </c>
      <c r="AP37" s="184">
        <v>90</v>
      </c>
      <c r="AQ37" s="184">
        <v>263</v>
      </c>
      <c r="AR37" s="28">
        <f t="shared" si="73"/>
        <v>1142</v>
      </c>
      <c r="AS37" s="28">
        <f t="shared" si="74"/>
        <v>632</v>
      </c>
      <c r="AT37" s="163">
        <f t="shared" si="75"/>
        <v>510</v>
      </c>
      <c r="AU37" s="28">
        <f>IF(AO37&gt;0,ROUND(AN37/$AN$1*AU$3,0),0)</f>
        <v>0</v>
      </c>
      <c r="AV37" s="147">
        <f>AU37+AS37</f>
        <v>632</v>
      </c>
      <c r="AW37" s="147">
        <f>AV37-AR37</f>
        <v>-510</v>
      </c>
      <c r="AX37" s="148">
        <f>IFERROR(AV37/AR37,0)</f>
        <v>0.55341506129597196</v>
      </c>
      <c r="AY37" s="167">
        <f t="shared" si="79"/>
        <v>0</v>
      </c>
      <c r="AZ37" s="167">
        <f>IF(O37&lt;18,IF(AND(I37&gt;0,I37&lt;=60),60,IF(AND(I37&gt;60,I37&lt;=120),70,IF(AND(I37&gt;120,I37&lt;=200),80,IF(I37&gt;200,90,0)))),IF(O37&gt;=18,IF(AND(I37&gt;0,I37&lt;=60),70,IF(AND(I37&gt;60,I37&lt;=120),80,IF(AND(I37&gt;120,I37&lt;=200),90,100)))))</f>
        <v>90</v>
      </c>
      <c r="BB37" s="170">
        <f>AU37-AY37</f>
        <v>0</v>
      </c>
      <c r="BC37" s="202">
        <f>VLOOKUP(A37,ImportDataWA!A$14:AG$112,33,0)</f>
        <v>99.674377085670457</v>
      </c>
      <c r="BD37" s="170">
        <f t="shared" si="80"/>
        <v>0</v>
      </c>
    </row>
    <row r="38" spans="1:56" ht="13.15" hidden="1" customHeight="1" x14ac:dyDescent="0.25">
      <c r="A38" s="197" t="s">
        <v>28</v>
      </c>
      <c r="B38" s="9" t="str">
        <f>VLOOKUP($A38,MainData!$A$4:$E$1967,2,FALSE)</f>
        <v>Micro</v>
      </c>
      <c r="C38" s="9" t="str">
        <f>VLOOKUP($A38,MainData!$A$4:$E$1967,3,FALSE)</f>
        <v>Dhea Ghani Mohammad</v>
      </c>
      <c r="D38" s="9" t="str">
        <f>VLOOKUP($A38,MainData!$A$4:$E$1967,4,FALSE)</f>
        <v>Hashimiyah</v>
      </c>
      <c r="E38" s="9" t="str">
        <f>VLOOKUP($A38,MainData!$A$4:$E$1967,5,FALSE)</f>
        <v>Hayder Hashim Mohammed</v>
      </c>
      <c r="F38" s="11">
        <f>SUMIFS(MainData!G:G,MainData!$A:$A,$A38)</f>
        <v>718744.97469333815</v>
      </c>
      <c r="G38" s="11">
        <f t="shared" si="22"/>
        <v>333333.33333333331</v>
      </c>
      <c r="H38" s="53">
        <f t="shared" si="2"/>
        <v>2.1562349240800147</v>
      </c>
      <c r="I38" s="10">
        <f>SUMIFS(MainData!F:F,MainData!$A:$A,$A38)</f>
        <v>279</v>
      </c>
      <c r="J38" s="10">
        <f t="shared" si="23"/>
        <v>400</v>
      </c>
      <c r="K38" s="53">
        <f t="shared" si="3"/>
        <v>0.69750000000000001</v>
      </c>
      <c r="L38" s="11">
        <f>SUMIFS(MainData!K:K,MainData!$A:$A,$A38)</f>
        <v>61363.636363636375</v>
      </c>
      <c r="M38" s="11">
        <f t="shared" si="24"/>
        <v>56818.18</v>
      </c>
      <c r="N38" s="53">
        <f t="shared" si="4"/>
        <v>1.0800000345600014</v>
      </c>
      <c r="O38" s="256">
        <f>SUMIFS(MainData!J:J,MainData!$A:$A,$A38)</f>
        <v>13</v>
      </c>
      <c r="P38" s="10">
        <f>IF($B38=$B$4,0,IF($B38=$B$1,VLOOKUP(D38,Target_Entry!$A$8:$AF$23,5,0),IF(LO!B38=LO!$B$2,VLOOKUP(LO!D38,Target_Entry!$A$8:$AF$23,25,0),IF(LO!B38=LO!$B$3,VLOOKUP(LO!D38,Target_Entry!$A$8:$AF$23,15,0)))))</f>
        <v>15</v>
      </c>
      <c r="Q38" s="53">
        <f t="shared" si="5"/>
        <v>0.8666666666666667</v>
      </c>
      <c r="R38" s="10">
        <f>SUMIFS(MainData!J:J,MainData!$A:$A,$A38)</f>
        <v>13</v>
      </c>
      <c r="S38" s="10">
        <f>SUMIFS(MainData!M:M,MainData!$A:$A,$A38)</f>
        <v>5</v>
      </c>
      <c r="T38" s="53">
        <f t="shared" si="6"/>
        <v>0.38461538461538464</v>
      </c>
      <c r="U38" s="10">
        <f>SUMIFS(MainData!L:L,MainData!$A:$A,$A38)</f>
        <v>6</v>
      </c>
      <c r="V38" s="12">
        <f t="shared" si="7"/>
        <v>0.46153846153846156</v>
      </c>
      <c r="W38" s="10">
        <f>SUMIFS(MainData!F:F,MainData!$A:$A,$A38)</f>
        <v>279</v>
      </c>
      <c r="X38" s="12">
        <f t="shared" si="8"/>
        <v>1.1160000000000001</v>
      </c>
      <c r="Y38" s="11">
        <f>SUMIFS(MainData!H:H,MainData!$A:$A,$A38)</f>
        <v>3773.9205454545458</v>
      </c>
      <c r="Z38" s="12">
        <f t="shared" si="9"/>
        <v>5.2507087747844612E-3</v>
      </c>
      <c r="AA38" s="11">
        <f>SUMIFS(MainData!I:I,MainData!$A:$A,$A38)</f>
        <v>9682.9316060606052</v>
      </c>
      <c r="AB38" s="231">
        <f t="shared" si="10"/>
        <v>1.347199903580815E-2</v>
      </c>
      <c r="AC38" s="182"/>
      <c r="AD38" s="18">
        <f t="shared" si="11"/>
        <v>10</v>
      </c>
      <c r="AE38" s="18">
        <f t="shared" si="12"/>
        <v>0</v>
      </c>
      <c r="AF38" s="18">
        <f t="shared" si="13"/>
        <v>38.000003456000123</v>
      </c>
      <c r="AG38" s="18">
        <f t="shared" si="14"/>
        <v>0</v>
      </c>
      <c r="AH38" s="18">
        <f t="shared" si="15"/>
        <v>13.424787367564662</v>
      </c>
      <c r="AI38" s="18">
        <f t="shared" si="16"/>
        <v>34.132000241047962</v>
      </c>
      <c r="AJ38" s="18">
        <f t="shared" si="17"/>
        <v>5</v>
      </c>
      <c r="AK38" s="18">
        <f t="shared" si="18"/>
        <v>1.8461538461538465</v>
      </c>
      <c r="AL38" s="18">
        <f t="shared" si="19"/>
        <v>5</v>
      </c>
      <c r="AM38" s="36">
        <f t="shared" si="20"/>
        <v>107</v>
      </c>
      <c r="AN38" s="36">
        <f t="shared" si="21"/>
        <v>0</v>
      </c>
      <c r="AO38" s="183">
        <v>964</v>
      </c>
      <c r="AP38" s="184">
        <v>0</v>
      </c>
      <c r="AQ38" s="184">
        <v>239</v>
      </c>
      <c r="AR38" s="28">
        <f t="shared" si="73"/>
        <v>1203</v>
      </c>
      <c r="AS38" s="28">
        <f t="shared" si="74"/>
        <v>772</v>
      </c>
      <c r="AT38" s="163">
        <f t="shared" si="75"/>
        <v>431</v>
      </c>
      <c r="AU38" s="28">
        <f>IF(AO38&gt;0,ROUND(AN38/$AN$1*AU$3,0),0)</f>
        <v>0</v>
      </c>
      <c r="AV38" s="147">
        <f>AU38+AS38</f>
        <v>772</v>
      </c>
      <c r="AW38" s="147">
        <f>AV38-AR38</f>
        <v>-431</v>
      </c>
      <c r="AX38" s="148">
        <f>IFERROR(AV38/AR38,0)</f>
        <v>0.6417290108063175</v>
      </c>
      <c r="AY38" s="167">
        <f t="shared" si="79"/>
        <v>0</v>
      </c>
      <c r="AZ38" s="167">
        <f>IF(O38&lt;18,IF(AND(I38&gt;0,I38&lt;=60),60,IF(AND(I38&gt;60,I38&lt;=120),70,IF(AND(I38&gt;120,I38&lt;=200),80,IF(I38&gt;200,90,0)))),IF(O38&gt;=18,IF(AND(I38&gt;0,I38&lt;=60),70,IF(AND(I38&gt;60,I38&lt;=120),80,IF(AND(I38&gt;120,I38&lt;=200),90,100)))))</f>
        <v>90</v>
      </c>
      <c r="BB38" s="170">
        <f>AU38-AY38</f>
        <v>0</v>
      </c>
      <c r="BC38" s="202">
        <f>VLOOKUP(A38,ImportDataWA!A$14:AG$112,33,0)</f>
        <v>99.161809300973886</v>
      </c>
      <c r="BD38" s="170">
        <f t="shared" si="80"/>
        <v>0</v>
      </c>
    </row>
    <row r="39" spans="1:56" hidden="1" x14ac:dyDescent="0.25">
      <c r="A39" s="197" t="s">
        <v>276</v>
      </c>
      <c r="B39" s="9" t="str">
        <f>VLOOKUP($A39,MainData!$A$4:$E$1967,2,FALSE)</f>
        <v>Inactive</v>
      </c>
      <c r="C39" s="9" t="str">
        <f>VLOOKUP($A39,MainData!$A$4:$E$1967,3,FALSE)</f>
        <v>Inactive</v>
      </c>
      <c r="D39" s="9" t="str">
        <f>VLOOKUP($A39,MainData!$A$4:$E$1967,4,FALSE)</f>
        <v>Hashimiyah</v>
      </c>
      <c r="E39" s="9" t="str">
        <f>VLOOKUP($A39,MainData!$A$4:$E$1967,5,FALSE)</f>
        <v>Inactive</v>
      </c>
      <c r="F39" s="11">
        <f>SUMIFS(MainData!G:G,MainData!$A:$A,$A39)</f>
        <v>22916.413325757574</v>
      </c>
      <c r="G39" s="11">
        <f t="shared" si="22"/>
        <v>0</v>
      </c>
      <c r="H39" s="53">
        <f t="shared" si="2"/>
        <v>0</v>
      </c>
      <c r="I39" s="10">
        <f>SUMIFS(MainData!F:F,MainData!$A:$A,$A39)</f>
        <v>7</v>
      </c>
      <c r="J39" s="10">
        <f t="shared" si="23"/>
        <v>0</v>
      </c>
      <c r="K39" s="53">
        <f t="shared" si="3"/>
        <v>0</v>
      </c>
      <c r="L39" s="11">
        <f>SUMIFS(MainData!K:K,MainData!$A:$A,$A39)</f>
        <v>0</v>
      </c>
      <c r="M39" s="11">
        <f t="shared" si="24"/>
        <v>0</v>
      </c>
      <c r="N39" s="53">
        <f t="shared" si="4"/>
        <v>0</v>
      </c>
      <c r="O39" s="256">
        <f>SUMIFS(MainData!J:J,MainData!$A:$A,$A39)</f>
        <v>0</v>
      </c>
      <c r="P39" s="10">
        <f>IF($B39=$B$4,0,IF($B39=$B$1,VLOOKUP(D39,Target_Entry!$A$8:$AF$23,5,0),IF(LO!B39=LO!$B$2,VLOOKUP(LO!D39,Target_Entry!$A$8:$AF$23,25,0),IF(LO!B39=LO!$B$3,VLOOKUP(LO!D39,Target_Entry!$A$8:$AF$23,15,0)))))</f>
        <v>0</v>
      </c>
      <c r="Q39" s="53">
        <f t="shared" si="5"/>
        <v>0</v>
      </c>
      <c r="R39" s="10">
        <f>SUMIFS(MainData!J:J,MainData!$A:$A,$A39)</f>
        <v>0</v>
      </c>
      <c r="S39" s="10">
        <f>SUMIFS(MainData!M:M,MainData!$A:$A,$A39)</f>
        <v>0</v>
      </c>
      <c r="T39" s="53">
        <f t="shared" si="6"/>
        <v>0</v>
      </c>
      <c r="U39" s="10">
        <f>SUMIFS(MainData!L:L,MainData!$A:$A,$A39)</f>
        <v>0</v>
      </c>
      <c r="V39" s="12">
        <f t="shared" si="7"/>
        <v>0</v>
      </c>
      <c r="W39" s="10">
        <f>SUMIFS(MainData!F:F,MainData!$A:$A,$A39)</f>
        <v>7</v>
      </c>
      <c r="X39" s="12">
        <f t="shared" si="8"/>
        <v>2.8000000000000001E-2</v>
      </c>
      <c r="Y39" s="11">
        <f>SUMIFS(MainData!H:H,MainData!$A:$A,$A39)</f>
        <v>0</v>
      </c>
      <c r="Z39" s="12">
        <f t="shared" si="9"/>
        <v>0</v>
      </c>
      <c r="AA39" s="11">
        <f>SUMIFS(MainData!I:I,MainData!$A:$A,$A39)</f>
        <v>0</v>
      </c>
      <c r="AB39" s="231">
        <f t="shared" si="10"/>
        <v>0</v>
      </c>
      <c r="AC39" s="182"/>
      <c r="AD39" s="18">
        <f t="shared" si="11"/>
        <v>0</v>
      </c>
      <c r="AE39" s="18">
        <f t="shared" si="12"/>
        <v>0</v>
      </c>
      <c r="AF39" s="18">
        <f t="shared" si="13"/>
        <v>0</v>
      </c>
      <c r="AG39" s="18">
        <f t="shared" si="14"/>
        <v>0</v>
      </c>
      <c r="AH39" s="18">
        <f t="shared" si="15"/>
        <v>15</v>
      </c>
      <c r="AI39" s="18">
        <f t="shared" si="16"/>
        <v>37.5</v>
      </c>
      <c r="AJ39" s="18">
        <f t="shared" si="17"/>
        <v>0</v>
      </c>
      <c r="AK39" s="18">
        <f t="shared" si="18"/>
        <v>0</v>
      </c>
      <c r="AL39" s="18">
        <f t="shared" si="19"/>
        <v>0</v>
      </c>
      <c r="AM39" s="36">
        <f t="shared" si="20"/>
        <v>53</v>
      </c>
      <c r="AN39" s="36">
        <f t="shared" si="21"/>
        <v>0</v>
      </c>
      <c r="AO39" s="183">
        <v>900</v>
      </c>
      <c r="AP39" s="184">
        <v>25</v>
      </c>
      <c r="AQ39" s="184">
        <v>1</v>
      </c>
      <c r="AR39" s="28">
        <f t="shared" si="73"/>
        <v>926</v>
      </c>
      <c r="AS39" s="28">
        <f t="shared" si="74"/>
        <v>720</v>
      </c>
      <c r="AT39" s="163">
        <f t="shared" si="75"/>
        <v>206</v>
      </c>
      <c r="AU39" s="28">
        <f>IF(AO39&gt;0,ROUND(AN39/$AN$1*AU$3,0),0)</f>
        <v>0</v>
      </c>
      <c r="AV39" s="147">
        <f>AU39+AS39</f>
        <v>720</v>
      </c>
      <c r="AW39" s="147">
        <f>AV39-AR39</f>
        <v>-206</v>
      </c>
      <c r="AX39" s="148">
        <f>IFERROR(AV39/AR39,0)</f>
        <v>0.77753779697624192</v>
      </c>
      <c r="AY39" s="167">
        <f t="shared" si="79"/>
        <v>0</v>
      </c>
      <c r="AZ39" s="167">
        <f>IF(O39&lt;18,IF(AND(I39&gt;0,I39&lt;=60),60,IF(AND(I39&gt;60,I39&lt;=120),70,IF(AND(I39&gt;120,I39&lt;=200),80,IF(I39&gt;200,90,0)))),IF(O39&gt;=18,IF(AND(I39&gt;0,I39&lt;=60),70,IF(AND(I39&gt;60,I39&lt;=120),80,IF(AND(I39&gt;120,I39&lt;=200),90,100)))))</f>
        <v>60</v>
      </c>
      <c r="BB39" s="170">
        <f>AU39-AY39</f>
        <v>0</v>
      </c>
      <c r="BC39" s="202" t="e">
        <f>VLOOKUP(A39,ImportDataWA!A$14:AG$112,33,0)</f>
        <v>#N/A</v>
      </c>
      <c r="BD39" s="170">
        <f t="shared" si="80"/>
        <v>0</v>
      </c>
    </row>
    <row r="40" spans="1:56" hidden="1" x14ac:dyDescent="0.25">
      <c r="A40" s="192" t="s">
        <v>404</v>
      </c>
      <c r="B40" s="189" t="str">
        <f>VLOOKUP($A40,MainData!$A$4:$E$1967,2,FALSE)</f>
        <v>Inactive</v>
      </c>
      <c r="C40" s="189" t="str">
        <f>VLOOKUP($A40,MainData!$A$4:$E$1967,3,FALSE)</f>
        <v>Inactive</v>
      </c>
      <c r="D40" s="189" t="str">
        <f>VLOOKUP($A40,MainData!$A$4:$E$1967,4,FALSE)</f>
        <v>Hashimiyah</v>
      </c>
      <c r="E40" s="189" t="str">
        <f>VLOOKUP($A40,MainData!$A$4:$E$1967,5,FALSE)</f>
        <v>Inactive</v>
      </c>
      <c r="F40" s="11">
        <f>SUMIFS(MainData!G:G,MainData!$A:$A,$A40)</f>
        <v>0</v>
      </c>
      <c r="G40" s="11">
        <f t="shared" si="22"/>
        <v>0</v>
      </c>
      <c r="H40" s="53">
        <f t="shared" si="2"/>
        <v>0</v>
      </c>
      <c r="I40" s="10">
        <f>SUMIFS(MainData!F:F,MainData!$A:$A,$A40)</f>
        <v>0</v>
      </c>
      <c r="J40" s="10">
        <f t="shared" si="23"/>
        <v>0</v>
      </c>
      <c r="K40" s="53">
        <f t="shared" si="3"/>
        <v>0</v>
      </c>
      <c r="L40" s="11">
        <f>SUMIFS(MainData!K:K,MainData!$A:$A,$A40)</f>
        <v>0</v>
      </c>
      <c r="M40" s="11">
        <f t="shared" si="24"/>
        <v>0</v>
      </c>
      <c r="N40" s="53">
        <f t="shared" si="4"/>
        <v>0</v>
      </c>
      <c r="O40" s="256">
        <f>SUMIFS(MainData!J:J,MainData!$A:$A,$A40)</f>
        <v>0</v>
      </c>
      <c r="P40" s="10">
        <f>IF($B40=$B$4,0,IF($B40=$B$1,VLOOKUP(D40,Target_Entry!$A$8:$AF$23,5,0),IF(LO!B40=LO!$B$2,VLOOKUP(LO!D40,Target_Entry!$A$8:$AF$23,25,0),IF(LO!B40=LO!$B$3,VLOOKUP(LO!D40,Target_Entry!$A$8:$AF$23,15,0)))))</f>
        <v>0</v>
      </c>
      <c r="Q40" s="53">
        <f t="shared" si="5"/>
        <v>0</v>
      </c>
      <c r="R40" s="10">
        <f>SUMIFS(MainData!J:J,MainData!$A:$A,$A40)</f>
        <v>0</v>
      </c>
      <c r="S40" s="10">
        <f>SUMIFS(MainData!M:M,MainData!$A:$A,$A40)</f>
        <v>0</v>
      </c>
      <c r="T40" s="53">
        <f t="shared" si="6"/>
        <v>0</v>
      </c>
      <c r="U40" s="10">
        <f>SUMIFS(MainData!L:L,MainData!$A:$A,$A40)</f>
        <v>0</v>
      </c>
      <c r="V40" s="12">
        <f t="shared" si="7"/>
        <v>0</v>
      </c>
      <c r="W40" s="10">
        <f>SUMIFS(MainData!F:F,MainData!$A:$A,$A40)</f>
        <v>0</v>
      </c>
      <c r="X40" s="12">
        <f t="shared" si="8"/>
        <v>0</v>
      </c>
      <c r="Y40" s="11">
        <f>SUMIFS(MainData!H:H,MainData!$A:$A,$A40)</f>
        <v>0</v>
      </c>
      <c r="Z40" s="12">
        <f t="shared" si="9"/>
        <v>0</v>
      </c>
      <c r="AA40" s="11">
        <f>SUMIFS(MainData!I:I,MainData!$A:$A,$A40)</f>
        <v>0</v>
      </c>
      <c r="AB40" s="12">
        <f t="shared" si="10"/>
        <v>0</v>
      </c>
      <c r="AC40" s="182"/>
      <c r="AD40" s="18">
        <f t="shared" si="11"/>
        <v>0</v>
      </c>
      <c r="AE40" s="18">
        <f t="shared" si="12"/>
        <v>0</v>
      </c>
      <c r="AF40" s="18">
        <f t="shared" si="13"/>
        <v>0</v>
      </c>
      <c r="AG40" s="18">
        <f t="shared" si="14"/>
        <v>0</v>
      </c>
      <c r="AH40" s="18">
        <f t="shared" si="15"/>
        <v>15</v>
      </c>
      <c r="AI40" s="18">
        <f t="shared" si="16"/>
        <v>37.5</v>
      </c>
      <c r="AJ40" s="18">
        <f t="shared" si="17"/>
        <v>0</v>
      </c>
      <c r="AK40" s="18">
        <f t="shared" si="18"/>
        <v>0</v>
      </c>
      <c r="AL40" s="18">
        <f t="shared" si="19"/>
        <v>0</v>
      </c>
      <c r="AM40" s="36">
        <f t="shared" si="20"/>
        <v>53</v>
      </c>
      <c r="AN40" s="36">
        <f t="shared" si="21"/>
        <v>0</v>
      </c>
      <c r="AO40" s="185"/>
      <c r="AP40" s="185"/>
      <c r="AQ40" s="185"/>
      <c r="AR40" s="185"/>
      <c r="AS40" s="185"/>
      <c r="AT40" s="185"/>
      <c r="AU40" s="185"/>
      <c r="AV40" s="185"/>
      <c r="AW40" s="185"/>
      <c r="AX40" s="185"/>
      <c r="AY40" s="228"/>
      <c r="AZ40" s="228"/>
      <c r="BA40" s="77"/>
      <c r="BB40" s="77"/>
      <c r="BC40" s="77"/>
    </row>
    <row r="41" spans="1:56" hidden="1" x14ac:dyDescent="0.25">
      <c r="A41" s="198" t="s">
        <v>62</v>
      </c>
      <c r="B41" s="9" t="str">
        <f>VLOOKUP($A41,MainData!$A$4:$E$1967,2,FALSE)</f>
        <v>Micro</v>
      </c>
      <c r="C41" s="9" t="str">
        <f>VLOOKUP($A41,MainData!$A$4:$E$1967,3,FALSE)</f>
        <v xml:space="preserve"> Hayder  Hussein Obayes</v>
      </c>
      <c r="D41" s="9" t="str">
        <f>VLOOKUP($A41,MainData!$A$4:$E$1967,4,FALSE)</f>
        <v>Hashimiyah</v>
      </c>
      <c r="E41" s="9" t="str">
        <f>VLOOKUP($A41,MainData!$A$4:$E$1967,5,FALSE)</f>
        <v>Hayder Hashim Mohammed</v>
      </c>
      <c r="F41" s="11">
        <f>SUMIFS(MainData!G:G,MainData!$A:$A,$A41)</f>
        <v>756561.45054545451</v>
      </c>
      <c r="G41" s="11">
        <f t="shared" si="22"/>
        <v>333333.33333333331</v>
      </c>
      <c r="H41" s="53">
        <f t="shared" si="2"/>
        <v>2.2696843516363638</v>
      </c>
      <c r="I41" s="10">
        <f>SUMIFS(MainData!F:F,MainData!$A:$A,$A41)</f>
        <v>225</v>
      </c>
      <c r="J41" s="10">
        <f t="shared" si="23"/>
        <v>400</v>
      </c>
      <c r="K41" s="53">
        <f t="shared" si="3"/>
        <v>0.5625</v>
      </c>
      <c r="L41" s="11">
        <f>SUMIFS(MainData!K:K,MainData!$A:$A,$A41)</f>
        <v>76439.393939393936</v>
      </c>
      <c r="M41" s="11">
        <f t="shared" si="24"/>
        <v>56818.18</v>
      </c>
      <c r="N41" s="53">
        <f t="shared" si="4"/>
        <v>1.3453333763840014</v>
      </c>
      <c r="O41" s="256">
        <f>SUMIFS(MainData!J:J,MainData!$A:$A,$A41)</f>
        <v>16</v>
      </c>
      <c r="P41" s="10">
        <f>IF($B41=$B$4,0,IF($B41=$B$1,VLOOKUP(D41,Target_Entry!$A$8:$AF$23,5,0),IF(LO!B41=LO!$B$2,VLOOKUP(LO!D41,Target_Entry!$A$8:$AF$23,25,0),IF(LO!B41=LO!$B$3,VLOOKUP(LO!D41,Target_Entry!$A$8:$AF$23,15,0)))))</f>
        <v>15</v>
      </c>
      <c r="Q41" s="53">
        <f t="shared" si="5"/>
        <v>1.0666666666666667</v>
      </c>
      <c r="R41" s="10">
        <f>SUMIFS(MainData!J:J,MainData!$A:$A,$A41)</f>
        <v>16</v>
      </c>
      <c r="S41" s="10">
        <f>SUMIFS(MainData!M:M,MainData!$A:$A,$A41)</f>
        <v>14</v>
      </c>
      <c r="T41" s="53">
        <f t="shared" si="6"/>
        <v>0.875</v>
      </c>
      <c r="U41" s="10">
        <f>SUMIFS(MainData!L:L,MainData!$A:$A,$A41)</f>
        <v>8</v>
      </c>
      <c r="V41" s="12">
        <f t="shared" si="7"/>
        <v>0.5</v>
      </c>
      <c r="W41" s="10">
        <f>SUMIFS(MainData!F:F,MainData!$A:$A,$A41)</f>
        <v>225</v>
      </c>
      <c r="X41" s="12">
        <f t="shared" si="8"/>
        <v>0.9</v>
      </c>
      <c r="Y41" s="11">
        <f>SUMIFS(MainData!H:H,MainData!$A:$A,$A41)</f>
        <v>0</v>
      </c>
      <c r="Z41" s="12">
        <f t="shared" si="9"/>
        <v>0</v>
      </c>
      <c r="AA41" s="11">
        <f>SUMIFS(MainData!I:I,MainData!$A:$A,$A41)</f>
        <v>0</v>
      </c>
      <c r="AB41" s="231">
        <f t="shared" si="10"/>
        <v>0</v>
      </c>
      <c r="AC41" s="182"/>
      <c r="AD41" s="18">
        <f t="shared" si="11"/>
        <v>10</v>
      </c>
      <c r="AE41" s="18">
        <f t="shared" si="12"/>
        <v>0</v>
      </c>
      <c r="AF41" s="18">
        <f t="shared" si="13"/>
        <v>45</v>
      </c>
      <c r="AG41" s="18">
        <f t="shared" si="14"/>
        <v>0</v>
      </c>
      <c r="AH41" s="18">
        <f t="shared" si="15"/>
        <v>15</v>
      </c>
      <c r="AI41" s="18">
        <f t="shared" si="16"/>
        <v>37.5</v>
      </c>
      <c r="AJ41" s="18">
        <f t="shared" si="17"/>
        <v>4</v>
      </c>
      <c r="AK41" s="18">
        <f t="shared" si="18"/>
        <v>5</v>
      </c>
      <c r="AL41" s="18">
        <f t="shared" si="19"/>
        <v>5</v>
      </c>
      <c r="AM41" s="36">
        <f t="shared" si="20"/>
        <v>122</v>
      </c>
      <c r="AN41" s="36">
        <f t="shared" si="21"/>
        <v>122</v>
      </c>
      <c r="AO41" s="183">
        <v>843</v>
      </c>
      <c r="AP41" s="184">
        <v>246</v>
      </c>
      <c r="AQ41" s="184">
        <v>375</v>
      </c>
      <c r="AR41" s="28">
        <f t="shared" ref="AR41:AR46" si="81">SUM(AO41:AQ41)</f>
        <v>1464</v>
      </c>
      <c r="AS41" s="28">
        <f t="shared" ref="AS41:AS46" si="82">IF(AO41&gt;0,ROUNDUP($AO41*AS$3,0),0)</f>
        <v>675</v>
      </c>
      <c r="AT41" s="163">
        <f t="shared" ref="AT41:AT46" si="83">AR41-AS41</f>
        <v>789</v>
      </c>
      <c r="AU41" s="28">
        <f t="shared" ref="AU41:AU46" si="84">IF(AO41&gt;0,ROUND(AN41/$AN$1*AU$3,0),0)</f>
        <v>793</v>
      </c>
      <c r="AV41" s="147">
        <f t="shared" ref="AV41:AV46" si="85">AU41+AS41</f>
        <v>1468</v>
      </c>
      <c r="AW41" s="147">
        <f t="shared" ref="AW41:AW46" si="86">AV41-AR41</f>
        <v>4</v>
      </c>
      <c r="AX41" s="148">
        <f t="shared" ref="AX41:AX46" si="87">IFERROR(AV41/AR41,0)</f>
        <v>1.0027322404371584</v>
      </c>
      <c r="AY41" s="167">
        <f t="shared" ref="AY41:AY42" si="88">AU41</f>
        <v>793</v>
      </c>
      <c r="AZ41" s="167">
        <f>IF(O41&lt;18,IF(AND(I41&gt;0,I41&lt;=60),60,IF(AND(I41&gt;60,I41&lt;=120),70,IF(AND(I41&gt;120,I41&lt;=200),80,IF(I41&gt;200,90,0)))),IF(O41&gt;=18,IF(AND(I41&gt;0,I41&lt;=60),70,IF(AND(I41&gt;60,I41&lt;=120),80,IF(AND(I41&gt;120,I41&lt;=200),90,100)))))</f>
        <v>90</v>
      </c>
      <c r="BB41" s="170">
        <f t="shared" ref="BB41:BB46" si="89">AU41-AY41</f>
        <v>0</v>
      </c>
      <c r="BC41" s="202">
        <f>VLOOKUP(A41,ImportDataWA!A$14:AG$112,33,0)</f>
        <v>100.00000000000004</v>
      </c>
      <c r="BD41" s="170">
        <f t="shared" ref="BD41:BD46" si="90">AU41-AY41</f>
        <v>0</v>
      </c>
    </row>
    <row r="42" spans="1:56" hidden="1" x14ac:dyDescent="0.25">
      <c r="A42" s="197" t="s">
        <v>58</v>
      </c>
      <c r="B42" s="9" t="str">
        <f>VLOOKUP($A42,MainData!$A$4:$E$1967,2,FALSE)</f>
        <v>Micro</v>
      </c>
      <c r="C42" s="9" t="str">
        <f>VLOOKUP($A42,MainData!$A$4:$E$1967,3,FALSE)</f>
        <v>Dhea Ghani Mohammad</v>
      </c>
      <c r="D42" s="9" t="str">
        <f>VLOOKUP($A42,MainData!$A$4:$E$1967,4,FALSE)</f>
        <v>Hashimiyah</v>
      </c>
      <c r="E42" s="9" t="str">
        <f>VLOOKUP($A42,MainData!$A$4:$E$1967,5,FALSE)</f>
        <v>Hayder Hashim Mohammed</v>
      </c>
      <c r="F42" s="11">
        <f>SUMIFS(MainData!G:G,MainData!$A:$A,$A42)</f>
        <v>892400.20514806185</v>
      </c>
      <c r="G42" s="11">
        <f t="shared" si="22"/>
        <v>333333.33333333331</v>
      </c>
      <c r="H42" s="53">
        <f t="shared" si="2"/>
        <v>2.6772006154441859</v>
      </c>
      <c r="I42" s="10">
        <f>SUMIFS(MainData!F:F,MainData!$A:$A,$A42)</f>
        <v>289</v>
      </c>
      <c r="J42" s="10">
        <f t="shared" si="23"/>
        <v>400</v>
      </c>
      <c r="K42" s="53">
        <f t="shared" si="3"/>
        <v>0.72250000000000003</v>
      </c>
      <c r="L42" s="11">
        <f>SUMIFS(MainData!K:K,MainData!$A:$A,$A42)</f>
        <v>53787.878787878792</v>
      </c>
      <c r="M42" s="11">
        <f t="shared" si="24"/>
        <v>56818.18</v>
      </c>
      <c r="N42" s="53">
        <f t="shared" si="4"/>
        <v>0.94666669696000105</v>
      </c>
      <c r="O42" s="256">
        <f>SUMIFS(MainData!J:J,MainData!$A:$A,$A42)</f>
        <v>12</v>
      </c>
      <c r="P42" s="10">
        <f>IF($B42=$B$4,0,IF($B42=$B$1,VLOOKUP(D42,Target_Entry!$A$8:$AF$23,5,0),IF(LO!B42=LO!$B$2,VLOOKUP(LO!D42,Target_Entry!$A$8:$AF$23,25,0),IF(LO!B42=LO!$B$3,VLOOKUP(LO!D42,Target_Entry!$A$8:$AF$23,15,0)))))</f>
        <v>15</v>
      </c>
      <c r="Q42" s="53">
        <f t="shared" si="5"/>
        <v>0.8</v>
      </c>
      <c r="R42" s="10">
        <f>SUMIFS(MainData!J:J,MainData!$A:$A,$A42)</f>
        <v>12</v>
      </c>
      <c r="S42" s="10">
        <f>SUMIFS(MainData!M:M,MainData!$A:$A,$A42)</f>
        <v>9</v>
      </c>
      <c r="T42" s="53">
        <f t="shared" si="6"/>
        <v>0.75</v>
      </c>
      <c r="U42" s="10">
        <f>SUMIFS(MainData!L:L,MainData!$A:$A,$A42)</f>
        <v>3</v>
      </c>
      <c r="V42" s="12">
        <f t="shared" si="7"/>
        <v>0.25</v>
      </c>
      <c r="W42" s="10">
        <f>SUMIFS(MainData!F:F,MainData!$A:$A,$A42)</f>
        <v>289</v>
      </c>
      <c r="X42" s="12">
        <f t="shared" si="8"/>
        <v>1.1559999999999999</v>
      </c>
      <c r="Y42" s="11">
        <f>SUMIFS(MainData!H:H,MainData!$A:$A,$A42)</f>
        <v>10984.035500879447</v>
      </c>
      <c r="Z42" s="12">
        <f t="shared" si="9"/>
        <v>1.2308418843378728E-2</v>
      </c>
      <c r="AA42" s="11">
        <f>SUMIFS(MainData!I:I,MainData!$A:$A,$A42)</f>
        <v>9481.7196439393938</v>
      </c>
      <c r="AB42" s="12">
        <f t="shared" si="10"/>
        <v>1.0624963541291704E-2</v>
      </c>
      <c r="AC42" s="182"/>
      <c r="AD42" s="18">
        <f t="shared" si="11"/>
        <v>10</v>
      </c>
      <c r="AE42" s="18">
        <f t="shared" si="12"/>
        <v>0</v>
      </c>
      <c r="AF42" s="18">
        <f t="shared" si="13"/>
        <v>24.666669696000096</v>
      </c>
      <c r="AG42" s="18">
        <f t="shared" si="14"/>
        <v>0</v>
      </c>
      <c r="AH42" s="18">
        <f t="shared" si="15"/>
        <v>11.307474346986382</v>
      </c>
      <c r="AI42" s="18">
        <f t="shared" si="16"/>
        <v>34.843759114677077</v>
      </c>
      <c r="AJ42" s="18">
        <f t="shared" si="17"/>
        <v>5</v>
      </c>
      <c r="AK42" s="18">
        <f t="shared" si="18"/>
        <v>5</v>
      </c>
      <c r="AL42" s="18">
        <f t="shared" si="19"/>
        <v>4.166666666666667</v>
      </c>
      <c r="AM42" s="36">
        <f t="shared" si="20"/>
        <v>95</v>
      </c>
      <c r="AN42" s="36">
        <f t="shared" si="21"/>
        <v>0</v>
      </c>
      <c r="AO42" s="183">
        <v>913</v>
      </c>
      <c r="AP42" s="184">
        <v>0</v>
      </c>
      <c r="AQ42" s="184">
        <v>19</v>
      </c>
      <c r="AR42" s="28">
        <f t="shared" si="81"/>
        <v>932</v>
      </c>
      <c r="AS42" s="28">
        <f t="shared" si="82"/>
        <v>731</v>
      </c>
      <c r="AT42" s="163">
        <f t="shared" si="83"/>
        <v>201</v>
      </c>
      <c r="AU42" s="28">
        <f t="shared" si="84"/>
        <v>0</v>
      </c>
      <c r="AV42" s="147">
        <f t="shared" si="85"/>
        <v>731</v>
      </c>
      <c r="AW42" s="147">
        <f t="shared" si="86"/>
        <v>-201</v>
      </c>
      <c r="AX42" s="148">
        <f t="shared" si="87"/>
        <v>0.78433476394849788</v>
      </c>
      <c r="AY42" s="167">
        <f t="shared" si="88"/>
        <v>0</v>
      </c>
      <c r="AZ42" s="167">
        <f>IF(O42&lt;18,IF(AND(I42&gt;0,I42&lt;=60),60,IF(AND(I42&gt;60,I42&lt;=120),70,IF(AND(I42&gt;120,I42&lt;=200),80,IF(I42&gt;200,90,0)))),IF(O42&gt;=18,IF(AND(I42&gt;0,I42&lt;=60),70,IF(AND(I42&gt;60,I42&lt;=120),80,IF(AND(I42&gt;120,I42&lt;=200),90,100)))))</f>
        <v>90</v>
      </c>
      <c r="BB42" s="170">
        <f t="shared" si="89"/>
        <v>0</v>
      </c>
      <c r="BC42" s="202">
        <f>VLOOKUP(A42,ImportDataWA!A$14:AG$112,33,0)</f>
        <v>99.053002482532804</v>
      </c>
      <c r="BD42" s="170">
        <f t="shared" si="90"/>
        <v>0</v>
      </c>
    </row>
    <row r="43" spans="1:56" hidden="1" x14ac:dyDescent="0.25">
      <c r="A43" s="195" t="s">
        <v>103</v>
      </c>
      <c r="B43" s="9" t="str">
        <f>VLOOKUP($A43,MainData!$A$4:$E$1967,2,FALSE)</f>
        <v>SE</v>
      </c>
      <c r="C43" s="9" t="str">
        <f>VLOOKUP($A43,MainData!$A$4:$E$1967,3,FALSE)</f>
        <v xml:space="preserve"> Hayder  Hussein Obayes</v>
      </c>
      <c r="D43" s="9" t="str">
        <f>VLOOKUP($A43,MainData!$A$4:$E$1967,4,FALSE)</f>
        <v>Hashimiyah</v>
      </c>
      <c r="E43" s="9" t="str">
        <f>VLOOKUP($A43,MainData!$A$4:$E$1967,5,FALSE)</f>
        <v>Ammar Jawad hasan</v>
      </c>
      <c r="F43" s="11">
        <f>SUMIFS(MainData!G:G,MainData!$A:$A,$A43)</f>
        <v>865489.53938956338</v>
      </c>
      <c r="G43" s="11">
        <f t="shared" si="22"/>
        <v>2111111.111111111</v>
      </c>
      <c r="H43" s="53">
        <f t="shared" si="2"/>
        <v>0.40996872918453003</v>
      </c>
      <c r="I43" s="10">
        <f>SUMIFS(MainData!F:F,MainData!$A:$A,$A43)</f>
        <v>83</v>
      </c>
      <c r="J43" s="10">
        <f t="shared" si="23"/>
        <v>222</v>
      </c>
      <c r="K43" s="53">
        <f t="shared" si="3"/>
        <v>0.37387387387387389</v>
      </c>
      <c r="L43" s="11">
        <f>SUMIFS(MainData!K:K,MainData!$A:$A,$A43)</f>
        <v>86363.636363636368</v>
      </c>
      <c r="M43" s="11">
        <f t="shared" si="24"/>
        <v>94696.97</v>
      </c>
      <c r="N43" s="53">
        <f t="shared" si="4"/>
        <v>0.91199999708160007</v>
      </c>
      <c r="O43" s="256">
        <f>SUMIFS(MainData!J:J,MainData!$A:$A,$A43)</f>
        <v>5</v>
      </c>
      <c r="P43" s="10">
        <f>IF($B43=$B$4,0,IF($B43=$B$1,VLOOKUP(D43,Target_Entry!$A$8:$AF$23,5,0),IF(LO!B43=LO!$B$2,VLOOKUP(LO!D43,Target_Entry!$A$8:$AF$23,25,0),IF(LO!B43=LO!$B$3,VLOOKUP(LO!D43,Target_Entry!$A$8:$AF$23,15,0)))))</f>
        <v>3</v>
      </c>
      <c r="Q43" s="53">
        <f t="shared" si="5"/>
        <v>1.6666666666666667</v>
      </c>
      <c r="R43" s="10">
        <f>SUMIFS(MainData!J:J,MainData!$A:$A,$A43)</f>
        <v>5</v>
      </c>
      <c r="S43" s="10">
        <f>SUMIFS(MainData!M:M,MainData!$A:$A,$A43)</f>
        <v>4</v>
      </c>
      <c r="T43" s="53">
        <f t="shared" si="6"/>
        <v>0.8</v>
      </c>
      <c r="U43" s="10">
        <f>SUMIFS(MainData!L:L,MainData!$A:$A,$A43)</f>
        <v>1</v>
      </c>
      <c r="V43" s="12">
        <f t="shared" si="7"/>
        <v>0.2</v>
      </c>
      <c r="W43" s="10">
        <f>SUMIFS(MainData!F:F,MainData!$A:$A,$A43)</f>
        <v>83</v>
      </c>
      <c r="X43" s="12">
        <f t="shared" si="8"/>
        <v>0.83</v>
      </c>
      <c r="Y43" s="11">
        <f>SUMIFS(MainData!H:H,MainData!$A:$A,$A43)</f>
        <v>0</v>
      </c>
      <c r="Z43" s="12">
        <f t="shared" si="9"/>
        <v>0</v>
      </c>
      <c r="AA43" s="11">
        <f>SUMIFS(MainData!I:I,MainData!$A:$A,$A43)</f>
        <v>8242.8172690534448</v>
      </c>
      <c r="AB43" s="12">
        <f t="shared" si="10"/>
        <v>9.523878561105625E-3</v>
      </c>
      <c r="AC43" s="182"/>
      <c r="AD43" s="18">
        <f t="shared" si="11"/>
        <v>0</v>
      </c>
      <c r="AE43" s="18">
        <f t="shared" si="12"/>
        <v>0</v>
      </c>
      <c r="AF43" s="18">
        <f t="shared" si="13"/>
        <v>21.199999708160004</v>
      </c>
      <c r="AG43" s="18">
        <f t="shared" si="14"/>
        <v>0</v>
      </c>
      <c r="AH43" s="18">
        <f t="shared" si="15"/>
        <v>15</v>
      </c>
      <c r="AI43" s="18">
        <f t="shared" si="16"/>
        <v>35.119030359723595</v>
      </c>
      <c r="AJ43" s="18">
        <f t="shared" si="17"/>
        <v>3.3</v>
      </c>
      <c r="AK43" s="18">
        <f t="shared" si="18"/>
        <v>5</v>
      </c>
      <c r="AL43" s="18">
        <f t="shared" si="19"/>
        <v>3.3333333333333339</v>
      </c>
      <c r="AM43" s="36">
        <f t="shared" si="20"/>
        <v>83</v>
      </c>
      <c r="AN43" s="36">
        <f t="shared" si="21"/>
        <v>0</v>
      </c>
      <c r="AO43" s="183"/>
      <c r="AP43" s="184"/>
      <c r="AQ43" s="184"/>
      <c r="AR43" s="28">
        <f t="shared" si="81"/>
        <v>0</v>
      </c>
      <c r="AS43" s="28">
        <f t="shared" si="82"/>
        <v>0</v>
      </c>
      <c r="AT43" s="28">
        <f t="shared" si="83"/>
        <v>0</v>
      </c>
      <c r="AU43" s="28">
        <f t="shared" si="84"/>
        <v>0</v>
      </c>
      <c r="AV43" s="147">
        <f t="shared" si="85"/>
        <v>0</v>
      </c>
      <c r="AW43" s="147">
        <f t="shared" si="86"/>
        <v>0</v>
      </c>
      <c r="AX43" s="148">
        <f t="shared" si="87"/>
        <v>0</v>
      </c>
      <c r="AY43" s="167">
        <f>IF(O43&lt;3,0,0)+IF(O43=3,300,0)+IF(O43=4,400,0)+IF(O43=5,500,0)+IF(O43=6,600,0)</f>
        <v>500</v>
      </c>
      <c r="AZ43" s="167">
        <f>IF(O43&lt;3,75)+IF(O43=3,150)+IF(O43=4,150)+IF(O43=5,150)+IF(O43&gt;=6,200)</f>
        <v>150</v>
      </c>
      <c r="BA43">
        <v>3</v>
      </c>
      <c r="BB43" s="170">
        <f t="shared" si="89"/>
        <v>-500</v>
      </c>
      <c r="BC43" s="202">
        <f>VLOOKUP(A43,ImportDataWA!A$14:AG$112,33,0)</f>
        <v>98.965440949820035</v>
      </c>
      <c r="BD43" s="170">
        <f t="shared" si="90"/>
        <v>-500</v>
      </c>
    </row>
    <row r="44" spans="1:56" hidden="1" x14ac:dyDescent="0.25">
      <c r="A44" s="230" t="s">
        <v>104</v>
      </c>
      <c r="B44" s="9" t="str">
        <f>VLOOKUP($A44,MainData!$A$4:$E$1967,2,FALSE)</f>
        <v>Micro</v>
      </c>
      <c r="C44" s="9" t="str">
        <f>VLOOKUP($A44,MainData!$A$4:$E$1967,3,FALSE)</f>
        <v>Dhea Ghani Mohammad</v>
      </c>
      <c r="D44" s="9" t="str">
        <f>VLOOKUP($A44,MainData!$A$4:$E$1967,4,FALSE)</f>
        <v>Hashimiyah</v>
      </c>
      <c r="E44" s="9" t="str">
        <f>VLOOKUP($A44,MainData!$A$4:$E$1967,5,FALSE)</f>
        <v>Hayder Hashim Mohammed</v>
      </c>
      <c r="F44" s="11">
        <f>SUMIFS(MainData!G:G,MainData!$A:$A,$A44)</f>
        <v>737569.93490036344</v>
      </c>
      <c r="G44" s="11">
        <f t="shared" si="22"/>
        <v>333333.33333333331</v>
      </c>
      <c r="H44" s="53">
        <f t="shared" si="2"/>
        <v>2.2127098047010905</v>
      </c>
      <c r="I44" s="10">
        <f>SUMIFS(MainData!F:F,MainData!$A:$A,$A44)</f>
        <v>252</v>
      </c>
      <c r="J44" s="10">
        <f t="shared" si="23"/>
        <v>400</v>
      </c>
      <c r="K44" s="53">
        <f t="shared" si="3"/>
        <v>0.63</v>
      </c>
      <c r="L44" s="11">
        <f>SUMIFS(MainData!K:K,MainData!$A:$A,$A44)</f>
        <v>78787.878787878784</v>
      </c>
      <c r="M44" s="11">
        <f t="shared" si="24"/>
        <v>56818.18</v>
      </c>
      <c r="N44" s="53">
        <f t="shared" si="4"/>
        <v>1.3866667110400013</v>
      </c>
      <c r="O44" s="256">
        <f>SUMIFS(MainData!J:J,MainData!$A:$A,$A44)</f>
        <v>15</v>
      </c>
      <c r="P44" s="10">
        <f>IF($B44=$B$4,0,IF($B44=$B$1,VLOOKUP(D44,Target_Entry!$A$8:$AF$23,5,0),IF(LO!B44=LO!$B$2,VLOOKUP(LO!D44,Target_Entry!$A$8:$AF$23,25,0),IF(LO!B44=LO!$B$3,VLOOKUP(LO!D44,Target_Entry!$A$8:$AF$23,15,0)))))</f>
        <v>15</v>
      </c>
      <c r="Q44" s="53">
        <f t="shared" si="5"/>
        <v>1</v>
      </c>
      <c r="R44" s="10">
        <f>SUMIFS(MainData!J:J,MainData!$A:$A,$A44)</f>
        <v>15</v>
      </c>
      <c r="S44" s="10">
        <f>SUMIFS(MainData!M:M,MainData!$A:$A,$A44)</f>
        <v>7</v>
      </c>
      <c r="T44" s="53">
        <f t="shared" si="6"/>
        <v>0.46666666666666667</v>
      </c>
      <c r="U44" s="10">
        <f>SUMIFS(MainData!L:L,MainData!$A:$A,$A44)</f>
        <v>5</v>
      </c>
      <c r="V44" s="12">
        <f t="shared" si="7"/>
        <v>0.33333333333333331</v>
      </c>
      <c r="W44" s="10">
        <f>SUMIFS(MainData!F:F,MainData!$A:$A,$A44)</f>
        <v>252</v>
      </c>
      <c r="X44" s="12">
        <f t="shared" si="8"/>
        <v>1.008</v>
      </c>
      <c r="Y44" s="11">
        <f>SUMIFS(MainData!H:H,MainData!$A:$A,$A44)</f>
        <v>0</v>
      </c>
      <c r="Z44" s="12">
        <f t="shared" si="9"/>
        <v>0</v>
      </c>
      <c r="AA44" s="11">
        <f>SUMIFS(MainData!I:I,MainData!$A:$A,$A44)</f>
        <v>0</v>
      </c>
      <c r="AB44" s="231">
        <f t="shared" si="10"/>
        <v>0</v>
      </c>
      <c r="AC44" s="182"/>
      <c r="AD44" s="18">
        <f t="shared" si="11"/>
        <v>10</v>
      </c>
      <c r="AE44" s="18">
        <f t="shared" si="12"/>
        <v>0</v>
      </c>
      <c r="AF44" s="18">
        <f t="shared" si="13"/>
        <v>45</v>
      </c>
      <c r="AG44" s="18">
        <f t="shared" si="14"/>
        <v>0</v>
      </c>
      <c r="AH44" s="18">
        <f t="shared" si="15"/>
        <v>15</v>
      </c>
      <c r="AI44" s="18">
        <f t="shared" si="16"/>
        <v>37.5</v>
      </c>
      <c r="AJ44" s="18">
        <f t="shared" si="17"/>
        <v>5</v>
      </c>
      <c r="AK44" s="18">
        <f t="shared" si="18"/>
        <v>2.666666666666667</v>
      </c>
      <c r="AL44" s="18">
        <f t="shared" si="19"/>
        <v>5</v>
      </c>
      <c r="AM44" s="36">
        <f t="shared" si="20"/>
        <v>120</v>
      </c>
      <c r="AN44" s="36">
        <f t="shared" si="21"/>
        <v>120</v>
      </c>
      <c r="AO44" s="183">
        <v>743</v>
      </c>
      <c r="AP44" s="184">
        <v>130</v>
      </c>
      <c r="AQ44" s="184">
        <v>281</v>
      </c>
      <c r="AR44" s="28">
        <f t="shared" si="81"/>
        <v>1154</v>
      </c>
      <c r="AS44" s="28">
        <f t="shared" si="82"/>
        <v>595</v>
      </c>
      <c r="AT44" s="163">
        <f t="shared" si="83"/>
        <v>559</v>
      </c>
      <c r="AU44" s="28">
        <f t="shared" si="84"/>
        <v>780</v>
      </c>
      <c r="AV44" s="147">
        <f t="shared" si="85"/>
        <v>1375</v>
      </c>
      <c r="AW44" s="147">
        <f t="shared" si="86"/>
        <v>221</v>
      </c>
      <c r="AX44" s="148">
        <f t="shared" si="87"/>
        <v>1.1915077989601386</v>
      </c>
      <c r="AY44" s="167">
        <f t="shared" ref="AY44:AY45" si="91">AU44</f>
        <v>780</v>
      </c>
      <c r="AZ44" s="167">
        <f>IF(O44&lt;18,IF(AND(I44&gt;0,I44&lt;=60),60,IF(AND(I44&gt;60,I44&lt;=120),70,IF(AND(I44&gt;120,I44&lt;=200),80,IF(I44&gt;200,90,0)))),IF(O44&gt;=18,IF(AND(I44&gt;0,I44&lt;=60),70,IF(AND(I44&gt;60,I44&lt;=120),80,IF(AND(I44&gt;120,I44&lt;=200),90,100)))))</f>
        <v>90</v>
      </c>
      <c r="BB44" s="170">
        <f t="shared" si="89"/>
        <v>0</v>
      </c>
      <c r="BC44" s="202">
        <f>VLOOKUP(A44,ImportDataWA!A$14:AG$112,33,0)</f>
        <v>100</v>
      </c>
      <c r="BD44" s="170">
        <f t="shared" si="90"/>
        <v>0</v>
      </c>
    </row>
    <row r="45" spans="1:56" hidden="1" x14ac:dyDescent="0.25">
      <c r="A45" s="321" t="s">
        <v>112</v>
      </c>
      <c r="B45" s="189" t="str">
        <f>VLOOKUP($A45,MainData!$A$4:$E$1967,2,FALSE)</f>
        <v>Inactive</v>
      </c>
      <c r="C45" s="189" t="str">
        <f>VLOOKUP($A45,MainData!$A$4:$E$1967,3,FALSE)</f>
        <v>Inactive</v>
      </c>
      <c r="D45" s="189" t="str">
        <f>VLOOKUP($A45,MainData!$A$4:$E$1967,4,FALSE)</f>
        <v>Hashimiyah</v>
      </c>
      <c r="E45" s="189" t="str">
        <f>VLOOKUP($A45,MainData!$A$4:$E$1967,5,FALSE)</f>
        <v>Inactive</v>
      </c>
      <c r="F45" s="11">
        <f>SUMIFS(MainData!G:G,MainData!$A:$A,$A45)</f>
        <v>0</v>
      </c>
      <c r="G45" s="11">
        <f t="shared" si="22"/>
        <v>0</v>
      </c>
      <c r="H45" s="53">
        <f t="shared" si="2"/>
        <v>0</v>
      </c>
      <c r="I45" s="10">
        <f>SUMIFS(MainData!F:F,MainData!$A:$A,$A45)</f>
        <v>0</v>
      </c>
      <c r="J45" s="10">
        <f t="shared" si="23"/>
        <v>0</v>
      </c>
      <c r="K45" s="53">
        <f t="shared" si="3"/>
        <v>0</v>
      </c>
      <c r="L45" s="11">
        <f>SUMIFS(MainData!K:K,MainData!$A:$A,$A45)</f>
        <v>0</v>
      </c>
      <c r="M45" s="11">
        <f t="shared" si="24"/>
        <v>0</v>
      </c>
      <c r="N45" s="53">
        <f t="shared" si="4"/>
        <v>0</v>
      </c>
      <c r="O45" s="256">
        <f>SUMIFS(MainData!J:J,MainData!$A:$A,$A45)</f>
        <v>0</v>
      </c>
      <c r="P45" s="10">
        <f>IF($B45=$B$4,0,IF($B45=$B$1,VLOOKUP(D45,Target_Entry!$A$8:$AF$23,5,0),IF(LO!B45=LO!$B$2,VLOOKUP(LO!D45,Target_Entry!$A$8:$AF$23,25,0),IF(LO!B45=LO!$B$3,VLOOKUP(LO!D45,Target_Entry!$A$8:$AF$23,15,0)))))</f>
        <v>0</v>
      </c>
      <c r="Q45" s="53">
        <f t="shared" si="5"/>
        <v>0</v>
      </c>
      <c r="R45" s="10">
        <f>SUMIFS(MainData!J:J,MainData!$A:$A,$A45)</f>
        <v>0</v>
      </c>
      <c r="S45" s="10">
        <f>SUMIFS(MainData!M:M,MainData!$A:$A,$A45)</f>
        <v>0</v>
      </c>
      <c r="T45" s="53">
        <f t="shared" si="6"/>
        <v>0</v>
      </c>
      <c r="U45" s="10">
        <f>SUMIFS(MainData!L:L,MainData!$A:$A,$A45)</f>
        <v>0</v>
      </c>
      <c r="V45" s="12">
        <f t="shared" si="7"/>
        <v>0</v>
      </c>
      <c r="W45" s="10">
        <f>SUMIFS(MainData!F:F,MainData!$A:$A,$A45)</f>
        <v>0</v>
      </c>
      <c r="X45" s="12">
        <f t="shared" si="8"/>
        <v>0</v>
      </c>
      <c r="Y45" s="11">
        <f>SUMIFS(MainData!H:H,MainData!$A:$A,$A45)</f>
        <v>0</v>
      </c>
      <c r="Z45" s="12">
        <f t="shared" si="9"/>
        <v>0</v>
      </c>
      <c r="AA45" s="11">
        <f>SUMIFS(MainData!I:I,MainData!$A:$A,$A45)</f>
        <v>0</v>
      </c>
      <c r="AB45" s="12">
        <f t="shared" si="10"/>
        <v>0</v>
      </c>
      <c r="AC45" s="182"/>
      <c r="AD45" s="18">
        <f t="shared" si="11"/>
        <v>0</v>
      </c>
      <c r="AE45" s="18">
        <f t="shared" si="12"/>
        <v>0</v>
      </c>
      <c r="AF45" s="18">
        <f t="shared" si="13"/>
        <v>0</v>
      </c>
      <c r="AG45" s="18">
        <f t="shared" si="14"/>
        <v>0</v>
      </c>
      <c r="AH45" s="18">
        <f t="shared" si="15"/>
        <v>15</v>
      </c>
      <c r="AI45" s="18">
        <f t="shared" si="16"/>
        <v>37.5</v>
      </c>
      <c r="AJ45" s="18">
        <f t="shared" si="17"/>
        <v>0</v>
      </c>
      <c r="AK45" s="18">
        <f t="shared" si="18"/>
        <v>0</v>
      </c>
      <c r="AL45" s="18">
        <f t="shared" si="19"/>
        <v>0</v>
      </c>
      <c r="AM45" s="36">
        <f t="shared" si="20"/>
        <v>53</v>
      </c>
      <c r="AN45" s="36">
        <f t="shared" si="21"/>
        <v>0</v>
      </c>
      <c r="AO45" s="183">
        <v>715</v>
      </c>
      <c r="AP45" s="184">
        <v>44</v>
      </c>
      <c r="AQ45" s="184">
        <v>50</v>
      </c>
      <c r="AR45" s="28">
        <f t="shared" si="81"/>
        <v>809</v>
      </c>
      <c r="AS45" s="28">
        <f t="shared" si="82"/>
        <v>572</v>
      </c>
      <c r="AT45" s="163">
        <f t="shared" si="83"/>
        <v>237</v>
      </c>
      <c r="AU45" s="28">
        <f t="shared" si="84"/>
        <v>0</v>
      </c>
      <c r="AV45" s="147">
        <f t="shared" si="85"/>
        <v>572</v>
      </c>
      <c r="AW45" s="147">
        <f t="shared" si="86"/>
        <v>-237</v>
      </c>
      <c r="AX45" s="148">
        <f t="shared" si="87"/>
        <v>0.70704573547589622</v>
      </c>
      <c r="AY45" s="167">
        <f t="shared" si="91"/>
        <v>0</v>
      </c>
      <c r="AZ45" s="167">
        <f>IF(O45&lt;18,IF(AND(I45&gt;0,I45&lt;=60),60,IF(AND(I45&gt;60,I45&lt;=120),70,IF(AND(I45&gt;120,I45&lt;=200),80,IF(I45&gt;200,90,0)))),IF(O45&gt;=18,IF(AND(I45&gt;0,I45&lt;=60),70,IF(AND(I45&gt;60,I45&lt;=120),80,IF(AND(I45&gt;120,I45&lt;=200),90,100)))))</f>
        <v>0</v>
      </c>
      <c r="BB45" s="170">
        <f t="shared" si="89"/>
        <v>0</v>
      </c>
      <c r="BC45" s="202" t="e">
        <f>VLOOKUP(A45,ImportDataWA!A$14:AG$112,33,0)</f>
        <v>#N/A</v>
      </c>
      <c r="BD45" s="170">
        <f t="shared" si="90"/>
        <v>0</v>
      </c>
    </row>
    <row r="46" spans="1:56" hidden="1" x14ac:dyDescent="0.25">
      <c r="A46" s="195" t="s">
        <v>7</v>
      </c>
      <c r="B46" s="9" t="str">
        <f>VLOOKUP($A46,MainData!$A$4:$E$1967,2,FALSE)</f>
        <v>SE</v>
      </c>
      <c r="C46" s="9" t="str">
        <f>VLOOKUP($A46,MainData!$A$4:$E$1967,3,FALSE)</f>
        <v>Hasanain Kadhum Abed</v>
      </c>
      <c r="D46" s="9" t="str">
        <f>VLOOKUP($A46,MainData!$A$4:$E$1967,4,FALSE)</f>
        <v>Hilla</v>
      </c>
      <c r="E46" s="9" t="str">
        <f>VLOOKUP($A46,MainData!$A$4:$E$1967,5,FALSE)</f>
        <v>Ammar Jawad hasan</v>
      </c>
      <c r="F46" s="11">
        <f>SUMIFS(MainData!G:G,MainData!$A:$A,$A46)</f>
        <v>1455457.4463443225</v>
      </c>
      <c r="G46" s="11">
        <f t="shared" si="22"/>
        <v>2111111.111111111</v>
      </c>
      <c r="H46" s="53">
        <f t="shared" si="2"/>
        <v>0.68942721142625807</v>
      </c>
      <c r="I46" s="10">
        <f>SUMIFS(MainData!F:F,MainData!$A:$A,$A46)</f>
        <v>73</v>
      </c>
      <c r="J46" s="10">
        <f t="shared" si="23"/>
        <v>222</v>
      </c>
      <c r="K46" s="53">
        <f t="shared" si="3"/>
        <v>0.32882882882882886</v>
      </c>
      <c r="L46" s="11">
        <f>SUMIFS(MainData!K:K,MainData!$A:$A,$A46)</f>
        <v>0</v>
      </c>
      <c r="M46" s="11">
        <f t="shared" si="24"/>
        <v>94696.97</v>
      </c>
      <c r="N46" s="53">
        <f t="shared" si="4"/>
        <v>0</v>
      </c>
      <c r="O46" s="256">
        <f>SUMIFS(MainData!J:J,MainData!$A:$A,$A46)</f>
        <v>0</v>
      </c>
      <c r="P46" s="10">
        <f>IF($B46=$B$4,0,IF($B46=$B$1,VLOOKUP(D46,Target_Entry!$A$8:$AF$23,5,0),IF(LO!B46=LO!$B$2,VLOOKUP(LO!D46,Target_Entry!$A$8:$AF$23,25,0),IF(LO!B46=LO!$B$3,VLOOKUP(LO!D46,Target_Entry!$A$8:$AF$23,15,0)))))</f>
        <v>3</v>
      </c>
      <c r="Q46" s="53">
        <f t="shared" si="5"/>
        <v>0</v>
      </c>
      <c r="R46" s="10">
        <f>SUMIFS(MainData!J:J,MainData!$A:$A,$A46)</f>
        <v>0</v>
      </c>
      <c r="S46" s="10">
        <f>SUMIFS(MainData!M:M,MainData!$A:$A,$A46)</f>
        <v>0</v>
      </c>
      <c r="T46" s="53">
        <f t="shared" si="6"/>
        <v>0</v>
      </c>
      <c r="U46" s="10">
        <f>SUMIFS(MainData!L:L,MainData!$A:$A,$A46)</f>
        <v>0</v>
      </c>
      <c r="V46" s="12">
        <f t="shared" si="7"/>
        <v>0</v>
      </c>
      <c r="W46" s="10">
        <f>SUMIFS(MainData!F:F,MainData!$A:$A,$A46)</f>
        <v>73</v>
      </c>
      <c r="X46" s="12">
        <f t="shared" si="8"/>
        <v>0.73</v>
      </c>
      <c r="Y46" s="11">
        <f>SUMIFS(MainData!H:H,MainData!$A:$A,$A46)</f>
        <v>49317.606878787876</v>
      </c>
      <c r="Z46" s="12">
        <f t="shared" si="9"/>
        <v>3.3884609270205104E-2</v>
      </c>
      <c r="AA46" s="11">
        <f>SUMIFS(MainData!I:I,MainData!$A:$A,$A46)</f>
        <v>91983.202242424246</v>
      </c>
      <c r="AB46" s="12">
        <f t="shared" si="10"/>
        <v>6.3198826233950553E-2</v>
      </c>
      <c r="AC46" s="182"/>
      <c r="AD46" s="18">
        <f t="shared" si="11"/>
        <v>0</v>
      </c>
      <c r="AE46" s="18">
        <f t="shared" si="12"/>
        <v>0</v>
      </c>
      <c r="AF46" s="18">
        <f>MAX(AF$5,MIN(AF$4,AF$1*(N46/(AF$2-AF$3)-(AF$3/(AF$2-AF$3)))))</f>
        <v>0</v>
      </c>
      <c r="AG46" s="18">
        <f t="shared" si="14"/>
        <v>0</v>
      </c>
      <c r="AH46" s="18">
        <f t="shared" si="15"/>
        <v>4.8346172189384689</v>
      </c>
      <c r="AI46" s="18">
        <f t="shared" si="16"/>
        <v>21.700293441512361</v>
      </c>
      <c r="AJ46" s="18">
        <f t="shared" si="17"/>
        <v>2.2999999999999998</v>
      </c>
      <c r="AK46" s="18">
        <f t="shared" si="18"/>
        <v>0</v>
      </c>
      <c r="AL46" s="18">
        <f t="shared" si="19"/>
        <v>0</v>
      </c>
      <c r="AM46" s="36">
        <f t="shared" si="20"/>
        <v>29</v>
      </c>
      <c r="AN46" s="36">
        <f t="shared" si="21"/>
        <v>0</v>
      </c>
      <c r="AO46" s="183"/>
      <c r="AP46" s="184"/>
      <c r="AQ46" s="184"/>
      <c r="AR46" s="28">
        <f t="shared" si="81"/>
        <v>0</v>
      </c>
      <c r="AS46" s="28">
        <f t="shared" si="82"/>
        <v>0</v>
      </c>
      <c r="AT46" s="28">
        <f t="shared" si="83"/>
        <v>0</v>
      </c>
      <c r="AU46" s="28">
        <f t="shared" si="84"/>
        <v>0</v>
      </c>
      <c r="AV46" s="147">
        <f t="shared" si="85"/>
        <v>0</v>
      </c>
      <c r="AW46" s="147">
        <f t="shared" si="86"/>
        <v>0</v>
      </c>
      <c r="AX46" s="148">
        <f t="shared" si="87"/>
        <v>0</v>
      </c>
      <c r="AY46" s="167">
        <f>IF(O46&lt;3,0,0)+IF(O46=3,300,0)+IF(O46=4,400,0)+IF(O46=5,500,0)+IF(O46=6,600,0)</f>
        <v>0</v>
      </c>
      <c r="AZ46" s="167">
        <f>IF(O46&lt;3,75)+IF(O46=3,150)+IF(O46=4,150)+IF(O46=5,150)+IF(O46&gt;=6,200)</f>
        <v>75</v>
      </c>
      <c r="BB46" s="170">
        <f t="shared" si="89"/>
        <v>0</v>
      </c>
      <c r="BC46" s="202">
        <f>VLOOKUP(A46,ImportDataWA!A$14:AG$112,33,0)</f>
        <v>96.749300926194252</v>
      </c>
      <c r="BD46" s="170">
        <f t="shared" si="90"/>
        <v>0</v>
      </c>
    </row>
    <row r="47" spans="1:56" hidden="1" x14ac:dyDescent="0.25">
      <c r="A47" s="230" t="s">
        <v>369</v>
      </c>
      <c r="B47" s="9" t="str">
        <f>VLOOKUP($A47,MainData!$A$4:$E$1967,2,FALSE)</f>
        <v>VSE</v>
      </c>
      <c r="C47" s="9" t="str">
        <f>VLOOKUP($A47,MainData!$A$4:$E$1967,3,FALSE)</f>
        <v>Muhammad  Qahtan Mindeel</v>
      </c>
      <c r="D47" s="9" t="str">
        <f>VLOOKUP($A47,MainData!$A$4:$E$1967,4,FALSE)</f>
        <v>Hilla</v>
      </c>
      <c r="E47" s="9" t="str">
        <f>VLOOKUP($A47,MainData!$A$4:$E$1967,5,FALSE)</f>
        <v>Mustafa Sabeeh Hadi</v>
      </c>
      <c r="F47" s="11">
        <f>SUMIFS(MainData!G:G,MainData!$A:$A,$A47)</f>
        <v>576839.7210681818</v>
      </c>
      <c r="G47" s="11">
        <f t="shared" si="22"/>
        <v>777777.77777777775</v>
      </c>
      <c r="H47" s="53">
        <f t="shared" ref="H47" si="92">IFERROR(F47/G47,0)</f>
        <v>0.74165106994480523</v>
      </c>
      <c r="I47" s="10">
        <f>SUMIFS(MainData!F:F,MainData!$A:$A,$A47)</f>
        <v>140</v>
      </c>
      <c r="J47" s="10">
        <f t="shared" si="23"/>
        <v>889</v>
      </c>
      <c r="K47" s="53">
        <f t="shared" ref="K47" si="93">IFERROR(I47/J47,0)</f>
        <v>0.15748031496062992</v>
      </c>
      <c r="L47" s="11">
        <f>SUMIFS(MainData!K:K,MainData!$A:$A,$A47)</f>
        <v>50757.575757575745</v>
      </c>
      <c r="M47" s="11">
        <f t="shared" si="24"/>
        <v>79545.45</v>
      </c>
      <c r="N47" s="53">
        <f t="shared" ref="N47" si="94">IFERROR(L47/M47,0)</f>
        <v>0.63809527455782511</v>
      </c>
      <c r="O47" s="256">
        <f>SUMIFS(MainData!J:J,MainData!$A:$A,$A47)</f>
        <v>12</v>
      </c>
      <c r="P47" s="10">
        <f>IF($B47=$B$4,0,IF($B47=$B$1,VLOOKUP(D47,Target_Entry!$A$8:$AF$23,5,0),IF(LO!B47=LO!$B$2,VLOOKUP(LO!D47,Target_Entry!$A$8:$AF$23,25,0),IF(LO!B47=LO!$B$3,VLOOKUP(LO!D47,Target_Entry!$A$8:$AF$23,15,0)))))</f>
        <v>8</v>
      </c>
      <c r="Q47" s="53">
        <f t="shared" ref="Q47" si="95">IFERROR(O47/P47,0)</f>
        <v>1.5</v>
      </c>
      <c r="R47" s="10">
        <f>SUMIFS(MainData!J:J,MainData!$A:$A,$A47)</f>
        <v>12</v>
      </c>
      <c r="S47" s="10">
        <f>SUMIFS(MainData!M:M,MainData!$A:$A,$A47)</f>
        <v>3</v>
      </c>
      <c r="T47" s="53">
        <f t="shared" ref="T47" si="96">IFERROR(S47/R47,0)</f>
        <v>0.25</v>
      </c>
      <c r="U47" s="10">
        <f>SUMIFS(MainData!L:L,MainData!$A:$A,$A47)</f>
        <v>4</v>
      </c>
      <c r="V47" s="12">
        <f t="shared" ref="V47" si="97">IFERROR(U47/R47,0)</f>
        <v>0.33333333333333331</v>
      </c>
      <c r="W47" s="10">
        <f>SUMIFS(MainData!F:F,MainData!$A:$A,$A47)</f>
        <v>140</v>
      </c>
      <c r="X47" s="12">
        <f t="shared" ref="X47" si="98">IF($B47=$B$2,W47/X$3,W47/X$2)</f>
        <v>0.56000000000000005</v>
      </c>
      <c r="Y47" s="11">
        <f>SUMIFS(MainData!H:H,MainData!$A:$A,$A47)</f>
        <v>0</v>
      </c>
      <c r="Z47" s="12">
        <f t="shared" ref="Z47" si="99">IFERROR(Y47/$F47,0)</f>
        <v>0</v>
      </c>
      <c r="AA47" s="11">
        <f>SUMIFS(MainData!I:I,MainData!$A:$A,$A47)</f>
        <v>0</v>
      </c>
      <c r="AB47" s="12">
        <f t="shared" ref="AB47" si="100">IFERROR(AA47/$F47,0)</f>
        <v>0</v>
      </c>
      <c r="AC47" s="182"/>
      <c r="AD47" s="18">
        <f t="shared" ref="AD47" si="101">MAX(AD$5,MIN(AD$4,AD$1*(H47/(AD$2-AD$3)-(AD$3/(AD$2-AD$3)))))</f>
        <v>1.3883689981601721</v>
      </c>
      <c r="AE47" s="18">
        <f t="shared" ref="AE47" si="102">MAX(AE$5,MIN(AE$4,AE$1*(K47/(AE$2-AE$3)-(AE$3/(AE$2-AE$3)))))</f>
        <v>0</v>
      </c>
      <c r="AF47" s="18">
        <f>MAX(AF$5,MIN(AF$4,AF$1*(N47/(AF$2-AF$3)-(AF$3/(AF$2-AF$3)))))</f>
        <v>0</v>
      </c>
      <c r="AG47" s="18">
        <f t="shared" ref="AG47" si="103">MAX(AG$5,MIN(AG$4,AG$1*(Q47/(AG$2-AG$3)-(AG$3/(AG$2-AG$3)))))</f>
        <v>0</v>
      </c>
      <c r="AH47" s="18">
        <f t="shared" ref="AH47" si="104">MIN(AH$4,MAX(AH$5,AH$1-AH$1*(Z47/(AH$3-AH$2)-(AH$2/(AH$3-AH$2)))))</f>
        <v>15</v>
      </c>
      <c r="AI47" s="18">
        <f t="shared" ref="AI47" si="105">MIN(AI$4,MAX(AI$5,AI$1-AI$1*(AB47/(AI$3-AI$2)-(AI$2/(AI$3-AI$2)))))</f>
        <v>37.5</v>
      </c>
      <c r="AJ47" s="18">
        <f t="shared" ref="AJ47" si="106">MAX(AJ$5,MIN(AJ$4,AJ$1*(X47/(AJ$2-AJ$3)-(AJ$3/(AJ$2-AJ$3)))))</f>
        <v>0.60000000000000053</v>
      </c>
      <c r="AK47" s="18">
        <f t="shared" ref="AK47" si="107">MAX(AK$5,MIN(AK$4,AK$1*(T47/(AK$2-AK$3)-(AK$3/(AK$2-AK$3)))))</f>
        <v>0.49999999999999961</v>
      </c>
      <c r="AL47" s="18">
        <f t="shared" ref="AL47" si="108">MAX(AL$5,MIN(AL$4,AL$1*(V47/(AL$2-AL$3)-(AL$3/(AL$2-AL$3)))))</f>
        <v>5</v>
      </c>
      <c r="AM47" s="36">
        <f t="shared" ref="AM47" si="109">ROUND(SUM(AD47:AL47),0)</f>
        <v>60</v>
      </c>
      <c r="AN47" s="36">
        <f t="shared" ref="AN47" si="110">IF(AND(AB47&lt;=AN$2,OR(AND(O47&gt;=AO$3,L47&gt;=AN$3),AND(O47&gt;=AO$4,L47&gt;=AN$4))),AM47,0)</f>
        <v>0</v>
      </c>
      <c r="AO47" s="183"/>
      <c r="AP47" s="184"/>
      <c r="AQ47" s="184"/>
      <c r="AR47" s="28"/>
      <c r="AS47" s="28"/>
      <c r="AT47" s="28"/>
      <c r="AU47" s="28"/>
      <c r="AV47" s="147"/>
      <c r="AW47" s="147"/>
      <c r="AX47" s="148"/>
      <c r="AY47" s="167"/>
      <c r="AZ47" s="167"/>
      <c r="BB47" s="170"/>
      <c r="BC47" s="202"/>
      <c r="BD47" s="170"/>
    </row>
    <row r="48" spans="1:56" hidden="1" x14ac:dyDescent="0.25">
      <c r="A48" s="198" t="s">
        <v>22</v>
      </c>
      <c r="B48" s="9" t="str">
        <f>VLOOKUP($A48,MainData!$A$4:$E$1967,2,FALSE)</f>
        <v>VSE</v>
      </c>
      <c r="C48" s="9" t="str">
        <f>VLOOKUP($A48,MainData!$A$4:$E$1967,3,FALSE)</f>
        <v>Muhammad  Qahtan Mindeel</v>
      </c>
      <c r="D48" s="9" t="str">
        <f>VLOOKUP($A48,MainData!$A$4:$E$1967,4,FALSE)</f>
        <v>Hilla</v>
      </c>
      <c r="E48" s="9" t="str">
        <f>VLOOKUP($A48,MainData!$A$4:$E$1967,5,FALSE)</f>
        <v>Mustafa Sabeeh Hadi</v>
      </c>
      <c r="F48" s="11">
        <f>SUMIFS(MainData!G:G,MainData!$A:$A,$A48)</f>
        <v>460846.48089524789</v>
      </c>
      <c r="G48" s="11">
        <f t="shared" si="22"/>
        <v>777777.77777777775</v>
      </c>
      <c r="H48" s="53">
        <f t="shared" si="2"/>
        <v>0.59251690400817592</v>
      </c>
      <c r="I48" s="10">
        <f>SUMIFS(MainData!F:F,MainData!$A:$A,$A48)</f>
        <v>117</v>
      </c>
      <c r="J48" s="10">
        <f t="shared" si="23"/>
        <v>889</v>
      </c>
      <c r="K48" s="53">
        <f t="shared" si="3"/>
        <v>0.13160854893138357</v>
      </c>
      <c r="L48" s="11">
        <f>SUMIFS(MainData!K:K,MainData!$A:$A,$A48)</f>
        <v>21212.121212121212</v>
      </c>
      <c r="M48" s="11">
        <f t="shared" si="24"/>
        <v>79545.45</v>
      </c>
      <c r="N48" s="53">
        <f t="shared" si="4"/>
        <v>0.26666668190476278</v>
      </c>
      <c r="O48" s="256">
        <f>SUMIFS(MainData!J:J,MainData!$A:$A,$A48)</f>
        <v>3</v>
      </c>
      <c r="P48" s="10">
        <f>IF($B48=$B$4,0,IF($B48=$B$1,VLOOKUP(D48,Target_Entry!$A$8:$AF$23,5,0),IF(LO!B48=LO!$B$2,VLOOKUP(LO!D48,Target_Entry!$A$8:$AF$23,25,0),IF(LO!B48=LO!$B$3,VLOOKUP(LO!D48,Target_Entry!$A$8:$AF$23,15,0)))))</f>
        <v>8</v>
      </c>
      <c r="Q48" s="53">
        <f t="shared" si="5"/>
        <v>0.375</v>
      </c>
      <c r="R48" s="10">
        <f>SUMIFS(MainData!J:J,MainData!$A:$A,$A48)</f>
        <v>3</v>
      </c>
      <c r="S48" s="10">
        <f>SUMIFS(MainData!M:M,MainData!$A:$A,$A48)</f>
        <v>2</v>
      </c>
      <c r="T48" s="53">
        <f t="shared" si="6"/>
        <v>0.66666666666666663</v>
      </c>
      <c r="U48" s="10">
        <f>SUMIFS(MainData!L:L,MainData!$A:$A,$A48)</f>
        <v>1</v>
      </c>
      <c r="V48" s="12">
        <f t="shared" si="7"/>
        <v>0.33333333333333331</v>
      </c>
      <c r="W48" s="10">
        <f>SUMIFS(MainData!F:F,MainData!$A:$A,$A48)</f>
        <v>117</v>
      </c>
      <c r="X48" s="12">
        <f t="shared" si="8"/>
        <v>0.46800000000000003</v>
      </c>
      <c r="Y48" s="11">
        <f>SUMIFS(MainData!H:H,MainData!$A:$A,$A48)</f>
        <v>1003.5998257575756</v>
      </c>
      <c r="Z48" s="12">
        <f t="shared" si="9"/>
        <v>2.1777313430016132E-3</v>
      </c>
      <c r="AA48" s="11">
        <f>SUMIFS(MainData!I:I,MainData!$A:$A,$A48)</f>
        <v>22547.714288251169</v>
      </c>
      <c r="AB48" s="231">
        <f t="shared" si="10"/>
        <v>4.8926736392669444E-2</v>
      </c>
      <c r="AC48" s="182"/>
      <c r="AD48" s="18">
        <f t="shared" si="11"/>
        <v>0</v>
      </c>
      <c r="AE48" s="18">
        <f t="shared" si="12"/>
        <v>0</v>
      </c>
      <c r="AF48" s="18">
        <f>MAX(AF$5,MIN(AF$4,AF$1*(N48/(AF$2-AF$3)-(AF$3/(AF$2-AF$3)))))</f>
        <v>0</v>
      </c>
      <c r="AG48" s="18">
        <f t="shared" si="14"/>
        <v>0</v>
      </c>
      <c r="AH48" s="18">
        <f t="shared" si="15"/>
        <v>14.346680597099516</v>
      </c>
      <c r="AI48" s="18">
        <f t="shared" si="16"/>
        <v>25.26831590183264</v>
      </c>
      <c r="AJ48" s="18">
        <f t="shared" si="17"/>
        <v>0</v>
      </c>
      <c r="AK48" s="18">
        <f t="shared" si="18"/>
        <v>4.666666666666667</v>
      </c>
      <c r="AL48" s="18">
        <f t="shared" si="19"/>
        <v>5</v>
      </c>
      <c r="AM48" s="36">
        <f t="shared" si="20"/>
        <v>49</v>
      </c>
      <c r="AN48" s="36">
        <f t="shared" si="21"/>
        <v>0</v>
      </c>
      <c r="AO48" s="183">
        <v>834</v>
      </c>
      <c r="AP48" s="184">
        <v>0</v>
      </c>
      <c r="AQ48" s="184">
        <v>0</v>
      </c>
      <c r="AR48" s="28">
        <f>SUM(AO48:AQ48)</f>
        <v>834</v>
      </c>
      <c r="AS48" s="28">
        <f>IF(AO48&gt;0,ROUNDUP($AO48*AS$3,0),0)</f>
        <v>668</v>
      </c>
      <c r="AT48" s="163">
        <f>AR48-AS48</f>
        <v>166</v>
      </c>
      <c r="AU48" s="28">
        <f>IF(AO48&gt;0,ROUND(AN48/$AN$1*AU$3,0),0)</f>
        <v>0</v>
      </c>
      <c r="AV48" s="147">
        <f>AU48+AS48</f>
        <v>668</v>
      </c>
      <c r="AW48" s="147">
        <f>AV48-AR48</f>
        <v>-166</v>
      </c>
      <c r="AX48" s="148">
        <f>IFERROR(AV48/AR48,0)</f>
        <v>0.80095923261390889</v>
      </c>
      <c r="AY48" s="167">
        <f t="shared" ref="AY48:AY50" si="111">AU48</f>
        <v>0</v>
      </c>
      <c r="AZ48" s="167">
        <f>IF(O48&lt;18,IF(AND(I48&gt;0,I48&lt;=60),60,IF(AND(I48&gt;60,I48&lt;=120),70,IF(AND(I48&gt;120,I48&lt;=200),80,IF(I48&gt;200,90,0)))),IF(O48&gt;=18,IF(AND(I48&gt;0,I48&lt;=60),70,IF(AND(I48&gt;60,I48&lt;=120),80,IF(AND(I48&gt;120,I48&lt;=200),90,100)))))</f>
        <v>70</v>
      </c>
      <c r="BB48" s="170">
        <f>AU48-AY48</f>
        <v>0</v>
      </c>
      <c r="BC48" s="202">
        <f>VLOOKUP(A48,ImportDataWA!A$14:AG$112,33,0)</f>
        <v>95.963831722611317</v>
      </c>
      <c r="BD48" s="170">
        <f t="shared" ref="BD48:BD50" si="112">AU48-AY48</f>
        <v>0</v>
      </c>
    </row>
    <row r="49" spans="1:56" hidden="1" x14ac:dyDescent="0.25">
      <c r="A49" s="197" t="s">
        <v>34</v>
      </c>
      <c r="B49" s="9" t="str">
        <f>VLOOKUP($A49,MainData!$A$4:$E$1967,2,FALSE)</f>
        <v>Micro</v>
      </c>
      <c r="C49" s="9" t="str">
        <f>VLOOKUP($A49,MainData!$A$4:$E$1967,3,FALSE)</f>
        <v>Hasanain Kadhum Abed</v>
      </c>
      <c r="D49" s="9" t="str">
        <f>VLOOKUP($A49,MainData!$A$4:$E$1967,4,FALSE)</f>
        <v>Hilla</v>
      </c>
      <c r="E49" s="9" t="str">
        <f>VLOOKUP($A49,MainData!$A$4:$E$1967,5,FALSE)</f>
        <v>Mustafa Sabeeh Hadi</v>
      </c>
      <c r="F49" s="11">
        <f>SUMIFS(MainData!G:G,MainData!$A:$A,$A49)</f>
        <v>192462.46991498847</v>
      </c>
      <c r="G49" s="11">
        <f t="shared" si="22"/>
        <v>333333.33333333331</v>
      </c>
      <c r="H49" s="53">
        <f t="shared" si="2"/>
        <v>0.5773874097449655</v>
      </c>
      <c r="I49" s="10">
        <f>SUMIFS(MainData!F:F,MainData!$A:$A,$A49)</f>
        <v>98</v>
      </c>
      <c r="J49" s="10">
        <f t="shared" si="23"/>
        <v>400</v>
      </c>
      <c r="K49" s="53">
        <f t="shared" si="3"/>
        <v>0.245</v>
      </c>
      <c r="L49" s="11">
        <f>SUMIFS(MainData!K:K,MainData!$A:$A,$A49)</f>
        <v>8484.8484848484841</v>
      </c>
      <c r="M49" s="11">
        <f t="shared" si="24"/>
        <v>56818.18</v>
      </c>
      <c r="N49" s="53">
        <f t="shared" si="4"/>
        <v>0.14933333811200014</v>
      </c>
      <c r="O49" s="256">
        <f>SUMIFS(MainData!J:J,MainData!$A:$A,$A49)</f>
        <v>2</v>
      </c>
      <c r="P49" s="10">
        <f>IF($B49=$B$4,0,IF($B49=$B$1,VLOOKUP(D49,Target_Entry!$A$8:$AF$23,5,0),IF(LO!B49=LO!$B$2,VLOOKUP(LO!D49,Target_Entry!$A$8:$AF$23,25,0),IF(LO!B49=LO!$B$3,VLOOKUP(LO!D49,Target_Entry!$A$8:$AF$23,15,0)))))</f>
        <v>15</v>
      </c>
      <c r="Q49" s="53">
        <f t="shared" si="5"/>
        <v>0.13333333333333333</v>
      </c>
      <c r="R49" s="10">
        <f>SUMIFS(MainData!J:J,MainData!$A:$A,$A49)</f>
        <v>2</v>
      </c>
      <c r="S49" s="10">
        <f>SUMIFS(MainData!M:M,MainData!$A:$A,$A49)</f>
        <v>0</v>
      </c>
      <c r="T49" s="53">
        <f t="shared" si="6"/>
        <v>0</v>
      </c>
      <c r="U49" s="10">
        <f>SUMIFS(MainData!L:L,MainData!$A:$A,$A49)</f>
        <v>0</v>
      </c>
      <c r="V49" s="12">
        <f t="shared" si="7"/>
        <v>0</v>
      </c>
      <c r="W49" s="10">
        <f>SUMIFS(MainData!F:F,MainData!$A:$A,$A49)</f>
        <v>98</v>
      </c>
      <c r="X49" s="12">
        <f t="shared" si="8"/>
        <v>0.39200000000000002</v>
      </c>
      <c r="Y49" s="11">
        <f>SUMIFS(MainData!H:H,MainData!$A:$A,$A49)</f>
        <v>3602.5598484848488</v>
      </c>
      <c r="Z49" s="12">
        <f t="shared" si="9"/>
        <v>1.8718245952450446E-2</v>
      </c>
      <c r="AA49" s="11">
        <f>SUMIFS(MainData!I:I,MainData!$A:$A,$A49)</f>
        <v>1193.0503771096783</v>
      </c>
      <c r="AB49" s="12">
        <f t="shared" si="10"/>
        <v>6.198872838100093E-3</v>
      </c>
      <c r="AC49" s="182"/>
      <c r="AD49" s="18">
        <f t="shared" si="11"/>
        <v>0</v>
      </c>
      <c r="AE49" s="18">
        <f t="shared" si="12"/>
        <v>0</v>
      </c>
      <c r="AF49" s="18">
        <f>MAX(AF$5,MIN(AF$4,AF$1*(N49/(AF$2-AF$3)-(AF$3/(AF$2-AF$3)))))</f>
        <v>0</v>
      </c>
      <c r="AG49" s="18">
        <f t="shared" si="14"/>
        <v>0</v>
      </c>
      <c r="AH49" s="18">
        <f t="shared" si="15"/>
        <v>9.3845262142648664</v>
      </c>
      <c r="AI49" s="18">
        <f t="shared" si="16"/>
        <v>35.950281790474975</v>
      </c>
      <c r="AJ49" s="18">
        <f t="shared" si="17"/>
        <v>0</v>
      </c>
      <c r="AK49" s="18">
        <f t="shared" si="18"/>
        <v>0</v>
      </c>
      <c r="AL49" s="18">
        <f t="shared" si="19"/>
        <v>0</v>
      </c>
      <c r="AM49" s="36">
        <f t="shared" si="20"/>
        <v>45</v>
      </c>
      <c r="AN49" s="36">
        <f t="shared" si="21"/>
        <v>0</v>
      </c>
      <c r="AO49" s="183">
        <v>765</v>
      </c>
      <c r="AP49" s="184">
        <v>0</v>
      </c>
      <c r="AQ49" s="184">
        <v>0</v>
      </c>
      <c r="AR49" s="28">
        <f>SUM(AO49:AQ49)</f>
        <v>765</v>
      </c>
      <c r="AS49" s="28">
        <f>IF(AO49&gt;0,ROUNDUP($AO49*AS$3,0),0)</f>
        <v>612</v>
      </c>
      <c r="AT49" s="163">
        <f>AR49-AS49</f>
        <v>153</v>
      </c>
      <c r="AU49" s="28">
        <f>IF(AO49&gt;0,ROUND(AN49/$AN$1*AU$3,0),0)</f>
        <v>0</v>
      </c>
      <c r="AV49" s="147">
        <f>AU49+AS49</f>
        <v>612</v>
      </c>
      <c r="AW49" s="147">
        <f>AV49-AR49</f>
        <v>-153</v>
      </c>
      <c r="AX49" s="148">
        <f>IFERROR(AV49/AR49,0)</f>
        <v>0.8</v>
      </c>
      <c r="AY49" s="167">
        <f t="shared" si="111"/>
        <v>0</v>
      </c>
      <c r="AZ49" s="167">
        <f>IF(O49&lt;18,IF(AND(I49&gt;0,I49&lt;=60),60,IF(AND(I49&gt;60,I49&lt;=120),70,IF(AND(I49&gt;120,I49&lt;=200),80,IF(I49&gt;200,90,0)))),IF(O49&gt;=18,IF(AND(I49&gt;0,I49&lt;=60),70,IF(AND(I49&gt;60,I49&lt;=120),80,IF(AND(I49&gt;120,I49&lt;=200),90,100)))))</f>
        <v>70</v>
      </c>
      <c r="BB49" s="170">
        <f>AU49-AY49</f>
        <v>0</v>
      </c>
      <c r="BC49" s="202">
        <f>VLOOKUP(A49,ImportDataWA!A$14:AG$112,33,0)</f>
        <v>99.055632817578214</v>
      </c>
      <c r="BD49" s="170">
        <f t="shared" si="112"/>
        <v>0</v>
      </c>
    </row>
    <row r="50" spans="1:56" hidden="1" x14ac:dyDescent="0.25">
      <c r="A50" s="197" t="s">
        <v>37</v>
      </c>
      <c r="B50" s="9" t="str">
        <f>VLOOKUP($A50,MainData!$A$4:$E$1967,2,FALSE)</f>
        <v>Micro</v>
      </c>
      <c r="C50" s="9" t="str">
        <f>VLOOKUP($A50,MainData!$A$4:$E$1967,3,FALSE)</f>
        <v>Hasanain Kadhum Abed</v>
      </c>
      <c r="D50" s="9" t="str">
        <f>VLOOKUP($A50,MainData!$A$4:$E$1967,4,FALSE)</f>
        <v>Hilla</v>
      </c>
      <c r="E50" s="9" t="str">
        <f>VLOOKUP($A50,MainData!$A$4:$E$1967,5,FALSE)</f>
        <v>Mustafa Sabeeh Hadi</v>
      </c>
      <c r="F50" s="11">
        <f>SUMIFS(MainData!G:G,MainData!$A:$A,$A50)</f>
        <v>704930.80621185538</v>
      </c>
      <c r="G50" s="11">
        <f t="shared" si="22"/>
        <v>333333.33333333331</v>
      </c>
      <c r="H50" s="53">
        <f t="shared" si="2"/>
        <v>2.1147924186355662</v>
      </c>
      <c r="I50" s="10">
        <f>SUMIFS(MainData!F:F,MainData!$A:$A,$A50)</f>
        <v>212</v>
      </c>
      <c r="J50" s="10">
        <f t="shared" si="23"/>
        <v>400</v>
      </c>
      <c r="K50" s="53">
        <f t="shared" si="3"/>
        <v>0.53</v>
      </c>
      <c r="L50" s="11">
        <f>SUMIFS(MainData!K:K,MainData!$A:$A,$A50)</f>
        <v>80681.818181818162</v>
      </c>
      <c r="M50" s="11">
        <f t="shared" si="24"/>
        <v>56818.18</v>
      </c>
      <c r="N50" s="53">
        <f t="shared" si="4"/>
        <v>1.420000045440001</v>
      </c>
      <c r="O50" s="256">
        <f>SUMIFS(MainData!J:J,MainData!$A:$A,$A50)</f>
        <v>13</v>
      </c>
      <c r="P50" s="10">
        <f>IF($B50=$B$4,0,IF($B50=$B$1,VLOOKUP(D50,Target_Entry!$A$8:$AF$23,5,0),IF(LO!B50=LO!$B$2,VLOOKUP(LO!D50,Target_Entry!$A$8:$AF$23,25,0),IF(LO!B50=LO!$B$3,VLOOKUP(LO!D50,Target_Entry!$A$8:$AF$23,15,0)))))</f>
        <v>15</v>
      </c>
      <c r="Q50" s="53">
        <f t="shared" si="5"/>
        <v>0.8666666666666667</v>
      </c>
      <c r="R50" s="10">
        <f>SUMIFS(MainData!J:J,MainData!$A:$A,$A50)</f>
        <v>13</v>
      </c>
      <c r="S50" s="10">
        <f>SUMIFS(MainData!M:M,MainData!$A:$A,$A50)</f>
        <v>8</v>
      </c>
      <c r="T50" s="53">
        <f t="shared" si="6"/>
        <v>0.61538461538461542</v>
      </c>
      <c r="U50" s="10">
        <f>SUMIFS(MainData!L:L,MainData!$A:$A,$A50)</f>
        <v>4</v>
      </c>
      <c r="V50" s="12">
        <f t="shared" si="7"/>
        <v>0.30769230769230771</v>
      </c>
      <c r="W50" s="10">
        <f>SUMIFS(MainData!F:F,MainData!$A:$A,$A50)</f>
        <v>212</v>
      </c>
      <c r="X50" s="12">
        <f t="shared" si="8"/>
        <v>0.84799999999999998</v>
      </c>
      <c r="Y50" s="11">
        <f>SUMIFS(MainData!H:H,MainData!$A:$A,$A50)</f>
        <v>13878.842621212121</v>
      </c>
      <c r="Z50" s="12">
        <f t="shared" si="9"/>
        <v>1.96882339357447E-2</v>
      </c>
      <c r="AA50" s="11">
        <f>SUMIFS(MainData!I:I,MainData!$A:$A,$A50)</f>
        <v>5183.7725075757589</v>
      </c>
      <c r="AB50" s="12">
        <f t="shared" si="10"/>
        <v>7.3535905395200746E-3</v>
      </c>
      <c r="AC50" s="182"/>
      <c r="AD50" s="18">
        <f t="shared" si="11"/>
        <v>10</v>
      </c>
      <c r="AE50" s="18">
        <f t="shared" si="12"/>
        <v>0</v>
      </c>
      <c r="AF50" s="18">
        <f t="shared" si="13"/>
        <v>45</v>
      </c>
      <c r="AG50" s="18">
        <f t="shared" si="14"/>
        <v>0</v>
      </c>
      <c r="AH50" s="18">
        <f t="shared" si="15"/>
        <v>9.0935298192765899</v>
      </c>
      <c r="AI50" s="18">
        <f t="shared" si="16"/>
        <v>35.661602365119982</v>
      </c>
      <c r="AJ50" s="18">
        <f t="shared" si="17"/>
        <v>3.4799999999999995</v>
      </c>
      <c r="AK50" s="18">
        <f t="shared" si="18"/>
        <v>4.1538461538461551</v>
      </c>
      <c r="AL50" s="18">
        <f t="shared" si="19"/>
        <v>5</v>
      </c>
      <c r="AM50" s="36">
        <f t="shared" si="20"/>
        <v>112</v>
      </c>
      <c r="AN50" s="36">
        <f t="shared" si="21"/>
        <v>112</v>
      </c>
      <c r="AO50" s="183">
        <v>874</v>
      </c>
      <c r="AP50" s="184">
        <v>0</v>
      </c>
      <c r="AQ50" s="184">
        <v>6</v>
      </c>
      <c r="AR50" s="28">
        <f>SUM(AO50:AQ50)</f>
        <v>880</v>
      </c>
      <c r="AS50" s="28">
        <f>IF(AO50&gt;0,ROUNDUP($AO50*AS$3,0),0)</f>
        <v>700</v>
      </c>
      <c r="AT50" s="163">
        <f>AR50-AS50</f>
        <v>180</v>
      </c>
      <c r="AU50" s="28">
        <f>IF(AO50&gt;0,ROUND(AN50/$AN$1*AU$3,0),0)</f>
        <v>728</v>
      </c>
      <c r="AV50" s="147">
        <f>AU50+AS50</f>
        <v>1428</v>
      </c>
      <c r="AW50" s="147">
        <f>AV50-AR50</f>
        <v>548</v>
      </c>
      <c r="AX50" s="148">
        <f>IFERROR(AV50/AR50,0)</f>
        <v>1.6227272727272728</v>
      </c>
      <c r="AY50" s="167">
        <f t="shared" si="111"/>
        <v>728</v>
      </c>
      <c r="AZ50" s="167">
        <f>IF(O50&lt;18,IF(AND(I50&gt;0,I50&lt;=60),60,IF(AND(I50&gt;60,I50&lt;=120),70,IF(AND(I50&gt;120,I50&lt;=200),80,IF(I50&gt;200,90,0)))),IF(O50&gt;=18,IF(AND(I50&gt;0,I50&lt;=60),70,IF(AND(I50&gt;60,I50&lt;=120),80,IF(AND(I50&gt;120,I50&lt;=200),90,100)))))</f>
        <v>90</v>
      </c>
      <c r="BB50" s="170">
        <f>AU50-AY50</f>
        <v>0</v>
      </c>
      <c r="BC50" s="202">
        <f>VLOOKUP(A50,ImportDataWA!A$14:AG$112,33,0)</f>
        <v>98.324534351142916</v>
      </c>
      <c r="BD50" s="170">
        <f t="shared" si="112"/>
        <v>0</v>
      </c>
    </row>
    <row r="51" spans="1:56" hidden="1" x14ac:dyDescent="0.25">
      <c r="A51" s="196" t="s">
        <v>403</v>
      </c>
      <c r="B51" s="189" t="str">
        <f>VLOOKUP($A51,MainData!$A$4:$E$1967,2,FALSE)</f>
        <v>Inactive</v>
      </c>
      <c r="C51" s="189" t="str">
        <f>VLOOKUP($A51,MainData!$A$4:$E$1967,3,FALSE)</f>
        <v>Inactive</v>
      </c>
      <c r="D51" s="189" t="str">
        <f>VLOOKUP($A51,MainData!$A$4:$E$1967,4,FALSE)</f>
        <v>Hilla</v>
      </c>
      <c r="E51" s="189" t="str">
        <f>VLOOKUP($A51,MainData!$A$4:$E$1967,5,FALSE)</f>
        <v>Inactive</v>
      </c>
      <c r="F51" s="11">
        <f>SUMIFS(MainData!G:G,MainData!$A:$A,$A51)</f>
        <v>0</v>
      </c>
      <c r="G51" s="11">
        <f t="shared" si="22"/>
        <v>0</v>
      </c>
      <c r="H51" s="53">
        <f t="shared" si="2"/>
        <v>0</v>
      </c>
      <c r="I51" s="10">
        <f>SUMIFS(MainData!F:F,MainData!$A:$A,$A51)</f>
        <v>0</v>
      </c>
      <c r="J51" s="10">
        <f t="shared" si="23"/>
        <v>0</v>
      </c>
      <c r="K51" s="53">
        <f t="shared" si="3"/>
        <v>0</v>
      </c>
      <c r="L51" s="11">
        <f>SUMIFS(MainData!K:K,MainData!$A:$A,$A51)</f>
        <v>0</v>
      </c>
      <c r="M51" s="11">
        <f t="shared" si="24"/>
        <v>0</v>
      </c>
      <c r="N51" s="53">
        <f t="shared" si="4"/>
        <v>0</v>
      </c>
      <c r="O51" s="256">
        <f>SUMIFS(MainData!J:J,MainData!$A:$A,$A51)</f>
        <v>0</v>
      </c>
      <c r="P51" s="10">
        <f>IF($B51=$B$4,0,IF($B51=$B$1,VLOOKUP(D51,Target_Entry!$A$8:$AF$23,5,0),IF(LO!B51=LO!$B$2,VLOOKUP(LO!D51,Target_Entry!$A$8:$AF$23,25,0),IF(LO!B51=LO!$B$3,VLOOKUP(LO!D51,Target_Entry!$A$8:$AF$23,15,0)))))</f>
        <v>0</v>
      </c>
      <c r="Q51" s="53">
        <f t="shared" si="5"/>
        <v>0</v>
      </c>
      <c r="R51" s="10">
        <f>SUMIFS(MainData!J:J,MainData!$A:$A,$A51)</f>
        <v>0</v>
      </c>
      <c r="S51" s="10">
        <f>SUMIFS(MainData!M:M,MainData!$A:$A,$A51)</f>
        <v>0</v>
      </c>
      <c r="T51" s="53">
        <f t="shared" si="6"/>
        <v>0</v>
      </c>
      <c r="U51" s="10">
        <f>SUMIFS(MainData!L:L,MainData!$A:$A,$A51)</f>
        <v>0</v>
      </c>
      <c r="V51" s="12">
        <f t="shared" si="7"/>
        <v>0</v>
      </c>
      <c r="W51" s="10">
        <f>SUMIFS(MainData!F:F,MainData!$A:$A,$A51)</f>
        <v>0</v>
      </c>
      <c r="X51" s="12">
        <f t="shared" si="8"/>
        <v>0</v>
      </c>
      <c r="Y51" s="11">
        <f>SUMIFS(MainData!H:H,MainData!$A:$A,$A51)</f>
        <v>0</v>
      </c>
      <c r="Z51" s="12">
        <f t="shared" si="9"/>
        <v>0</v>
      </c>
      <c r="AA51" s="11">
        <f>SUMIFS(MainData!I:I,MainData!$A:$A,$A51)</f>
        <v>0</v>
      </c>
      <c r="AB51" s="12">
        <f t="shared" si="10"/>
        <v>0</v>
      </c>
      <c r="AC51" s="182"/>
      <c r="AD51" s="18">
        <f t="shared" si="11"/>
        <v>0</v>
      </c>
      <c r="AE51" s="18">
        <f t="shared" si="12"/>
        <v>0</v>
      </c>
      <c r="AF51" s="18">
        <f t="shared" si="13"/>
        <v>0</v>
      </c>
      <c r="AG51" s="18">
        <f t="shared" si="14"/>
        <v>0</v>
      </c>
      <c r="AH51" s="18">
        <f t="shared" si="15"/>
        <v>15</v>
      </c>
      <c r="AI51" s="18">
        <f t="shared" si="16"/>
        <v>37.5</v>
      </c>
      <c r="AJ51" s="18">
        <f t="shared" si="17"/>
        <v>0</v>
      </c>
      <c r="AK51" s="18">
        <f t="shared" si="18"/>
        <v>0</v>
      </c>
      <c r="AL51" s="18">
        <f t="shared" si="19"/>
        <v>0</v>
      </c>
      <c r="AM51" s="36">
        <f t="shared" si="20"/>
        <v>53</v>
      </c>
      <c r="AN51" s="36">
        <f t="shared" si="21"/>
        <v>0</v>
      </c>
      <c r="AO51" s="183"/>
      <c r="AP51" s="184"/>
      <c r="AQ51" s="184"/>
      <c r="AR51" s="28"/>
      <c r="AS51" s="28"/>
      <c r="AT51" s="163"/>
      <c r="AU51" s="28"/>
      <c r="AV51" s="147"/>
      <c r="AW51" s="147"/>
      <c r="AX51" s="148"/>
      <c r="AY51" s="167"/>
      <c r="AZ51" s="167"/>
      <c r="BB51" s="170"/>
      <c r="BC51" s="202" t="e">
        <f>VLOOKUP(A51,ImportDataWA!A$14:AG$112,33,0)</f>
        <v>#N/A</v>
      </c>
    </row>
    <row r="52" spans="1:56" hidden="1" x14ac:dyDescent="0.25">
      <c r="A52" s="198" t="s">
        <v>50</v>
      </c>
      <c r="B52" s="9" t="str">
        <f>VLOOKUP($A52,MainData!$A$4:$E$1967,2,FALSE)</f>
        <v>VSE</v>
      </c>
      <c r="C52" s="9" t="str">
        <f>VLOOKUP($A52,MainData!$A$4:$E$1967,3,FALSE)</f>
        <v>Hasanain Kadhum Abed</v>
      </c>
      <c r="D52" s="9" t="str">
        <f>VLOOKUP($A52,MainData!$A$4:$E$1967,4,FALSE)</f>
        <v>Hilla</v>
      </c>
      <c r="E52" s="9" t="str">
        <f>VLOOKUP($A52,MainData!$A$4:$E$1967,5,FALSE)</f>
        <v>Mustafa Sabeeh Hadi</v>
      </c>
      <c r="F52" s="11">
        <f>SUMIFS(MainData!G:G,MainData!$A:$A,$A52)</f>
        <v>581267.33852793439</v>
      </c>
      <c r="G52" s="11">
        <f t="shared" si="22"/>
        <v>777777.77777777775</v>
      </c>
      <c r="H52" s="53">
        <f t="shared" si="2"/>
        <v>0.74734372096448709</v>
      </c>
      <c r="I52" s="10">
        <f>SUMIFS(MainData!F:F,MainData!$A:$A,$A52)</f>
        <v>151</v>
      </c>
      <c r="J52" s="10">
        <f t="shared" si="23"/>
        <v>889</v>
      </c>
      <c r="K52" s="53">
        <f t="shared" si="3"/>
        <v>0.16985376827896512</v>
      </c>
      <c r="L52" s="11">
        <f>SUMIFS(MainData!K:K,MainData!$A:$A,$A52)</f>
        <v>68181.818181818191</v>
      </c>
      <c r="M52" s="11">
        <f t="shared" si="24"/>
        <v>79545.45</v>
      </c>
      <c r="N52" s="53">
        <f t="shared" si="4"/>
        <v>0.85714290612245192</v>
      </c>
      <c r="O52" s="256">
        <f>SUMIFS(MainData!J:J,MainData!$A:$A,$A52)</f>
        <v>13</v>
      </c>
      <c r="P52" s="10">
        <f>IF($B52=$B$4,0,IF($B52=$B$1,VLOOKUP(D52,Target_Entry!$A$8:$AF$23,5,0),IF(LO!B52=LO!$B$2,VLOOKUP(LO!D52,Target_Entry!$A$8:$AF$23,25,0),IF(LO!B52=LO!$B$3,VLOOKUP(LO!D52,Target_Entry!$A$8:$AF$23,15,0)))))</f>
        <v>8</v>
      </c>
      <c r="Q52" s="53">
        <f t="shared" si="5"/>
        <v>1.625</v>
      </c>
      <c r="R52" s="10">
        <f>SUMIFS(MainData!J:J,MainData!$A:$A,$A52)</f>
        <v>13</v>
      </c>
      <c r="S52" s="10">
        <f>SUMIFS(MainData!M:M,MainData!$A:$A,$A52)</f>
        <v>4</v>
      </c>
      <c r="T52" s="53">
        <f t="shared" si="6"/>
        <v>0.30769230769230771</v>
      </c>
      <c r="U52" s="10">
        <f>SUMIFS(MainData!L:L,MainData!$A:$A,$A52)</f>
        <v>5</v>
      </c>
      <c r="V52" s="12">
        <f t="shared" si="7"/>
        <v>0.38461538461538464</v>
      </c>
      <c r="W52" s="10">
        <f>SUMIFS(MainData!F:F,MainData!$A:$A,$A52)</f>
        <v>151</v>
      </c>
      <c r="X52" s="12">
        <f t="shared" si="8"/>
        <v>0.60399999999999998</v>
      </c>
      <c r="Y52" s="11">
        <f>SUMIFS(MainData!H:H,MainData!$A:$A,$A52)</f>
        <v>9725.0975303030318</v>
      </c>
      <c r="Z52" s="12">
        <f t="shared" si="9"/>
        <v>1.6730851513061001E-2</v>
      </c>
      <c r="AA52" s="11">
        <f>SUMIFS(MainData!I:I,MainData!$A:$A,$A52)</f>
        <v>6081.9345303030304</v>
      </c>
      <c r="AB52" s="231">
        <f t="shared" si="10"/>
        <v>1.0463231162627498E-2</v>
      </c>
      <c r="AC52" s="182"/>
      <c r="AD52" s="18">
        <f t="shared" si="11"/>
        <v>1.5781240321495682</v>
      </c>
      <c r="AE52" s="18">
        <f t="shared" si="12"/>
        <v>0</v>
      </c>
      <c r="AF52" s="18">
        <f t="shared" si="13"/>
        <v>15.71429061224519</v>
      </c>
      <c r="AG52" s="18">
        <f t="shared" si="14"/>
        <v>0</v>
      </c>
      <c r="AH52" s="18">
        <f t="shared" si="15"/>
        <v>9.9807445460816986</v>
      </c>
      <c r="AI52" s="18">
        <f t="shared" si="16"/>
        <v>34.884192209343126</v>
      </c>
      <c r="AJ52" s="18">
        <f t="shared" si="17"/>
        <v>1.0399999999999998</v>
      </c>
      <c r="AK52" s="18">
        <f t="shared" si="18"/>
        <v>1.0769230769230773</v>
      </c>
      <c r="AL52" s="18">
        <f t="shared" si="19"/>
        <v>5</v>
      </c>
      <c r="AM52" s="36">
        <f t="shared" si="20"/>
        <v>69</v>
      </c>
      <c r="AN52" s="36">
        <f t="shared" si="21"/>
        <v>0</v>
      </c>
      <c r="AO52" s="183">
        <v>893</v>
      </c>
      <c r="AP52" s="184">
        <v>0</v>
      </c>
      <c r="AQ52" s="184">
        <v>0</v>
      </c>
      <c r="AR52" s="28">
        <f>SUM(AO52:AQ52)</f>
        <v>893</v>
      </c>
      <c r="AS52" s="28">
        <f>IF(AO52&gt;0,ROUNDUP($AO52*AS$3,0),0)</f>
        <v>715</v>
      </c>
      <c r="AT52" s="163">
        <f>AR52-AS52</f>
        <v>178</v>
      </c>
      <c r="AU52" s="28">
        <f>IF(AO52&gt;0,ROUND(AN52/$AN$1*AU$3,0),0)</f>
        <v>0</v>
      </c>
      <c r="AV52" s="147">
        <f>AU52+AS52</f>
        <v>715</v>
      </c>
      <c r="AW52" s="147">
        <f>AV52-AR52</f>
        <v>-178</v>
      </c>
      <c r="AX52" s="148">
        <f>IFERROR(AV52/AR52,0)</f>
        <v>0.8006718924972005</v>
      </c>
      <c r="AY52" s="167">
        <f t="shared" ref="AY52:AY54" si="113">AU52</f>
        <v>0</v>
      </c>
      <c r="AZ52" s="167">
        <f>IF(O52&lt;18,IF(AND(I52&gt;0,I52&lt;=60),60,IF(AND(I52&gt;60,I52&lt;=120),70,IF(AND(I52&gt;120,I52&lt;=200),80,IF(I52&gt;200,90,0)))),IF(O52&gt;=18,IF(AND(I52&gt;0,I52&lt;=60),70,IF(AND(I52&gt;60,I52&lt;=120),80,IF(AND(I52&gt;120,I52&lt;=200),90,100)))))</f>
        <v>80</v>
      </c>
      <c r="BB52" s="170">
        <f>AU52-AY52</f>
        <v>0</v>
      </c>
      <c r="BC52" s="202">
        <f>VLOOKUP(A52,ImportDataWA!A$14:AG$112,33,0)</f>
        <v>99.329969131429593</v>
      </c>
      <c r="BD52" s="170">
        <f t="shared" ref="BD52:BD54" si="114">AU52-AY52</f>
        <v>0</v>
      </c>
    </row>
    <row r="53" spans="1:56" hidden="1" x14ac:dyDescent="0.25">
      <c r="A53" s="195" t="s">
        <v>65</v>
      </c>
      <c r="B53" s="9" t="str">
        <f>VLOOKUP($A53,MainData!$A$4:$E$1967,2,FALSE)</f>
        <v>VSE</v>
      </c>
      <c r="C53" s="9" t="str">
        <f>VLOOKUP($A53,MainData!$A$4:$E$1967,3,FALSE)</f>
        <v>Hasanain Kadhum Abed</v>
      </c>
      <c r="D53" s="9" t="str">
        <f>VLOOKUP($A53,MainData!$A$4:$E$1967,4,FALSE)</f>
        <v>Hilla</v>
      </c>
      <c r="E53" s="9" t="str">
        <f>VLOOKUP($A53,MainData!$A$4:$E$1967,5,FALSE)</f>
        <v>Mustafa Sabeeh Hadi</v>
      </c>
      <c r="F53" s="11">
        <f>SUMIFS(MainData!G:G,MainData!$A:$A,$A53)</f>
        <v>790068.04258084029</v>
      </c>
      <c r="G53" s="11">
        <f t="shared" si="22"/>
        <v>777777.77777777775</v>
      </c>
      <c r="H53" s="53">
        <f t="shared" si="2"/>
        <v>1.015801769032509</v>
      </c>
      <c r="I53" s="10">
        <f>SUMIFS(MainData!F:F,MainData!$A:$A,$A53)</f>
        <v>212</v>
      </c>
      <c r="J53" s="10">
        <f t="shared" si="23"/>
        <v>889</v>
      </c>
      <c r="K53" s="53">
        <f t="shared" si="3"/>
        <v>0.23847019122609675</v>
      </c>
      <c r="L53" s="11">
        <f>SUMIFS(MainData!K:K,MainData!$A:$A,$A53)</f>
        <v>66969.696969696975</v>
      </c>
      <c r="M53" s="11">
        <f t="shared" si="24"/>
        <v>79545.45</v>
      </c>
      <c r="N53" s="53">
        <f t="shared" si="4"/>
        <v>0.84190481001360828</v>
      </c>
      <c r="O53" s="256">
        <f>SUMIFS(MainData!J:J,MainData!$A:$A,$A53)</f>
        <v>9</v>
      </c>
      <c r="P53" s="10">
        <f>IF($B53=$B$4,0,IF($B53=$B$1,VLOOKUP(D53,Target_Entry!$A$8:$AF$23,5,0),IF(LO!B53=LO!$B$2,VLOOKUP(LO!D53,Target_Entry!$A$8:$AF$23,25,0),IF(LO!B53=LO!$B$3,VLOOKUP(LO!D53,Target_Entry!$A$8:$AF$23,15,0)))))</f>
        <v>8</v>
      </c>
      <c r="Q53" s="53">
        <f t="shared" si="5"/>
        <v>1.125</v>
      </c>
      <c r="R53" s="10">
        <f>SUMIFS(MainData!J:J,MainData!$A:$A,$A53)</f>
        <v>9</v>
      </c>
      <c r="S53" s="10">
        <f>SUMIFS(MainData!M:M,MainData!$A:$A,$A53)</f>
        <v>7</v>
      </c>
      <c r="T53" s="53">
        <f t="shared" si="6"/>
        <v>0.77777777777777779</v>
      </c>
      <c r="U53" s="10">
        <f>SUMIFS(MainData!L:L,MainData!$A:$A,$A53)</f>
        <v>3</v>
      </c>
      <c r="V53" s="12">
        <f t="shared" si="7"/>
        <v>0.33333333333333331</v>
      </c>
      <c r="W53" s="10">
        <f>SUMIFS(MainData!F:F,MainData!$A:$A,$A53)</f>
        <v>212</v>
      </c>
      <c r="X53" s="12">
        <f t="shared" si="8"/>
        <v>0.84799999999999998</v>
      </c>
      <c r="Y53" s="11">
        <f>SUMIFS(MainData!H:H,MainData!$A:$A,$A53)</f>
        <v>16890.350053030303</v>
      </c>
      <c r="Z53" s="12">
        <f t="shared" si="9"/>
        <v>2.1378348626602081E-2</v>
      </c>
      <c r="AA53" s="11">
        <f>SUMIFS(MainData!I:I,MainData!$A:$A,$A53)</f>
        <v>29415.506754811166</v>
      </c>
      <c r="AB53" s="231">
        <f t="shared" si="10"/>
        <v>3.7231611923856989E-2</v>
      </c>
      <c r="AC53" s="182"/>
      <c r="AD53" s="18">
        <f t="shared" si="11"/>
        <v>10</v>
      </c>
      <c r="AE53" s="18">
        <f t="shared" si="12"/>
        <v>0</v>
      </c>
      <c r="AF53" s="18">
        <f t="shared" si="13"/>
        <v>14.19048100136083</v>
      </c>
      <c r="AG53" s="18">
        <f t="shared" si="14"/>
        <v>0</v>
      </c>
      <c r="AH53" s="18">
        <f t="shared" si="15"/>
        <v>8.5864954120193744</v>
      </c>
      <c r="AI53" s="18">
        <f t="shared" si="16"/>
        <v>28.192097019035753</v>
      </c>
      <c r="AJ53" s="18">
        <f t="shared" si="17"/>
        <v>3.4799999999999995</v>
      </c>
      <c r="AK53" s="18">
        <f t="shared" si="18"/>
        <v>5</v>
      </c>
      <c r="AL53" s="18">
        <f t="shared" si="19"/>
        <v>5</v>
      </c>
      <c r="AM53" s="36">
        <f t="shared" si="20"/>
        <v>74</v>
      </c>
      <c r="AN53" s="36">
        <f t="shared" si="21"/>
        <v>0</v>
      </c>
      <c r="AO53" s="183">
        <v>843</v>
      </c>
      <c r="AP53" s="184">
        <v>0</v>
      </c>
      <c r="AQ53" s="184">
        <v>4</v>
      </c>
      <c r="AR53" s="28">
        <f>SUM(AO53:AQ53)</f>
        <v>847</v>
      </c>
      <c r="AS53" s="28">
        <f>IF(AO53&gt;0,ROUNDUP($AO53*AS$3,0),0)</f>
        <v>675</v>
      </c>
      <c r="AT53" s="163">
        <f>AR53-AS53</f>
        <v>172</v>
      </c>
      <c r="AU53" s="28">
        <f>IF(AO53&gt;0,ROUND(AN53/$AN$1*AU$3,0),0)</f>
        <v>0</v>
      </c>
      <c r="AV53" s="147">
        <f>AU53+AS53</f>
        <v>675</v>
      </c>
      <c r="AW53" s="147">
        <f>AV53-AR53</f>
        <v>-172</v>
      </c>
      <c r="AX53" s="148">
        <f>IFERROR(AV53/AR53,0)</f>
        <v>0.7969303423848878</v>
      </c>
      <c r="AY53" s="167">
        <f t="shared" si="113"/>
        <v>0</v>
      </c>
      <c r="AZ53" s="167">
        <f>IF(O53&lt;18,IF(AND(I53&gt;0,I53&lt;=60),60,IF(AND(I53&gt;60,I53&lt;=120),70,IF(AND(I53&gt;120,I53&lt;=200),80,IF(I53&gt;200,90,0)))),IF(O53&gt;=18,IF(AND(I53&gt;0,I53&lt;=60),70,IF(AND(I53&gt;60,I53&lt;=120),80,IF(AND(I53&gt;120,I53&lt;=200),90,100)))))</f>
        <v>90</v>
      </c>
      <c r="BB53" s="170">
        <f>AU53-AY53</f>
        <v>0</v>
      </c>
      <c r="BC53" s="202">
        <f>VLOOKUP(A53,ImportDataWA!A$14:AG$112,33,0)</f>
        <v>98.070819432690854</v>
      </c>
      <c r="BD53" s="170">
        <f t="shared" si="114"/>
        <v>0</v>
      </c>
    </row>
    <row r="54" spans="1:56" hidden="1" x14ac:dyDescent="0.25">
      <c r="A54" s="230" t="s">
        <v>69</v>
      </c>
      <c r="B54" s="9" t="str">
        <f>VLOOKUP($A54,MainData!$A$4:$E$1967,2,FALSE)</f>
        <v>VSE</v>
      </c>
      <c r="C54" s="9" t="str">
        <f>VLOOKUP($A54,MainData!$A$4:$E$1967,3,FALSE)</f>
        <v>Hasanain Kadhum Abed</v>
      </c>
      <c r="D54" s="9" t="str">
        <f>VLOOKUP($A54,MainData!$A$4:$E$1967,4,FALSE)</f>
        <v>Hilla</v>
      </c>
      <c r="E54" s="9" t="str">
        <f>VLOOKUP($A54,MainData!$A$4:$E$1967,5,FALSE)</f>
        <v>Mustafa Sabeeh Hadi</v>
      </c>
      <c r="F54" s="11">
        <f>SUMIFS(MainData!G:G,MainData!$A:$A,$A54)</f>
        <v>529524.97764869139</v>
      </c>
      <c r="G54" s="11">
        <f t="shared" si="22"/>
        <v>777777.77777777775</v>
      </c>
      <c r="H54" s="53">
        <f t="shared" si="2"/>
        <v>0.68081782840546035</v>
      </c>
      <c r="I54" s="10">
        <f>SUMIFS(MainData!F:F,MainData!$A:$A,$A54)</f>
        <v>106</v>
      </c>
      <c r="J54" s="10">
        <f t="shared" si="23"/>
        <v>889</v>
      </c>
      <c r="K54" s="53">
        <f t="shared" si="3"/>
        <v>0.11923509561304838</v>
      </c>
      <c r="L54" s="11">
        <f>SUMIFS(MainData!K:K,MainData!$A:$A,$A54)</f>
        <v>20454.545454545456</v>
      </c>
      <c r="M54" s="11">
        <f t="shared" si="24"/>
        <v>79545.45</v>
      </c>
      <c r="N54" s="53">
        <f t="shared" si="4"/>
        <v>0.25714287183673556</v>
      </c>
      <c r="O54" s="256">
        <f>SUMIFS(MainData!J:J,MainData!$A:$A,$A54)</f>
        <v>3</v>
      </c>
      <c r="P54" s="10">
        <f>IF($B54=$B$4,0,IF($B54=$B$1,VLOOKUP(D54,Target_Entry!$A$8:$AF$23,5,0),IF(LO!B54=LO!$B$2,VLOOKUP(LO!D54,Target_Entry!$A$8:$AF$23,25,0),IF(LO!B54=LO!$B$3,VLOOKUP(LO!D54,Target_Entry!$A$8:$AF$23,15,0)))))</f>
        <v>8</v>
      </c>
      <c r="Q54" s="53">
        <f t="shared" si="5"/>
        <v>0.375</v>
      </c>
      <c r="R54" s="10">
        <f>SUMIFS(MainData!J:J,MainData!$A:$A,$A54)</f>
        <v>3</v>
      </c>
      <c r="S54" s="10">
        <f>SUMIFS(MainData!M:M,MainData!$A:$A,$A54)</f>
        <v>2</v>
      </c>
      <c r="T54" s="53">
        <f t="shared" si="6"/>
        <v>0.66666666666666663</v>
      </c>
      <c r="U54" s="10">
        <f>SUMIFS(MainData!L:L,MainData!$A:$A,$A54)</f>
        <v>0</v>
      </c>
      <c r="V54" s="12">
        <f t="shared" si="7"/>
        <v>0</v>
      </c>
      <c r="W54" s="10">
        <f>SUMIFS(MainData!F:F,MainData!$A:$A,$A54)</f>
        <v>106</v>
      </c>
      <c r="X54" s="12">
        <f t="shared" si="8"/>
        <v>0.42399999999999999</v>
      </c>
      <c r="Y54" s="11">
        <f>SUMIFS(MainData!H:H,MainData!$A:$A,$A54)</f>
        <v>11021.500298272069</v>
      </c>
      <c r="Z54" s="12">
        <f t="shared" si="9"/>
        <v>2.0813938460867439E-2</v>
      </c>
      <c r="AA54" s="11">
        <f>SUMIFS(MainData!I:I,MainData!$A:$A,$A54)</f>
        <v>14714.729721631396</v>
      </c>
      <c r="AB54" s="231">
        <f t="shared" si="10"/>
        <v>2.7788546985962486E-2</v>
      </c>
      <c r="AC54" s="182"/>
      <c r="AD54" s="18">
        <f t="shared" si="11"/>
        <v>0</v>
      </c>
      <c r="AE54" s="18">
        <f t="shared" si="12"/>
        <v>0</v>
      </c>
      <c r="AF54" s="18">
        <f t="shared" si="13"/>
        <v>0</v>
      </c>
      <c r="AG54" s="18">
        <f t="shared" si="14"/>
        <v>0</v>
      </c>
      <c r="AH54" s="18">
        <f t="shared" si="15"/>
        <v>8.7558184617397679</v>
      </c>
      <c r="AI54" s="18">
        <f t="shared" si="16"/>
        <v>30.552863253509379</v>
      </c>
      <c r="AJ54" s="18">
        <f t="shared" si="17"/>
        <v>0</v>
      </c>
      <c r="AK54" s="18">
        <f t="shared" si="18"/>
        <v>4.666666666666667</v>
      </c>
      <c r="AL54" s="18">
        <f t="shared" si="19"/>
        <v>0</v>
      </c>
      <c r="AM54" s="36">
        <f t="shared" si="20"/>
        <v>44</v>
      </c>
      <c r="AN54" s="36">
        <f t="shared" si="21"/>
        <v>0</v>
      </c>
      <c r="AO54" s="183">
        <v>944</v>
      </c>
      <c r="AP54" s="184">
        <v>0</v>
      </c>
      <c r="AQ54" s="184">
        <v>0</v>
      </c>
      <c r="AR54" s="28">
        <f>SUM(AO54:AQ54)</f>
        <v>944</v>
      </c>
      <c r="AS54" s="28">
        <f>IF(AO54&gt;0,ROUNDUP($AO54*AS$3,0),0)</f>
        <v>756</v>
      </c>
      <c r="AT54" s="163">
        <f>AR54-AS54</f>
        <v>188</v>
      </c>
      <c r="AU54" s="28">
        <f>IF(AO54&gt;0,ROUND(AN54/$AN$1*AU$3,0),0)</f>
        <v>0</v>
      </c>
      <c r="AV54" s="147">
        <f>AU54+AS54</f>
        <v>756</v>
      </c>
      <c r="AW54" s="147">
        <f>AV54-AR54</f>
        <v>-188</v>
      </c>
      <c r="AX54" s="148">
        <f>IFERROR(AV54/AR54,0)</f>
        <v>0.80084745762711862</v>
      </c>
      <c r="AY54" s="167">
        <f t="shared" si="113"/>
        <v>0</v>
      </c>
      <c r="AZ54" s="167">
        <f>IF(O54&lt;18,IF(AND(I54&gt;0,I54&lt;=60),60,IF(AND(I54&gt;60,I54&lt;=120),70,IF(AND(I54&gt;120,I54&lt;=200),80,IF(I54&gt;200,90,0)))),IF(O54&gt;=18,IF(AND(I54&gt;0,I54&lt;=60),70,IF(AND(I54&gt;60,I54&lt;=120),80,IF(AND(I54&gt;120,I54&lt;=200),90,100)))))</f>
        <v>70</v>
      </c>
      <c r="BB54" s="170">
        <f>AU54-AY54</f>
        <v>0</v>
      </c>
      <c r="BC54" s="202">
        <f>VLOOKUP(A54,ImportDataWA!A$14:AG$112,33,0)</f>
        <v>97.154333324101373</v>
      </c>
      <c r="BD54" s="170">
        <f t="shared" si="114"/>
        <v>0</v>
      </c>
    </row>
    <row r="55" spans="1:56" hidden="1" x14ac:dyDescent="0.25">
      <c r="A55" s="204" t="s">
        <v>413</v>
      </c>
      <c r="B55" s="189" t="str">
        <f>VLOOKUP($A55,MainData!$A$4:$E$1967,2,FALSE)</f>
        <v>Inactive</v>
      </c>
      <c r="C55" s="189" t="str">
        <f>VLOOKUP($A55,MainData!$A$4:$E$1967,3,FALSE)</f>
        <v>Inactive</v>
      </c>
      <c r="D55" s="189" t="str">
        <f>VLOOKUP($A55,MainData!$A$4:$E$1967,4,FALSE)</f>
        <v>Hilla</v>
      </c>
      <c r="E55" s="189" t="str">
        <f>VLOOKUP($A55,MainData!$A$4:$E$1967,5,FALSE)</f>
        <v>Inactive</v>
      </c>
      <c r="F55" s="11">
        <f>SUMIFS(MainData!G:G,MainData!$A:$A,$A55)</f>
        <v>0</v>
      </c>
      <c r="G55" s="11">
        <f t="shared" si="22"/>
        <v>0</v>
      </c>
      <c r="H55" s="53">
        <f t="shared" si="2"/>
        <v>0</v>
      </c>
      <c r="I55" s="10">
        <f>SUMIFS(MainData!F:F,MainData!$A:$A,$A55)</f>
        <v>0</v>
      </c>
      <c r="J55" s="10">
        <f t="shared" si="23"/>
        <v>0</v>
      </c>
      <c r="K55" s="53">
        <f t="shared" si="3"/>
        <v>0</v>
      </c>
      <c r="L55" s="11">
        <f>SUMIFS(MainData!K:K,MainData!$A:$A,$A55)</f>
        <v>0</v>
      </c>
      <c r="M55" s="11">
        <f t="shared" si="24"/>
        <v>0</v>
      </c>
      <c r="N55" s="53">
        <f t="shared" si="4"/>
        <v>0</v>
      </c>
      <c r="O55" s="256">
        <f>SUMIFS(MainData!J:J,MainData!$A:$A,$A55)</f>
        <v>0</v>
      </c>
      <c r="P55" s="10">
        <f>IF($B55=$B$4,0,IF($B55=$B$1,VLOOKUP(D55,Target_Entry!$A$8:$AF$23,5,0),IF(LO!B55=LO!$B$2,VLOOKUP(LO!D55,Target_Entry!$A$8:$AF$23,25,0),IF(LO!B55=LO!$B$3,VLOOKUP(LO!D55,Target_Entry!$A$8:$AF$23,15,0)))))</f>
        <v>0</v>
      </c>
      <c r="Q55" s="53">
        <f t="shared" si="5"/>
        <v>0</v>
      </c>
      <c r="R55" s="10">
        <f>SUMIFS(MainData!J:J,MainData!$A:$A,$A55)</f>
        <v>0</v>
      </c>
      <c r="S55" s="10">
        <f>SUMIFS(MainData!M:M,MainData!$A:$A,$A55)</f>
        <v>0</v>
      </c>
      <c r="T55" s="53">
        <f t="shared" si="6"/>
        <v>0</v>
      </c>
      <c r="U55" s="10">
        <f>SUMIFS(MainData!L:L,MainData!$A:$A,$A55)</f>
        <v>0</v>
      </c>
      <c r="V55" s="12">
        <f t="shared" si="7"/>
        <v>0</v>
      </c>
      <c r="W55" s="10">
        <f>SUMIFS(MainData!F:F,MainData!$A:$A,$A55)</f>
        <v>0</v>
      </c>
      <c r="X55" s="12">
        <f t="shared" si="8"/>
        <v>0</v>
      </c>
      <c r="Y55" s="11">
        <f>SUMIFS(MainData!H:H,MainData!$A:$A,$A55)</f>
        <v>0</v>
      </c>
      <c r="Z55" s="12">
        <f t="shared" si="9"/>
        <v>0</v>
      </c>
      <c r="AA55" s="11">
        <f>SUMIFS(MainData!I:I,MainData!$A:$A,$A55)</f>
        <v>0</v>
      </c>
      <c r="AB55" s="12">
        <f t="shared" si="10"/>
        <v>0</v>
      </c>
      <c r="AC55" s="182"/>
      <c r="AD55" s="18">
        <f t="shared" si="11"/>
        <v>0</v>
      </c>
      <c r="AE55" s="18">
        <f t="shared" si="12"/>
        <v>0</v>
      </c>
      <c r="AF55" s="18">
        <f t="shared" si="13"/>
        <v>0</v>
      </c>
      <c r="AG55" s="18">
        <f t="shared" si="14"/>
        <v>0</v>
      </c>
      <c r="AH55" s="18">
        <f t="shared" si="15"/>
        <v>15</v>
      </c>
      <c r="AI55" s="18">
        <f t="shared" si="16"/>
        <v>37.5</v>
      </c>
      <c r="AJ55" s="18">
        <f t="shared" si="17"/>
        <v>0</v>
      </c>
      <c r="AK55" s="18">
        <f t="shared" si="18"/>
        <v>0</v>
      </c>
      <c r="AL55" s="18">
        <f t="shared" si="19"/>
        <v>0</v>
      </c>
      <c r="AM55" s="36">
        <f t="shared" si="20"/>
        <v>53</v>
      </c>
      <c r="AN55" s="36">
        <f t="shared" si="21"/>
        <v>0</v>
      </c>
      <c r="AO55" s="183"/>
      <c r="AP55" s="184"/>
      <c r="AQ55" s="184"/>
      <c r="AR55" s="28"/>
      <c r="AS55" s="28"/>
      <c r="AT55" s="163"/>
      <c r="AU55" s="28"/>
      <c r="AV55" s="147"/>
      <c r="AW55" s="147"/>
      <c r="AX55" s="148"/>
      <c r="AY55" s="167"/>
      <c r="AZ55" s="167"/>
      <c r="BB55" s="170"/>
      <c r="BC55" s="202"/>
    </row>
    <row r="56" spans="1:56" hidden="1" x14ac:dyDescent="0.25">
      <c r="A56" s="197" t="s">
        <v>250</v>
      </c>
      <c r="B56" s="9" t="str">
        <f>VLOOKUP($A56,MainData!$A$4:$E$1967,2,FALSE)</f>
        <v>Micro</v>
      </c>
      <c r="C56" s="9" t="str">
        <f>VLOOKUP($A56,MainData!$A$4:$E$1967,3,FALSE)</f>
        <v>Muhammad  Qahtan Mindeel</v>
      </c>
      <c r="D56" s="9" t="str">
        <f>VLOOKUP($A56,MainData!$A$4:$E$1967,4,FALSE)</f>
        <v>Hilla</v>
      </c>
      <c r="E56" s="9" t="str">
        <f>VLOOKUP($A56,MainData!$A$4:$E$1967,5,FALSE)</f>
        <v>Mustafa Sabeeh Hadi</v>
      </c>
      <c r="F56" s="11">
        <f>SUMIFS(MainData!G:G,MainData!$A:$A,$A56)</f>
        <v>873822.38916474197</v>
      </c>
      <c r="G56" s="11">
        <f t="shared" si="22"/>
        <v>333333.33333333331</v>
      </c>
      <c r="H56" s="53">
        <f t="shared" si="2"/>
        <v>2.621467167494226</v>
      </c>
      <c r="I56" s="10">
        <f>SUMIFS(MainData!F:F,MainData!$A:$A,$A56)</f>
        <v>222</v>
      </c>
      <c r="J56" s="10">
        <f t="shared" si="23"/>
        <v>400</v>
      </c>
      <c r="K56" s="53">
        <f t="shared" si="3"/>
        <v>0.55500000000000005</v>
      </c>
      <c r="L56" s="11">
        <f>SUMIFS(MainData!K:K,MainData!$A:$A,$A56)</f>
        <v>39166.666666666672</v>
      </c>
      <c r="M56" s="11">
        <f t="shared" si="24"/>
        <v>56818.18</v>
      </c>
      <c r="N56" s="53">
        <f t="shared" si="4"/>
        <v>0.6893333553920008</v>
      </c>
      <c r="O56" s="256">
        <f>SUMIFS(MainData!J:J,MainData!$A:$A,$A56)</f>
        <v>9</v>
      </c>
      <c r="P56" s="10">
        <f>IF($B56=$B$4,0,IF($B56=$B$1,VLOOKUP(D56,Target_Entry!$A$8:$AF$23,5,0),IF(LO!B56=LO!$B$2,VLOOKUP(LO!D56,Target_Entry!$A$8:$AF$23,25,0),IF(LO!B56=LO!$B$3,VLOOKUP(LO!D56,Target_Entry!$A$8:$AF$23,15,0)))))</f>
        <v>15</v>
      </c>
      <c r="Q56" s="53">
        <f t="shared" si="5"/>
        <v>0.6</v>
      </c>
      <c r="R56" s="10">
        <f>SUMIFS(MainData!J:J,MainData!$A:$A,$A56)</f>
        <v>9</v>
      </c>
      <c r="S56" s="10">
        <f>SUMIFS(MainData!M:M,MainData!$A:$A,$A56)</f>
        <v>2</v>
      </c>
      <c r="T56" s="53">
        <f t="shared" si="6"/>
        <v>0.22222222222222221</v>
      </c>
      <c r="U56" s="10">
        <f>SUMIFS(MainData!L:L,MainData!$A:$A,$A56)</f>
        <v>4</v>
      </c>
      <c r="V56" s="12">
        <f t="shared" si="7"/>
        <v>0.44444444444444442</v>
      </c>
      <c r="W56" s="10">
        <f>SUMIFS(MainData!F:F,MainData!$A:$A,$A56)</f>
        <v>222</v>
      </c>
      <c r="X56" s="12">
        <f t="shared" si="8"/>
        <v>0.88800000000000001</v>
      </c>
      <c r="Y56" s="11">
        <f>SUMIFS(MainData!H:H,MainData!$A:$A,$A56)</f>
        <v>4967.9583636363623</v>
      </c>
      <c r="Z56" s="12">
        <f t="shared" si="9"/>
        <v>5.6853182354197514E-3</v>
      </c>
      <c r="AA56" s="11">
        <f>SUMIFS(MainData!I:I,MainData!$A:$A,$A56)</f>
        <v>16365.193560606062</v>
      </c>
      <c r="AB56" s="12">
        <f t="shared" si="10"/>
        <v>1.8728283646118303E-2</v>
      </c>
      <c r="AC56" s="182"/>
      <c r="AD56" s="18">
        <f t="shared" si="11"/>
        <v>10</v>
      </c>
      <c r="AE56" s="18">
        <f t="shared" si="12"/>
        <v>0</v>
      </c>
      <c r="AF56" s="18">
        <f t="shared" si="13"/>
        <v>0</v>
      </c>
      <c r="AG56" s="18">
        <f t="shared" si="14"/>
        <v>0</v>
      </c>
      <c r="AH56" s="18">
        <f t="shared" si="15"/>
        <v>13.294404529374075</v>
      </c>
      <c r="AI56" s="18">
        <f t="shared" si="16"/>
        <v>32.817929088470422</v>
      </c>
      <c r="AJ56" s="18">
        <f t="shared" si="17"/>
        <v>3.88</v>
      </c>
      <c r="AK56" s="18">
        <f t="shared" si="18"/>
        <v>0.22222222222222199</v>
      </c>
      <c r="AL56" s="18">
        <f t="shared" si="19"/>
        <v>5</v>
      </c>
      <c r="AM56" s="36">
        <f t="shared" si="20"/>
        <v>65</v>
      </c>
      <c r="AN56" s="36">
        <f t="shared" si="21"/>
        <v>0</v>
      </c>
      <c r="AO56" s="183">
        <v>665</v>
      </c>
      <c r="AP56" s="184">
        <v>0</v>
      </c>
      <c r="AQ56" s="184">
        <v>0</v>
      </c>
      <c r="AR56" s="28">
        <f>SUM(AO56:AQ56)</f>
        <v>665</v>
      </c>
      <c r="AS56" s="28">
        <f>IF(AO56&gt;0,ROUNDUP($AO56*AS$3,0),0)</f>
        <v>532</v>
      </c>
      <c r="AT56" s="28">
        <f>AR56-AS56</f>
        <v>133</v>
      </c>
      <c r="AU56" s="28">
        <f>IF(AO56&gt;0,ROUND(AN56/$AN$1*AU$3,0),0)</f>
        <v>0</v>
      </c>
      <c r="AV56" s="147">
        <f>AU56+AS56</f>
        <v>532</v>
      </c>
      <c r="AW56" s="147">
        <f>AV56-AR56</f>
        <v>-133</v>
      </c>
      <c r="AX56" s="148">
        <f>IFERROR(AV56/AR56,0)</f>
        <v>0.8</v>
      </c>
      <c r="AY56" s="167">
        <f t="shared" ref="AY56:AY57" si="115">AU56</f>
        <v>0</v>
      </c>
      <c r="AZ56" s="167">
        <f>IF(O56&lt;18,IF(AND(I56&gt;0,I56&lt;=60),60,IF(AND(I56&gt;60,I56&lt;=120),70,IF(AND(I56&gt;120,I56&lt;=200),80,IF(I56&gt;200,90,0)))),IF(O56&gt;=18,IF(AND(I56&gt;0,I56&lt;=60),70,IF(AND(I56&gt;60,I56&lt;=120),80,IF(AND(I56&gt;120,I56&lt;=200),90,100)))))</f>
        <v>90</v>
      </c>
      <c r="BB56" s="170">
        <f t="shared" ref="BB56:BB67" si="116">AU56-AY56</f>
        <v>0</v>
      </c>
      <c r="BC56" s="202">
        <f>VLOOKUP(A56,ImportDataWA!A$14:AG$112,33,0)</f>
        <v>97.303062045648787</v>
      </c>
      <c r="BD56" s="170">
        <f t="shared" ref="BD56:BD57" si="117">AU56-AY56</f>
        <v>0</v>
      </c>
    </row>
    <row r="57" spans="1:56" hidden="1" x14ac:dyDescent="0.25">
      <c r="A57" s="197" t="s">
        <v>353</v>
      </c>
      <c r="B57" s="9" t="str">
        <f>VLOOKUP($A57,MainData!$A$4:$E$1967,2,FALSE)</f>
        <v>Inactive</v>
      </c>
      <c r="C57" s="9" t="str">
        <f>VLOOKUP($A57,MainData!$A$4:$E$1967,3,FALSE)</f>
        <v>Inactive</v>
      </c>
      <c r="D57" s="9" t="str">
        <f>VLOOKUP($A57,MainData!$A$4:$E$1967,4,FALSE)</f>
        <v>Hilla</v>
      </c>
      <c r="E57" s="9" t="str">
        <f>VLOOKUP($A57,MainData!$A$4:$E$1967,5,FALSE)</f>
        <v>Inactive</v>
      </c>
      <c r="F57" s="11">
        <f>SUMIFS(MainData!G:G,MainData!$A:$A,$A57)</f>
        <v>52889.980491194598</v>
      </c>
      <c r="G57" s="11">
        <f t="shared" si="22"/>
        <v>0</v>
      </c>
      <c r="H57" s="53">
        <f t="shared" si="2"/>
        <v>0</v>
      </c>
      <c r="I57" s="10">
        <f>SUMIFS(MainData!F:F,MainData!$A:$A,$A57)</f>
        <v>29</v>
      </c>
      <c r="J57" s="10">
        <f t="shared" si="23"/>
        <v>0</v>
      </c>
      <c r="K57" s="53">
        <f t="shared" si="3"/>
        <v>0</v>
      </c>
      <c r="L57" s="11">
        <f>SUMIFS(MainData!K:K,MainData!$A:$A,$A57)</f>
        <v>0</v>
      </c>
      <c r="M57" s="11">
        <f t="shared" si="24"/>
        <v>0</v>
      </c>
      <c r="N57" s="53">
        <f t="shared" si="4"/>
        <v>0</v>
      </c>
      <c r="O57" s="256">
        <f>SUMIFS(MainData!J:J,MainData!$A:$A,$A57)</f>
        <v>0</v>
      </c>
      <c r="P57" s="10">
        <f>IF($B57=$B$4,0,IF($B57=$B$1,VLOOKUP(D57,Target_Entry!$A$8:$AF$23,5,0),IF(LO!B57=LO!$B$2,VLOOKUP(LO!D57,Target_Entry!$A$8:$AF$23,25,0),IF(LO!B57=LO!$B$3,VLOOKUP(LO!D57,Target_Entry!$A$8:$AF$23,15,0)))))</f>
        <v>0</v>
      </c>
      <c r="Q57" s="53">
        <f t="shared" si="5"/>
        <v>0</v>
      </c>
      <c r="R57" s="10">
        <f>SUMIFS(MainData!J:J,MainData!$A:$A,$A57)</f>
        <v>0</v>
      </c>
      <c r="S57" s="10">
        <f>SUMIFS(MainData!M:M,MainData!$A:$A,$A57)</f>
        <v>0</v>
      </c>
      <c r="T57" s="53">
        <f t="shared" si="6"/>
        <v>0</v>
      </c>
      <c r="U57" s="10">
        <f>SUMIFS(MainData!L:L,MainData!$A:$A,$A57)</f>
        <v>0</v>
      </c>
      <c r="V57" s="12">
        <f t="shared" si="7"/>
        <v>0</v>
      </c>
      <c r="W57" s="10">
        <f>SUMIFS(MainData!F:F,MainData!$A:$A,$A57)</f>
        <v>29</v>
      </c>
      <c r="X57" s="12">
        <f t="shared" si="8"/>
        <v>0.11600000000000001</v>
      </c>
      <c r="Y57" s="11">
        <f>SUMIFS(MainData!H:H,MainData!$A:$A,$A57)</f>
        <v>4131.1331805885347</v>
      </c>
      <c r="Z57" s="12">
        <f t="shared" si="9"/>
        <v>7.8108048863362839E-2</v>
      </c>
      <c r="AA57" s="11">
        <f>SUMIFS(MainData!I:I,MainData!$A:$A,$A57)</f>
        <v>25038.510333333332</v>
      </c>
      <c r="AB57" s="12">
        <f t="shared" si="10"/>
        <v>0.4734074412733405</v>
      </c>
      <c r="AC57" s="182"/>
      <c r="AD57" s="18">
        <f t="shared" si="11"/>
        <v>0</v>
      </c>
      <c r="AE57" s="18">
        <f t="shared" si="12"/>
        <v>0</v>
      </c>
      <c r="AF57" s="18">
        <f t="shared" si="13"/>
        <v>0</v>
      </c>
      <c r="AG57" s="18">
        <f t="shared" si="14"/>
        <v>0</v>
      </c>
      <c r="AH57" s="18">
        <f t="shared" si="15"/>
        <v>0</v>
      </c>
      <c r="AI57" s="18">
        <f t="shared" si="16"/>
        <v>0</v>
      </c>
      <c r="AJ57" s="18">
        <f t="shared" si="17"/>
        <v>0</v>
      </c>
      <c r="AK57" s="18">
        <f t="shared" si="18"/>
        <v>0</v>
      </c>
      <c r="AL57" s="18">
        <f t="shared" si="19"/>
        <v>0</v>
      </c>
      <c r="AM57" s="36">
        <f t="shared" si="20"/>
        <v>0</v>
      </c>
      <c r="AN57" s="36">
        <f t="shared" si="21"/>
        <v>0</v>
      </c>
      <c r="AO57" s="183">
        <v>751</v>
      </c>
      <c r="AP57" s="184">
        <v>0</v>
      </c>
      <c r="AQ57" s="184">
        <v>0</v>
      </c>
      <c r="AR57" s="28">
        <f>SUM(AO57:AQ57)</f>
        <v>751</v>
      </c>
      <c r="AS57" s="28">
        <f>IF(AO57&gt;0,ROUNDUP($AO57*AS$3,0),0)</f>
        <v>601</v>
      </c>
      <c r="AT57" s="163">
        <f>AR57-AS57</f>
        <v>150</v>
      </c>
      <c r="AU57" s="28">
        <f>IF(AO57&gt;0,ROUND(AN57/$AN$1*AU$3,0),0)</f>
        <v>0</v>
      </c>
      <c r="AV57" s="147">
        <f>AU57+AS57</f>
        <v>601</v>
      </c>
      <c r="AW57" s="147">
        <f>AV57-AR57</f>
        <v>-150</v>
      </c>
      <c r="AX57" s="148">
        <f>IFERROR(AV57/AR57,0)</f>
        <v>0.80026631158455397</v>
      </c>
      <c r="AY57" s="167">
        <f t="shared" si="115"/>
        <v>0</v>
      </c>
      <c r="AZ57" s="167">
        <f>IF(O57&lt;18,IF(AND(I57&gt;0,I57&lt;=60),60,IF(AND(I57&gt;60,I57&lt;=120),70,IF(AND(I57&gt;120,I57&lt;=200),80,IF(I57&gt;200,90,0)))),IF(O57&gt;=18,IF(AND(I57&gt;0,I57&lt;=60),70,IF(AND(I57&gt;60,I57&lt;=120),80,IF(AND(I57&gt;120,I57&lt;=200),90,100)))))</f>
        <v>60</v>
      </c>
      <c r="BB57" s="170">
        <f t="shared" si="116"/>
        <v>0</v>
      </c>
      <c r="BC57" s="202">
        <f>VLOOKUP(A57,ImportDataWA!A$14:AG$112,33,0)</f>
        <v>85.547946471643485</v>
      </c>
      <c r="BD57" s="170">
        <f t="shared" si="117"/>
        <v>0</v>
      </c>
    </row>
    <row r="58" spans="1:56" hidden="1" x14ac:dyDescent="0.25">
      <c r="A58" s="201" t="s">
        <v>424</v>
      </c>
      <c r="B58" s="32" t="str">
        <f>VLOOKUP($A58,MainData!$A$4:$E$1967,2,FALSE)</f>
        <v>Inactive</v>
      </c>
      <c r="C58" s="32" t="str">
        <f>VLOOKUP($A58,MainData!$A$4:$E$1967,3,FALSE)</f>
        <v>Inactive</v>
      </c>
      <c r="D58" s="32" t="str">
        <f>VLOOKUP($A58,MainData!$A$4:$E$1967,4,FALSE)</f>
        <v>Hilla</v>
      </c>
      <c r="E58" s="32" t="str">
        <f>VLOOKUP($A58,MainData!$A$4:$E$1967,5,FALSE)</f>
        <v>Inactive</v>
      </c>
      <c r="F58" s="11">
        <f>SUMIFS(MainData!G:G,MainData!$A:$A,$A58)</f>
        <v>0</v>
      </c>
      <c r="G58" s="11">
        <f t="shared" si="22"/>
        <v>0</v>
      </c>
      <c r="H58" s="53">
        <f t="shared" ref="H58:H111" si="118">IFERROR(F58/G58,0)</f>
        <v>0</v>
      </c>
      <c r="I58" s="10">
        <f>SUMIFS(MainData!F:F,MainData!$A:$A,$A58)</f>
        <v>0</v>
      </c>
      <c r="J58" s="10">
        <f t="shared" si="23"/>
        <v>0</v>
      </c>
      <c r="K58" s="53">
        <f t="shared" ref="K58:K111" si="119">IFERROR(I58/J58,0)</f>
        <v>0</v>
      </c>
      <c r="L58" s="11">
        <f>SUMIFS(MainData!K:K,MainData!$A:$A,$A58)</f>
        <v>0</v>
      </c>
      <c r="M58" s="11">
        <f t="shared" si="24"/>
        <v>0</v>
      </c>
      <c r="N58" s="53">
        <f t="shared" ref="N58:N111" si="120">IFERROR(L58/M58,0)</f>
        <v>0</v>
      </c>
      <c r="O58" s="256">
        <f>SUMIFS(MainData!J:J,MainData!$A:$A,$A58)</f>
        <v>0</v>
      </c>
      <c r="P58" s="10">
        <f>IF($B58=$B$4,0,IF($B58=$B$1,VLOOKUP(D58,Target_Entry!$A$8:$AF$23,5,0),IF(LO!B58=LO!$B$2,VLOOKUP(LO!D58,Target_Entry!$A$8:$AF$23,25,0),IF(LO!B58=LO!$B$3,VLOOKUP(LO!D58,Target_Entry!$A$8:$AF$23,15,0)))))</f>
        <v>0</v>
      </c>
      <c r="Q58" s="53">
        <f t="shared" ref="Q58:Q111" si="121">IFERROR(O58/P58,0)</f>
        <v>0</v>
      </c>
      <c r="R58" s="10">
        <f>SUMIFS(MainData!J:J,MainData!$A:$A,$A58)</f>
        <v>0</v>
      </c>
      <c r="S58" s="10">
        <f>SUMIFS(MainData!M:M,MainData!$A:$A,$A58)</f>
        <v>0</v>
      </c>
      <c r="T58" s="53">
        <f t="shared" ref="T58:T111" si="122">IFERROR(S58/R58,0)</f>
        <v>0</v>
      </c>
      <c r="U58" s="10">
        <f>SUMIFS(MainData!L:L,MainData!$A:$A,$A58)</f>
        <v>0</v>
      </c>
      <c r="V58" s="12">
        <f t="shared" ref="V58:V111" si="123">IFERROR(U58/R58,0)</f>
        <v>0</v>
      </c>
      <c r="W58" s="10">
        <f>SUMIFS(MainData!F:F,MainData!$A:$A,$A58)</f>
        <v>0</v>
      </c>
      <c r="X58" s="12">
        <f t="shared" ref="X58:X111" si="124">IF($B58=$B$2,W58/X$3,W58/X$2)</f>
        <v>0</v>
      </c>
      <c r="Y58" s="11">
        <f>SUMIFS(MainData!H:H,MainData!$A:$A,$A58)</f>
        <v>0</v>
      </c>
      <c r="Z58" s="12">
        <f t="shared" ref="Z58:Z111" si="125">IFERROR(Y58/$F58,0)</f>
        <v>0</v>
      </c>
      <c r="AA58" s="11">
        <f>SUMIFS(MainData!I:I,MainData!$A:$A,$A58)</f>
        <v>0</v>
      </c>
      <c r="AB58" s="12">
        <f t="shared" ref="AB58:AB111" si="126">IFERROR(AA58/$F58,0)</f>
        <v>0</v>
      </c>
      <c r="AC58" s="182"/>
      <c r="AD58" s="18">
        <f t="shared" ref="AD58:AD111" si="127">MAX(AD$5,MIN(AD$4,AD$1*(H58/(AD$2-AD$3)-(AD$3/(AD$2-AD$3)))))</f>
        <v>0</v>
      </c>
      <c r="AE58" s="18">
        <f t="shared" ref="AE58:AE111" si="128">MAX(AE$5,MIN(AE$4,AE$1*(K58/(AE$2-AE$3)-(AE$3/(AE$2-AE$3)))))</f>
        <v>0</v>
      </c>
      <c r="AF58" s="18">
        <f t="shared" ref="AF58:AF111" si="129">MAX(AF$5,MIN(AF$4,AF$1*(N58/(AF$2-AF$3)-(AF$3/(AF$2-AF$3)))))</f>
        <v>0</v>
      </c>
      <c r="AG58" s="18">
        <f t="shared" ref="AG58:AG111" si="130">MAX(AG$5,MIN(AG$4,AG$1*(Q58/(AG$2-AG$3)-(AG$3/(AG$2-AG$3)))))</f>
        <v>0</v>
      </c>
      <c r="AH58" s="18">
        <f t="shared" ref="AH58:AH111" si="131">MIN(AH$4,MAX(AH$5,AH$1-AH$1*(Z58/(AH$3-AH$2)-(AH$2/(AH$3-AH$2)))))</f>
        <v>15</v>
      </c>
      <c r="AI58" s="18">
        <f t="shared" ref="AI58:AI111" si="132">MIN(AI$4,MAX(AI$5,AI$1-AI$1*(AB58/(AI$3-AI$2)-(AI$2/(AI$3-AI$2)))))</f>
        <v>37.5</v>
      </c>
      <c r="AJ58" s="18">
        <f t="shared" ref="AJ58:AJ111" si="133">MAX(AJ$5,MIN(AJ$4,AJ$1*(X58/(AJ$2-AJ$3)-(AJ$3/(AJ$2-AJ$3)))))</f>
        <v>0</v>
      </c>
      <c r="AK58" s="18">
        <f t="shared" ref="AK58:AK111" si="134">MAX(AK$5,MIN(AK$4,AK$1*(T58/(AK$2-AK$3)-(AK$3/(AK$2-AK$3)))))</f>
        <v>0</v>
      </c>
      <c r="AL58" s="18">
        <f t="shared" ref="AL58:AL111" si="135">MAX(AL$5,MIN(AL$4,AL$1*(V58/(AL$2-AL$3)-(AL$3/(AL$2-AL$3)))))</f>
        <v>0</v>
      </c>
      <c r="AM58" s="36">
        <f t="shared" ref="AM58:AM111" si="136">ROUND(SUM(AD58:AL58),0)</f>
        <v>53</v>
      </c>
      <c r="AN58" s="36">
        <f t="shared" ref="AN58:AN111" si="137">IF(AND(AB58&lt;=AN$2,OR(AND(O58&gt;=AO$3,L58&gt;=AN$3),AND(O58&gt;=AO$4,L58&gt;=AN$4))),AM58,0)</f>
        <v>0</v>
      </c>
      <c r="AO58" s="183"/>
      <c r="AP58" s="184"/>
      <c r="AQ58" s="184"/>
      <c r="AR58" s="28"/>
      <c r="AS58" s="28"/>
      <c r="AT58" s="28"/>
      <c r="AU58" s="28"/>
      <c r="AV58" s="147"/>
      <c r="AW58" s="147"/>
      <c r="AX58" s="148"/>
      <c r="AY58" s="167"/>
      <c r="AZ58" s="167"/>
      <c r="BA58">
        <v>73</v>
      </c>
      <c r="BB58" s="170">
        <f t="shared" si="116"/>
        <v>0</v>
      </c>
      <c r="BC58" s="202" t="e">
        <f>VLOOKUP(A58,ImportDataWA!A$14:AG$112,33,0)</f>
        <v>#N/A</v>
      </c>
    </row>
    <row r="59" spans="1:56" hidden="1" x14ac:dyDescent="0.25">
      <c r="A59" s="185" t="s">
        <v>361</v>
      </c>
      <c r="B59" s="9" t="str">
        <f>VLOOKUP($A59,MainData!$A$4:$E$1967,2,FALSE)</f>
        <v>Micro</v>
      </c>
      <c r="C59" s="9" t="str">
        <f>VLOOKUP($A59,MainData!$A$4:$E$1967,3,FALSE)</f>
        <v>Muhammad  Qahtan Mindeel</v>
      </c>
      <c r="D59" s="9" t="str">
        <f>VLOOKUP($A59,MainData!$A$4:$E$1967,4,FALSE)</f>
        <v>Hilla</v>
      </c>
      <c r="E59" s="9" t="str">
        <f>VLOOKUP($A59,MainData!$A$4:$E$1967,5,FALSE)</f>
        <v>Mustafa Sabeeh Hadi</v>
      </c>
      <c r="F59" s="11">
        <f>SUMIFS(MainData!G:G,MainData!$A:$A,$A59)</f>
        <v>638100.4649606772</v>
      </c>
      <c r="G59" s="11">
        <f t="shared" si="22"/>
        <v>333333.33333333331</v>
      </c>
      <c r="H59" s="53">
        <f t="shared" si="118"/>
        <v>1.9143013948820318</v>
      </c>
      <c r="I59" s="10">
        <f>SUMIFS(MainData!F:F,MainData!$A:$A,$A59)</f>
        <v>170</v>
      </c>
      <c r="J59" s="10">
        <f t="shared" si="23"/>
        <v>400</v>
      </c>
      <c r="K59" s="53">
        <f t="shared" si="119"/>
        <v>0.42499999999999999</v>
      </c>
      <c r="L59" s="11">
        <f>SUMIFS(MainData!K:K,MainData!$A:$A,$A59)</f>
        <v>68181.818181818177</v>
      </c>
      <c r="M59" s="11">
        <f t="shared" si="24"/>
        <v>56818.18</v>
      </c>
      <c r="N59" s="53">
        <f t="shared" si="120"/>
        <v>1.2000000384000011</v>
      </c>
      <c r="O59" s="256">
        <f>SUMIFS(MainData!J:J,MainData!$A:$A,$A59)</f>
        <v>12</v>
      </c>
      <c r="P59" s="10">
        <f>IF($B59=$B$4,0,IF($B59=$B$1,VLOOKUP(D59,Target_Entry!$A$8:$AF$23,5,0),IF(LO!B59=LO!$B$2,VLOOKUP(LO!D59,Target_Entry!$A$8:$AF$23,25,0),IF(LO!B59=LO!$B$3,VLOOKUP(LO!D59,Target_Entry!$A$8:$AF$23,15,0)))))</f>
        <v>15</v>
      </c>
      <c r="Q59" s="53">
        <f t="shared" si="121"/>
        <v>0.8</v>
      </c>
      <c r="R59" s="10">
        <f>SUMIFS(MainData!J:J,MainData!$A:$A,$A59)</f>
        <v>12</v>
      </c>
      <c r="S59" s="10">
        <f>SUMIFS(MainData!M:M,MainData!$A:$A,$A59)</f>
        <v>8</v>
      </c>
      <c r="T59" s="53">
        <f t="shared" si="122"/>
        <v>0.66666666666666663</v>
      </c>
      <c r="U59" s="10">
        <f>SUMIFS(MainData!L:L,MainData!$A:$A,$A59)</f>
        <v>3</v>
      </c>
      <c r="V59" s="12">
        <f t="shared" si="123"/>
        <v>0.25</v>
      </c>
      <c r="W59" s="10">
        <f>SUMIFS(MainData!F:F,MainData!$A:$A,$A59)</f>
        <v>170</v>
      </c>
      <c r="X59" s="12">
        <f t="shared" si="124"/>
        <v>0.68</v>
      </c>
      <c r="Y59" s="11">
        <f>SUMIFS(MainData!H:H,MainData!$A:$A,$A59)</f>
        <v>14452.50476334226</v>
      </c>
      <c r="Z59" s="12">
        <f t="shared" si="125"/>
        <v>2.2649262235270261E-2</v>
      </c>
      <c r="AA59" s="11">
        <f>SUMIFS(MainData!I:I,MainData!$A:$A,$A59)</f>
        <v>12692.012983595398</v>
      </c>
      <c r="AB59" s="12">
        <f t="shared" si="126"/>
        <v>1.9890305180043304E-2</v>
      </c>
      <c r="AC59" s="182"/>
      <c r="AD59" s="18">
        <f t="shared" si="127"/>
        <v>10</v>
      </c>
      <c r="AE59" s="18">
        <f t="shared" si="128"/>
        <v>0</v>
      </c>
      <c r="AF59" s="18">
        <f t="shared" si="129"/>
        <v>45</v>
      </c>
      <c r="AG59" s="18">
        <f t="shared" si="130"/>
        <v>0</v>
      </c>
      <c r="AH59" s="18">
        <f t="shared" si="131"/>
        <v>8.2052213294189222</v>
      </c>
      <c r="AI59" s="18">
        <f t="shared" si="132"/>
        <v>32.527423704989175</v>
      </c>
      <c r="AJ59" s="18">
        <f t="shared" si="133"/>
        <v>1.8000000000000005</v>
      </c>
      <c r="AK59" s="18">
        <f t="shared" si="134"/>
        <v>4.666666666666667</v>
      </c>
      <c r="AL59" s="18">
        <f t="shared" si="135"/>
        <v>4.166666666666667</v>
      </c>
      <c r="AM59" s="36">
        <f t="shared" si="136"/>
        <v>106</v>
      </c>
      <c r="AN59" s="36">
        <f t="shared" si="137"/>
        <v>0</v>
      </c>
      <c r="AO59" s="183">
        <v>786</v>
      </c>
      <c r="AP59" s="184">
        <v>0</v>
      </c>
      <c r="AQ59" s="184">
        <v>0</v>
      </c>
      <c r="AR59" s="28">
        <f t="shared" ref="AR59:AR67" si="138">SUM(AO59:AQ59)</f>
        <v>786</v>
      </c>
      <c r="AS59" s="28">
        <f t="shared" ref="AS59:AS67" si="139">IF(AO59&gt;0,ROUNDUP($AO59*AS$3,0),0)</f>
        <v>629</v>
      </c>
      <c r="AT59" s="163">
        <f t="shared" ref="AT59:AT67" si="140">AR59-AS59</f>
        <v>157</v>
      </c>
      <c r="AU59" s="28">
        <f t="shared" ref="AU59:AU67" si="141">IF(AO59&gt;0,ROUND(AN59/$AN$1*AU$3,0),0)</f>
        <v>0</v>
      </c>
      <c r="AV59" s="147">
        <f t="shared" ref="AV59:AV67" si="142">AU59+AS59</f>
        <v>629</v>
      </c>
      <c r="AW59" s="147">
        <f t="shared" ref="AW59:AW67" si="143">AV59-AR59</f>
        <v>-157</v>
      </c>
      <c r="AX59" s="148">
        <f t="shared" ref="AX59:AX67" si="144">IFERROR(AV59/AR59,0)</f>
        <v>0.80025445292620867</v>
      </c>
      <c r="AY59" s="167">
        <f t="shared" ref="AY59:AY61" si="145">AU59</f>
        <v>0</v>
      </c>
      <c r="AZ59" s="167">
        <f t="shared" ref="AZ59:AZ67" si="146">IF(O59&lt;18,IF(AND(I59&gt;0,I59&lt;=60),60,IF(AND(I59&gt;60,I59&lt;=120),70,IF(AND(I59&gt;120,I59&lt;=200),80,IF(I59&gt;200,90,0)))),IF(O59&gt;=18,IF(AND(I59&gt;0,I59&lt;=60),70,IF(AND(I59&gt;60,I59&lt;=120),80,IF(AND(I59&gt;120,I59&lt;=200),90,100)))))</f>
        <v>80</v>
      </c>
      <c r="BB59" s="170">
        <f t="shared" si="116"/>
        <v>0</v>
      </c>
      <c r="BC59" s="202"/>
      <c r="BD59" s="170">
        <f t="shared" ref="BD59:BD61" si="147">AU59-AY59</f>
        <v>0</v>
      </c>
    </row>
    <row r="60" spans="1:56" hidden="1" x14ac:dyDescent="0.25">
      <c r="A60" s="197" t="s">
        <v>363</v>
      </c>
      <c r="B60" s="9" t="str">
        <f>VLOOKUP($A60,MainData!$A$4:$E$1967,2,FALSE)</f>
        <v>Micro</v>
      </c>
      <c r="C60" s="9" t="str">
        <f>VLOOKUP($A60,MainData!$A$4:$E$1967,3,FALSE)</f>
        <v>Muhammad  Qahtan Mindeel</v>
      </c>
      <c r="D60" s="9" t="str">
        <f>VLOOKUP($A60,MainData!$A$4:$E$1967,4,FALSE)</f>
        <v>Hilla</v>
      </c>
      <c r="E60" s="9" t="str">
        <f>VLOOKUP($A60,MainData!$A$4:$E$1967,5,FALSE)</f>
        <v>Mustafa Sabeeh Hadi</v>
      </c>
      <c r="F60" s="11">
        <f>SUMIFS(MainData!G:G,MainData!$A:$A,$A60)</f>
        <v>447793.2178967573</v>
      </c>
      <c r="G60" s="11">
        <f t="shared" si="22"/>
        <v>333333.33333333331</v>
      </c>
      <c r="H60" s="53">
        <f t="shared" si="118"/>
        <v>1.343379653690272</v>
      </c>
      <c r="I60" s="10">
        <f>SUMIFS(MainData!F:F,MainData!$A:$A,$A60)</f>
        <v>148</v>
      </c>
      <c r="J60" s="10">
        <f t="shared" si="23"/>
        <v>400</v>
      </c>
      <c r="K60" s="53">
        <f t="shared" si="119"/>
        <v>0.37</v>
      </c>
      <c r="L60" s="11">
        <f>SUMIFS(MainData!K:K,MainData!$A:$A,$A60)</f>
        <v>20454.545454545452</v>
      </c>
      <c r="M60" s="11">
        <f t="shared" si="24"/>
        <v>56818.18</v>
      </c>
      <c r="N60" s="53">
        <f t="shared" si="120"/>
        <v>0.36000001152000033</v>
      </c>
      <c r="O60" s="256">
        <f>SUMIFS(MainData!J:J,MainData!$A:$A,$A60)</f>
        <v>6</v>
      </c>
      <c r="P60" s="10">
        <f>IF($B60=$B$4,0,IF($B60=$B$1,VLOOKUP(D60,Target_Entry!$A$8:$AF$23,5,0),IF(LO!B60=LO!$B$2,VLOOKUP(LO!D60,Target_Entry!$A$8:$AF$23,25,0),IF(LO!B60=LO!$B$3,VLOOKUP(LO!D60,Target_Entry!$A$8:$AF$23,15,0)))))</f>
        <v>15</v>
      </c>
      <c r="Q60" s="53">
        <f t="shared" si="121"/>
        <v>0.4</v>
      </c>
      <c r="R60" s="10">
        <f>SUMIFS(MainData!J:J,MainData!$A:$A,$A60)</f>
        <v>6</v>
      </c>
      <c r="S60" s="10">
        <f>SUMIFS(MainData!M:M,MainData!$A:$A,$A60)</f>
        <v>2</v>
      </c>
      <c r="T60" s="53">
        <f t="shared" si="122"/>
        <v>0.33333333333333331</v>
      </c>
      <c r="U60" s="10">
        <f>SUMIFS(MainData!L:L,MainData!$A:$A,$A60)</f>
        <v>4</v>
      </c>
      <c r="V60" s="12">
        <f t="shared" si="123"/>
        <v>0.66666666666666663</v>
      </c>
      <c r="W60" s="10">
        <f>SUMIFS(MainData!F:F,MainData!$A:$A,$A60)</f>
        <v>148</v>
      </c>
      <c r="X60" s="12">
        <f t="shared" si="124"/>
        <v>0.59199999999999997</v>
      </c>
      <c r="Y60" s="11">
        <f>SUMIFS(MainData!H:H,MainData!$A:$A,$A60)</f>
        <v>15751.952340909091</v>
      </c>
      <c r="Z60" s="12">
        <f t="shared" si="125"/>
        <v>3.5176844381195706E-2</v>
      </c>
      <c r="AA60" s="11">
        <f>SUMIFS(MainData!I:I,MainData!$A:$A,$A60)</f>
        <v>11738.073023474153</v>
      </c>
      <c r="AB60" s="12">
        <f t="shared" si="126"/>
        <v>2.6213154988382316E-2</v>
      </c>
      <c r="AC60" s="182"/>
      <c r="AD60" s="18">
        <f t="shared" si="127"/>
        <v>10</v>
      </c>
      <c r="AE60" s="18">
        <f t="shared" si="128"/>
        <v>0</v>
      </c>
      <c r="AF60" s="18">
        <f>MAX(AF$5,MIN(AF$4,AF$1*(N60/(AF$2-AF$3)-(AF$3/(AF$2-AF$3)))))</f>
        <v>0</v>
      </c>
      <c r="AG60" s="18">
        <f t="shared" si="130"/>
        <v>0</v>
      </c>
      <c r="AH60" s="18">
        <f t="shared" si="131"/>
        <v>4.4469466856412883</v>
      </c>
      <c r="AI60" s="18">
        <f t="shared" si="132"/>
        <v>30.946711252904421</v>
      </c>
      <c r="AJ60" s="18">
        <f t="shared" si="133"/>
        <v>0.91999999999999971</v>
      </c>
      <c r="AK60" s="18">
        <f t="shared" si="134"/>
        <v>1.3333333333333333</v>
      </c>
      <c r="AL60" s="18">
        <f t="shared" si="135"/>
        <v>5</v>
      </c>
      <c r="AM60" s="36">
        <f t="shared" si="136"/>
        <v>53</v>
      </c>
      <c r="AN60" s="36">
        <f t="shared" si="137"/>
        <v>0</v>
      </c>
      <c r="AO60" s="183">
        <v>893</v>
      </c>
      <c r="AP60" s="184">
        <v>0</v>
      </c>
      <c r="AQ60" s="184">
        <v>0</v>
      </c>
      <c r="AR60" s="28">
        <f t="shared" si="138"/>
        <v>893</v>
      </c>
      <c r="AS60" s="28">
        <f t="shared" si="139"/>
        <v>715</v>
      </c>
      <c r="AT60" s="163">
        <f t="shared" si="140"/>
        <v>178</v>
      </c>
      <c r="AU60" s="28">
        <f t="shared" si="141"/>
        <v>0</v>
      </c>
      <c r="AV60" s="147">
        <f t="shared" si="142"/>
        <v>715</v>
      </c>
      <c r="AW60" s="147">
        <f t="shared" si="143"/>
        <v>-178</v>
      </c>
      <c r="AX60" s="148">
        <f t="shared" si="144"/>
        <v>0.8006718924972005</v>
      </c>
      <c r="AY60" s="167">
        <f t="shared" si="145"/>
        <v>0</v>
      </c>
      <c r="AZ60" s="167">
        <f t="shared" si="146"/>
        <v>80</v>
      </c>
      <c r="BB60" s="170">
        <f t="shared" si="116"/>
        <v>0</v>
      </c>
      <c r="BC60" s="202">
        <f>VLOOKUP(A60,ImportDataWA!A$14:AG$112,33,0)</f>
        <v>96.200637917585595</v>
      </c>
      <c r="BD60" s="170">
        <f t="shared" si="147"/>
        <v>0</v>
      </c>
    </row>
    <row r="61" spans="1:56" hidden="1" x14ac:dyDescent="0.25">
      <c r="A61" s="195" t="s">
        <v>101</v>
      </c>
      <c r="B61" s="9" t="str">
        <f>VLOOKUP($A61,MainData!$A$4:$E$1967,2,FALSE)</f>
        <v>VSE</v>
      </c>
      <c r="C61" s="9" t="str">
        <f>VLOOKUP($A61,MainData!$A$4:$E$1967,3,FALSE)</f>
        <v>Muhammad  Qahtan Mindeel</v>
      </c>
      <c r="D61" s="9" t="str">
        <f>VLOOKUP($A61,MainData!$A$4:$E$1967,4,FALSE)</f>
        <v>Hilla</v>
      </c>
      <c r="E61" s="9" t="str">
        <f>VLOOKUP($A61,MainData!$A$4:$E$1967,5,FALSE)</f>
        <v>Mustafa Sabeeh Hadi</v>
      </c>
      <c r="F61" s="11">
        <f>SUMIFS(MainData!G:G,MainData!$A:$A,$A61)</f>
        <v>449583.47685163177</v>
      </c>
      <c r="G61" s="11">
        <f t="shared" ref="G61:G116" si="148">IF($B61=$B$4,0,IF($B61=$B$1,$E$1,IF($B61=$B$2,$E$2,IF($B61=$B$3,$E$3))))</f>
        <v>777777.77777777775</v>
      </c>
      <c r="H61" s="53">
        <f t="shared" si="118"/>
        <v>0.57803589880924089</v>
      </c>
      <c r="I61" s="10">
        <f>SUMIFS(MainData!F:F,MainData!$A:$A,$A61)</f>
        <v>108</v>
      </c>
      <c r="J61" s="10">
        <f t="shared" si="23"/>
        <v>889</v>
      </c>
      <c r="K61" s="53">
        <f t="shared" si="119"/>
        <v>0.12148481439820022</v>
      </c>
      <c r="L61" s="11">
        <f>SUMIFS(MainData!K:K,MainData!$A:$A,$A61)</f>
        <v>15909.090909090908</v>
      </c>
      <c r="M61" s="11">
        <f t="shared" si="24"/>
        <v>79545.45</v>
      </c>
      <c r="N61" s="53">
        <f t="shared" si="120"/>
        <v>0.20000001142857207</v>
      </c>
      <c r="O61" s="256">
        <f>SUMIFS(MainData!J:J,MainData!$A:$A,$A61)</f>
        <v>2</v>
      </c>
      <c r="P61" s="10">
        <f>IF($B61=$B$4,0,IF($B61=$B$1,VLOOKUP(D61,Target_Entry!$A$8:$AF$23,5,0),IF(LO!B61=LO!$B$2,VLOOKUP(LO!D61,Target_Entry!$A$8:$AF$23,25,0),IF(LO!B61=LO!$B$3,VLOOKUP(LO!D61,Target_Entry!$A$8:$AF$23,15,0)))))</f>
        <v>8</v>
      </c>
      <c r="Q61" s="53">
        <f t="shared" si="121"/>
        <v>0.25</v>
      </c>
      <c r="R61" s="10">
        <f>SUMIFS(MainData!J:J,MainData!$A:$A,$A61)</f>
        <v>2</v>
      </c>
      <c r="S61" s="10">
        <f>SUMIFS(MainData!M:M,MainData!$A:$A,$A61)</f>
        <v>1</v>
      </c>
      <c r="T61" s="53">
        <f t="shared" si="122"/>
        <v>0.5</v>
      </c>
      <c r="U61" s="10">
        <f>SUMIFS(MainData!L:L,MainData!$A:$A,$A61)</f>
        <v>1</v>
      </c>
      <c r="V61" s="12">
        <f t="shared" si="123"/>
        <v>0.5</v>
      </c>
      <c r="W61" s="10">
        <f>SUMIFS(MainData!F:F,MainData!$A:$A,$A61)</f>
        <v>108</v>
      </c>
      <c r="X61" s="12">
        <f t="shared" si="124"/>
        <v>0.432</v>
      </c>
      <c r="Y61" s="11">
        <f>SUMIFS(MainData!H:H,MainData!$A:$A,$A61)</f>
        <v>11558.023189393938</v>
      </c>
      <c r="Z61" s="12">
        <f t="shared" si="125"/>
        <v>2.5708291751140651E-2</v>
      </c>
      <c r="AA61" s="11">
        <f>SUMIFS(MainData!I:I,MainData!$A:$A,$A61)</f>
        <v>10796.436106060606</v>
      </c>
      <c r="AB61" s="231">
        <f t="shared" si="126"/>
        <v>2.4014308047231831E-2</v>
      </c>
      <c r="AC61" s="182"/>
      <c r="AD61" s="18">
        <f t="shared" si="127"/>
        <v>0</v>
      </c>
      <c r="AE61" s="18">
        <f t="shared" si="128"/>
        <v>0</v>
      </c>
      <c r="AF61" s="18">
        <f t="shared" si="129"/>
        <v>0</v>
      </c>
      <c r="AG61" s="18">
        <f t="shared" si="130"/>
        <v>0</v>
      </c>
      <c r="AH61" s="18">
        <f t="shared" si="131"/>
        <v>7.2875124746578051</v>
      </c>
      <c r="AI61" s="18">
        <f t="shared" si="132"/>
        <v>31.496422988192041</v>
      </c>
      <c r="AJ61" s="18">
        <f t="shared" si="133"/>
        <v>0</v>
      </c>
      <c r="AK61" s="18">
        <f t="shared" si="134"/>
        <v>2.9999999999999991</v>
      </c>
      <c r="AL61" s="18">
        <f t="shared" si="135"/>
        <v>5</v>
      </c>
      <c r="AM61" s="36">
        <f t="shared" si="136"/>
        <v>47</v>
      </c>
      <c r="AN61" s="36">
        <f t="shared" si="137"/>
        <v>0</v>
      </c>
      <c r="AO61" s="183">
        <v>985</v>
      </c>
      <c r="AP61" s="184">
        <v>0</v>
      </c>
      <c r="AQ61" s="184">
        <v>0</v>
      </c>
      <c r="AR61" s="28">
        <f t="shared" si="138"/>
        <v>985</v>
      </c>
      <c r="AS61" s="28">
        <f t="shared" si="139"/>
        <v>788</v>
      </c>
      <c r="AT61" s="163">
        <f t="shared" si="140"/>
        <v>197</v>
      </c>
      <c r="AU61" s="28">
        <f t="shared" si="141"/>
        <v>0</v>
      </c>
      <c r="AV61" s="147">
        <f t="shared" si="142"/>
        <v>788</v>
      </c>
      <c r="AW61" s="147">
        <f t="shared" si="143"/>
        <v>-197</v>
      </c>
      <c r="AX61" s="148">
        <f t="shared" si="144"/>
        <v>0.8</v>
      </c>
      <c r="AY61" s="167">
        <f t="shared" si="145"/>
        <v>0</v>
      </c>
      <c r="AZ61" s="167">
        <f t="shared" si="146"/>
        <v>70</v>
      </c>
      <c r="BB61" s="170">
        <f t="shared" si="116"/>
        <v>0</v>
      </c>
      <c r="BC61" s="202">
        <f>VLOOKUP(A61,ImportDataWA!A$14:AG$112,33,0)</f>
        <v>99.20563342612148</v>
      </c>
      <c r="BD61" s="170">
        <f t="shared" si="147"/>
        <v>0</v>
      </c>
    </row>
    <row r="62" spans="1:56" hidden="1" x14ac:dyDescent="0.25">
      <c r="A62" s="195" t="s">
        <v>113</v>
      </c>
      <c r="B62" s="9" t="str">
        <f>VLOOKUP($A62,MainData!$A$4:$E$1967,2,FALSE)</f>
        <v>VSE</v>
      </c>
      <c r="C62" s="9" t="str">
        <f>VLOOKUP($A62,MainData!$A$4:$E$1967,3,FALSE)</f>
        <v>Muhammad  Qahtan Mindeel</v>
      </c>
      <c r="D62" s="9" t="str">
        <f>VLOOKUP($A62,MainData!$A$4:$E$1967,4,FALSE)</f>
        <v>Hilla</v>
      </c>
      <c r="E62" s="9" t="str">
        <f>VLOOKUP($A62,MainData!$A$4:$E$1967,5,FALSE)</f>
        <v>Mustafa Sabeeh Hadi</v>
      </c>
      <c r="F62" s="11">
        <f>SUMIFS(MainData!G:G,MainData!$A:$A,$A62)</f>
        <v>691665.00719439518</v>
      </c>
      <c r="G62" s="11">
        <f t="shared" si="148"/>
        <v>777777.77777777775</v>
      </c>
      <c r="H62" s="53">
        <f t="shared" si="118"/>
        <v>0.8892835806785081</v>
      </c>
      <c r="I62" s="10">
        <f>SUMIFS(MainData!F:F,MainData!$A:$A,$A62)</f>
        <v>188</v>
      </c>
      <c r="J62" s="10">
        <f t="shared" si="23"/>
        <v>889</v>
      </c>
      <c r="K62" s="53">
        <f t="shared" si="119"/>
        <v>0.21147356580427445</v>
      </c>
      <c r="L62" s="11">
        <f>SUMIFS(MainData!K:K,MainData!$A:$A,$A62)</f>
        <v>8333.3333333333321</v>
      </c>
      <c r="M62" s="11">
        <f t="shared" si="24"/>
        <v>79545.45</v>
      </c>
      <c r="N62" s="53">
        <f t="shared" si="120"/>
        <v>0.10476191074829964</v>
      </c>
      <c r="O62" s="256">
        <f>SUMIFS(MainData!J:J,MainData!$A:$A,$A62)</f>
        <v>2</v>
      </c>
      <c r="P62" s="10">
        <f>IF($B62=$B$4,0,IF($B62=$B$1,VLOOKUP(D62,Target_Entry!$A$8:$AF$23,5,0),IF(LO!B62=LO!$B$2,VLOOKUP(LO!D62,Target_Entry!$A$8:$AF$23,25,0),IF(LO!B62=LO!$B$3,VLOOKUP(LO!D62,Target_Entry!$A$8:$AF$23,15,0)))))</f>
        <v>8</v>
      </c>
      <c r="Q62" s="53">
        <f t="shared" si="121"/>
        <v>0.25</v>
      </c>
      <c r="R62" s="10">
        <f>SUMIFS(MainData!J:J,MainData!$A:$A,$A62)</f>
        <v>2</v>
      </c>
      <c r="S62" s="10">
        <f>SUMIFS(MainData!M:M,MainData!$A:$A,$A62)</f>
        <v>0</v>
      </c>
      <c r="T62" s="53">
        <f t="shared" si="122"/>
        <v>0</v>
      </c>
      <c r="U62" s="10">
        <f>SUMIFS(MainData!L:L,MainData!$A:$A,$A62)</f>
        <v>1</v>
      </c>
      <c r="V62" s="12">
        <f t="shared" si="123"/>
        <v>0.5</v>
      </c>
      <c r="W62" s="10">
        <f>SUMIFS(MainData!F:F,MainData!$A:$A,$A62)</f>
        <v>188</v>
      </c>
      <c r="X62" s="12">
        <f t="shared" si="124"/>
        <v>0.752</v>
      </c>
      <c r="Y62" s="11">
        <f>SUMIFS(MainData!H:H,MainData!$A:$A,$A62)</f>
        <v>24170.006235533532</v>
      </c>
      <c r="Z62" s="12">
        <f t="shared" si="125"/>
        <v>3.4944671169030904E-2</v>
      </c>
      <c r="AA62" s="11">
        <f>SUMIFS(MainData!I:I,MainData!$A:$A,$A62)</f>
        <v>22037.010672634784</v>
      </c>
      <c r="AB62" s="231">
        <f t="shared" si="126"/>
        <v>3.1860814763527853E-2</v>
      </c>
      <c r="AC62" s="182"/>
      <c r="AD62" s="18">
        <f t="shared" si="127"/>
        <v>6.3094526892836011</v>
      </c>
      <c r="AE62" s="18">
        <f t="shared" si="128"/>
        <v>0</v>
      </c>
      <c r="AF62" s="18">
        <f>MAX(AF$5,MIN(AF$4,AF$1*(N62/(AF$2-AF$3)-(AF$3/(AF$2-AF$3)))))</f>
        <v>0</v>
      </c>
      <c r="AG62" s="18">
        <f t="shared" si="130"/>
        <v>0</v>
      </c>
      <c r="AH62" s="18">
        <f t="shared" si="131"/>
        <v>4.5165986492907297</v>
      </c>
      <c r="AI62" s="18">
        <f t="shared" si="132"/>
        <v>29.534796309118036</v>
      </c>
      <c r="AJ62" s="18">
        <f t="shared" si="133"/>
        <v>2.52</v>
      </c>
      <c r="AK62" s="18">
        <f t="shared" si="134"/>
        <v>0</v>
      </c>
      <c r="AL62" s="18">
        <f t="shared" si="135"/>
        <v>5</v>
      </c>
      <c r="AM62" s="36">
        <f t="shared" si="136"/>
        <v>48</v>
      </c>
      <c r="AN62" s="36">
        <f t="shared" si="137"/>
        <v>0</v>
      </c>
      <c r="AO62" s="183">
        <v>843</v>
      </c>
      <c r="AP62" s="184">
        <v>0</v>
      </c>
      <c r="AQ62" s="184">
        <v>12</v>
      </c>
      <c r="AR62" s="28">
        <f t="shared" si="138"/>
        <v>855</v>
      </c>
      <c r="AS62" s="28">
        <f t="shared" si="139"/>
        <v>675</v>
      </c>
      <c r="AT62" s="163">
        <f t="shared" si="140"/>
        <v>180</v>
      </c>
      <c r="AU62" s="28">
        <f t="shared" si="141"/>
        <v>0</v>
      </c>
      <c r="AV62" s="147">
        <f t="shared" si="142"/>
        <v>675</v>
      </c>
      <c r="AW62" s="147">
        <f t="shared" si="143"/>
        <v>-180</v>
      </c>
      <c r="AX62" s="148">
        <f t="shared" si="144"/>
        <v>0.78947368421052633</v>
      </c>
      <c r="AY62" s="167">
        <f t="shared" ref="AY62:AY67" si="149">AU62</f>
        <v>0</v>
      </c>
      <c r="AZ62" s="167">
        <f t="shared" si="146"/>
        <v>80</v>
      </c>
      <c r="BB62" s="170">
        <f t="shared" si="116"/>
        <v>0</v>
      </c>
      <c r="BC62" s="202" t="e">
        <f>VLOOKUP(A62,ImportDataWA!A$14:AG$112,33,0)</f>
        <v>#N/A</v>
      </c>
      <c r="BD62" s="170">
        <f t="shared" ref="BD62:BD67" si="150">AU62-AY62</f>
        <v>0</v>
      </c>
    </row>
    <row r="63" spans="1:56" hidden="1" x14ac:dyDescent="0.25">
      <c r="A63" s="197" t="s">
        <v>365</v>
      </c>
      <c r="B63" s="9" t="str">
        <f>VLOOKUP($A63,MainData!$A$4:$E$1967,2,FALSE)</f>
        <v>Micro</v>
      </c>
      <c r="C63" s="9" t="str">
        <f>VLOOKUP($A63,MainData!$A$4:$E$1967,3,FALSE)</f>
        <v>Muhammad  Qahtan Mindeel</v>
      </c>
      <c r="D63" s="9" t="str">
        <f>VLOOKUP($A63,MainData!$A$4:$E$1967,4,FALSE)</f>
        <v>Hilla</v>
      </c>
      <c r="E63" s="9" t="str">
        <f>VLOOKUP($A63,MainData!$A$4:$E$1967,5,FALSE)</f>
        <v>Mustafa Sabeeh Hadi</v>
      </c>
      <c r="F63" s="11">
        <f>SUMIFS(MainData!G:G,MainData!$A:$A,$A63)</f>
        <v>493602.00417865033</v>
      </c>
      <c r="G63" s="11">
        <f t="shared" si="148"/>
        <v>333333.33333333331</v>
      </c>
      <c r="H63" s="53">
        <f t="shared" si="118"/>
        <v>1.480806012535951</v>
      </c>
      <c r="I63" s="10">
        <f>SUMIFS(MainData!F:F,MainData!$A:$A,$A63)</f>
        <v>162</v>
      </c>
      <c r="J63" s="10">
        <f t="shared" si="23"/>
        <v>400</v>
      </c>
      <c r="K63" s="53">
        <f t="shared" si="119"/>
        <v>0.40500000000000003</v>
      </c>
      <c r="L63" s="11">
        <f>SUMIFS(MainData!K:K,MainData!$A:$A,$A63)</f>
        <v>52045.454545454551</v>
      </c>
      <c r="M63" s="11">
        <f t="shared" si="24"/>
        <v>56818.18</v>
      </c>
      <c r="N63" s="53">
        <f t="shared" si="120"/>
        <v>0.91600002931200109</v>
      </c>
      <c r="O63" s="256">
        <f>SUMIFS(MainData!J:J,MainData!$A:$A,$A63)</f>
        <v>12</v>
      </c>
      <c r="P63" s="10">
        <f>IF($B63=$B$4,0,IF($B63=$B$1,VLOOKUP(D63,Target_Entry!$A$8:$AF$23,5,0),IF(LO!B63=LO!$B$2,VLOOKUP(LO!D63,Target_Entry!$A$8:$AF$23,25,0),IF(LO!B63=LO!$B$3,VLOOKUP(LO!D63,Target_Entry!$A$8:$AF$23,15,0)))))</f>
        <v>15</v>
      </c>
      <c r="Q63" s="53">
        <f t="shared" si="121"/>
        <v>0.8</v>
      </c>
      <c r="R63" s="10">
        <f>SUMIFS(MainData!J:J,MainData!$A:$A,$A63)</f>
        <v>12</v>
      </c>
      <c r="S63" s="10">
        <f>SUMIFS(MainData!M:M,MainData!$A:$A,$A63)</f>
        <v>6</v>
      </c>
      <c r="T63" s="53">
        <f t="shared" si="122"/>
        <v>0.5</v>
      </c>
      <c r="U63" s="10">
        <f>SUMIFS(MainData!L:L,MainData!$A:$A,$A63)</f>
        <v>10</v>
      </c>
      <c r="V63" s="12">
        <f t="shared" si="123"/>
        <v>0.83333333333333337</v>
      </c>
      <c r="W63" s="10">
        <f>SUMIFS(MainData!F:F,MainData!$A:$A,$A63)</f>
        <v>162</v>
      </c>
      <c r="X63" s="12">
        <f t="shared" si="124"/>
        <v>0.64800000000000002</v>
      </c>
      <c r="Y63" s="11">
        <f>SUMIFS(MainData!H:H,MainData!$A:$A,$A63)</f>
        <v>15607.88450757576</v>
      </c>
      <c r="Z63" s="12">
        <f t="shared" si="125"/>
        <v>3.162038317398478E-2</v>
      </c>
      <c r="AA63" s="11">
        <f>SUMIFS(MainData!I:I,MainData!$A:$A,$A63)</f>
        <v>3627.4292847109186</v>
      </c>
      <c r="AB63" s="12">
        <f t="shared" si="126"/>
        <v>7.3488949680156406E-3</v>
      </c>
      <c r="AC63" s="182"/>
      <c r="AD63" s="18">
        <f t="shared" si="127"/>
        <v>10</v>
      </c>
      <c r="AE63" s="18">
        <f t="shared" si="128"/>
        <v>0</v>
      </c>
      <c r="AF63" s="18">
        <f t="shared" si="129"/>
        <v>21.600002931200102</v>
      </c>
      <c r="AG63" s="18">
        <f t="shared" si="130"/>
        <v>0</v>
      </c>
      <c r="AH63" s="18">
        <f t="shared" si="131"/>
        <v>5.5138850478045658</v>
      </c>
      <c r="AI63" s="18">
        <f t="shared" si="132"/>
        <v>35.662776257996093</v>
      </c>
      <c r="AJ63" s="18">
        <f t="shared" si="133"/>
        <v>1.4800000000000002</v>
      </c>
      <c r="AK63" s="18">
        <f t="shared" si="134"/>
        <v>2.9999999999999991</v>
      </c>
      <c r="AL63" s="18">
        <f t="shared" si="135"/>
        <v>5</v>
      </c>
      <c r="AM63" s="36">
        <f t="shared" si="136"/>
        <v>82</v>
      </c>
      <c r="AN63" s="36">
        <f t="shared" si="137"/>
        <v>0</v>
      </c>
      <c r="AO63" s="183">
        <v>893</v>
      </c>
      <c r="AP63" s="184">
        <v>0</v>
      </c>
      <c r="AQ63" s="184">
        <v>0</v>
      </c>
      <c r="AR63" s="28">
        <f t="shared" si="138"/>
        <v>893</v>
      </c>
      <c r="AS63" s="28">
        <f t="shared" si="139"/>
        <v>715</v>
      </c>
      <c r="AT63" s="163">
        <f t="shared" si="140"/>
        <v>178</v>
      </c>
      <c r="AU63" s="28">
        <f t="shared" si="141"/>
        <v>0</v>
      </c>
      <c r="AV63" s="147">
        <f t="shared" si="142"/>
        <v>715</v>
      </c>
      <c r="AW63" s="147">
        <f t="shared" si="143"/>
        <v>-178</v>
      </c>
      <c r="AX63" s="148">
        <f t="shared" si="144"/>
        <v>0.8006718924972005</v>
      </c>
      <c r="AY63" s="167">
        <f t="shared" si="149"/>
        <v>0</v>
      </c>
      <c r="AZ63" s="167">
        <f t="shared" si="146"/>
        <v>80</v>
      </c>
      <c r="BB63" s="170">
        <f t="shared" si="116"/>
        <v>0</v>
      </c>
      <c r="BC63" s="202" t="e">
        <f>VLOOKUP(A63,ImportDataWA!A$14:AG$112,33,0)</f>
        <v>#N/A</v>
      </c>
      <c r="BD63" s="170">
        <f t="shared" si="150"/>
        <v>0</v>
      </c>
    </row>
    <row r="64" spans="1:56" hidden="1" x14ac:dyDescent="0.25">
      <c r="A64" s="197" t="s">
        <v>251</v>
      </c>
      <c r="B64" s="9" t="str">
        <f>VLOOKUP($A64,MainData!$A$4:$E$1967,2,FALSE)</f>
        <v>Micro</v>
      </c>
      <c r="C64" s="9" t="str">
        <f>VLOOKUP($A64,MainData!$A$4:$E$1967,3,FALSE)</f>
        <v>Yais Khdhir Dikhi</v>
      </c>
      <c r="D64" s="9" t="str">
        <f>VLOOKUP($A64,MainData!$A$4:$E$1967,4,FALSE)</f>
        <v>Hindiyah</v>
      </c>
      <c r="E64" s="9" t="str">
        <f>VLOOKUP($A64,MainData!$A$4:$E$1967,5,FALSE)</f>
        <v>Mustafa Sabeeh Hadi</v>
      </c>
      <c r="F64" s="11">
        <f>SUMIFS(MainData!G:G,MainData!$A:$A,$A64)</f>
        <v>874475.87430303055</v>
      </c>
      <c r="G64" s="11">
        <f t="shared" si="148"/>
        <v>333333.33333333331</v>
      </c>
      <c r="H64" s="53">
        <f t="shared" si="118"/>
        <v>2.6234276229090918</v>
      </c>
      <c r="I64" s="10">
        <f>SUMIFS(MainData!F:F,MainData!$A:$A,$A64)</f>
        <v>340</v>
      </c>
      <c r="J64" s="10">
        <f t="shared" si="23"/>
        <v>400</v>
      </c>
      <c r="K64" s="53">
        <f t="shared" si="119"/>
        <v>0.85</v>
      </c>
      <c r="L64" s="11">
        <f>SUMIFS(MainData!K:K,MainData!$A:$A,$A64)</f>
        <v>68939.393939393936</v>
      </c>
      <c r="M64" s="11">
        <f t="shared" si="24"/>
        <v>56818.18</v>
      </c>
      <c r="N64" s="53">
        <f t="shared" si="120"/>
        <v>1.2133333721600013</v>
      </c>
      <c r="O64" s="256">
        <f>SUMIFS(MainData!J:J,MainData!$A:$A,$A64)</f>
        <v>17</v>
      </c>
      <c r="P64" s="10">
        <f>IF($B64=$B$4,0,IF($B64=$B$1,VLOOKUP(D64,Target_Entry!$A$8:$AF$23,5,0),IF(LO!B64=LO!$B$2,VLOOKUP(LO!D64,Target_Entry!$A$8:$AF$23,25,0),IF(LO!B64=LO!$B$3,VLOOKUP(LO!D64,Target_Entry!$A$8:$AF$23,15,0)))))</f>
        <v>15</v>
      </c>
      <c r="Q64" s="53">
        <f t="shared" si="121"/>
        <v>1.1333333333333333</v>
      </c>
      <c r="R64" s="10">
        <f>SUMIFS(MainData!J:J,MainData!$A:$A,$A64)</f>
        <v>17</v>
      </c>
      <c r="S64" s="10">
        <f>SUMIFS(MainData!M:M,MainData!$A:$A,$A64)</f>
        <v>7</v>
      </c>
      <c r="T64" s="53">
        <f t="shared" si="122"/>
        <v>0.41176470588235292</v>
      </c>
      <c r="U64" s="10">
        <f>SUMIFS(MainData!L:L,MainData!$A:$A,$A64)</f>
        <v>6</v>
      </c>
      <c r="V64" s="12">
        <f t="shared" si="123"/>
        <v>0.35294117647058826</v>
      </c>
      <c r="W64" s="10">
        <f>SUMIFS(MainData!F:F,MainData!$A:$A,$A64)</f>
        <v>340</v>
      </c>
      <c r="X64" s="12">
        <f t="shared" si="124"/>
        <v>1.36</v>
      </c>
      <c r="Y64" s="11">
        <f>SUMIFS(MainData!H:H,MainData!$A:$A,$A64)</f>
        <v>0</v>
      </c>
      <c r="Z64" s="12">
        <f t="shared" si="125"/>
        <v>0</v>
      </c>
      <c r="AA64" s="11">
        <f>SUMIFS(MainData!I:I,MainData!$A:$A,$A64)</f>
        <v>0</v>
      </c>
      <c r="AB64" s="12">
        <f t="shared" si="126"/>
        <v>0</v>
      </c>
      <c r="AC64" s="182"/>
      <c r="AD64" s="18">
        <f t="shared" si="127"/>
        <v>10</v>
      </c>
      <c r="AE64" s="18">
        <f t="shared" si="128"/>
        <v>0</v>
      </c>
      <c r="AF64" s="18">
        <f t="shared" si="129"/>
        <v>45</v>
      </c>
      <c r="AG64" s="18">
        <f t="shared" si="130"/>
        <v>0</v>
      </c>
      <c r="AH64" s="18">
        <f t="shared" si="131"/>
        <v>15</v>
      </c>
      <c r="AI64" s="18">
        <f t="shared" si="132"/>
        <v>37.5</v>
      </c>
      <c r="AJ64" s="18">
        <f t="shared" si="133"/>
        <v>5</v>
      </c>
      <c r="AK64" s="18">
        <f t="shared" si="134"/>
        <v>2.1176470588235294</v>
      </c>
      <c r="AL64" s="18">
        <f t="shared" si="135"/>
        <v>5</v>
      </c>
      <c r="AM64" s="36">
        <f t="shared" si="136"/>
        <v>120</v>
      </c>
      <c r="AN64" s="36">
        <f t="shared" si="137"/>
        <v>120</v>
      </c>
      <c r="AO64" s="183">
        <v>805</v>
      </c>
      <c r="AP64" s="184">
        <v>0</v>
      </c>
      <c r="AQ64" s="184">
        <v>0</v>
      </c>
      <c r="AR64" s="28">
        <f t="shared" si="138"/>
        <v>805</v>
      </c>
      <c r="AS64" s="28">
        <f t="shared" si="139"/>
        <v>644</v>
      </c>
      <c r="AT64" s="28">
        <f t="shared" si="140"/>
        <v>161</v>
      </c>
      <c r="AU64" s="28">
        <f t="shared" si="141"/>
        <v>780</v>
      </c>
      <c r="AV64" s="147">
        <f t="shared" si="142"/>
        <v>1424</v>
      </c>
      <c r="AW64" s="147">
        <f t="shared" si="143"/>
        <v>619</v>
      </c>
      <c r="AX64" s="148">
        <f t="shared" si="144"/>
        <v>1.7689440993788821</v>
      </c>
      <c r="AY64" s="167">
        <f t="shared" si="149"/>
        <v>780</v>
      </c>
      <c r="AZ64" s="167">
        <f t="shared" si="146"/>
        <v>90</v>
      </c>
      <c r="BB64" s="170">
        <f t="shared" si="116"/>
        <v>0</v>
      </c>
      <c r="BC64" s="202" t="e">
        <f>VLOOKUP(A64,ImportDataWA!A$14:AG$112,33,0)</f>
        <v>#N/A</v>
      </c>
      <c r="BD64" s="170">
        <f t="shared" si="150"/>
        <v>0</v>
      </c>
    </row>
    <row r="65" spans="1:56" hidden="1" x14ac:dyDescent="0.25">
      <c r="A65" s="197" t="s">
        <v>40</v>
      </c>
      <c r="B65" s="9" t="str">
        <f>VLOOKUP($A65,MainData!$A$4:$E$1967,2,FALSE)</f>
        <v>Micro</v>
      </c>
      <c r="C65" s="9" t="str">
        <f>VLOOKUP($A65,MainData!$A$4:$E$1967,3,FALSE)</f>
        <v>Yais Khdhir Dikhi</v>
      </c>
      <c r="D65" s="9" t="str">
        <f>VLOOKUP($A65,MainData!$A$4:$E$1967,4,FALSE)</f>
        <v>Hindiyah</v>
      </c>
      <c r="E65" s="9" t="str">
        <f>VLOOKUP($A65,MainData!$A$4:$E$1967,5,FALSE)</f>
        <v>Mustafa Sabeeh Hadi</v>
      </c>
      <c r="F65" s="11">
        <f>SUMIFS(MainData!G:G,MainData!$A:$A,$A65)</f>
        <v>736725.03321212158</v>
      </c>
      <c r="G65" s="11">
        <f t="shared" si="148"/>
        <v>333333.33333333331</v>
      </c>
      <c r="H65" s="53">
        <f t="shared" si="118"/>
        <v>2.2101750996363649</v>
      </c>
      <c r="I65" s="10">
        <f>SUMIFS(MainData!F:F,MainData!$A:$A,$A65)</f>
        <v>288</v>
      </c>
      <c r="J65" s="10">
        <f t="shared" si="23"/>
        <v>400</v>
      </c>
      <c r="K65" s="53">
        <f t="shared" si="119"/>
        <v>0.72</v>
      </c>
      <c r="L65" s="11">
        <f>SUMIFS(MainData!K:K,MainData!$A:$A,$A65)</f>
        <v>66666.666666666672</v>
      </c>
      <c r="M65" s="11">
        <f t="shared" si="24"/>
        <v>56818.18</v>
      </c>
      <c r="N65" s="53">
        <f t="shared" si="120"/>
        <v>1.1733333708800013</v>
      </c>
      <c r="O65" s="256">
        <f>SUMIFS(MainData!J:J,MainData!$A:$A,$A65)</f>
        <v>18</v>
      </c>
      <c r="P65" s="10">
        <f>IF($B65=$B$4,0,IF($B65=$B$1,VLOOKUP(D65,Target_Entry!$A$8:$AF$23,5,0),IF(LO!B65=LO!$B$2,VLOOKUP(LO!D65,Target_Entry!$A$8:$AF$23,25,0),IF(LO!B65=LO!$B$3,VLOOKUP(LO!D65,Target_Entry!$A$8:$AF$23,15,0)))))</f>
        <v>15</v>
      </c>
      <c r="Q65" s="53">
        <f t="shared" si="121"/>
        <v>1.2</v>
      </c>
      <c r="R65" s="10">
        <f>SUMIFS(MainData!J:J,MainData!$A:$A,$A65)</f>
        <v>18</v>
      </c>
      <c r="S65" s="10">
        <f>SUMIFS(MainData!M:M,MainData!$A:$A,$A65)</f>
        <v>15</v>
      </c>
      <c r="T65" s="53">
        <f t="shared" si="122"/>
        <v>0.83333333333333337</v>
      </c>
      <c r="U65" s="10">
        <f>SUMIFS(MainData!L:L,MainData!$A:$A,$A65)</f>
        <v>6</v>
      </c>
      <c r="V65" s="12">
        <f t="shared" si="123"/>
        <v>0.33333333333333331</v>
      </c>
      <c r="W65" s="10">
        <f>SUMIFS(MainData!F:F,MainData!$A:$A,$A65)</f>
        <v>288</v>
      </c>
      <c r="X65" s="12">
        <f t="shared" si="124"/>
        <v>1.1519999999999999</v>
      </c>
      <c r="Y65" s="11">
        <f>SUMIFS(MainData!H:H,MainData!$A:$A,$A65)</f>
        <v>0</v>
      </c>
      <c r="Z65" s="12">
        <f t="shared" si="125"/>
        <v>0</v>
      </c>
      <c r="AA65" s="11">
        <f>SUMIFS(MainData!I:I,MainData!$A:$A,$A65)</f>
        <v>0</v>
      </c>
      <c r="AB65" s="12">
        <f t="shared" si="126"/>
        <v>0</v>
      </c>
      <c r="AC65" s="182"/>
      <c r="AD65" s="18">
        <f t="shared" si="127"/>
        <v>10</v>
      </c>
      <c r="AE65" s="18">
        <f t="shared" si="128"/>
        <v>0</v>
      </c>
      <c r="AF65" s="18">
        <f t="shared" si="129"/>
        <v>45</v>
      </c>
      <c r="AG65" s="18">
        <f t="shared" si="130"/>
        <v>0</v>
      </c>
      <c r="AH65" s="18">
        <f t="shared" si="131"/>
        <v>15</v>
      </c>
      <c r="AI65" s="18">
        <f t="shared" si="132"/>
        <v>37.5</v>
      </c>
      <c r="AJ65" s="18">
        <f t="shared" si="133"/>
        <v>5</v>
      </c>
      <c r="AK65" s="18">
        <f t="shared" si="134"/>
        <v>5</v>
      </c>
      <c r="AL65" s="18">
        <f t="shared" si="135"/>
        <v>5</v>
      </c>
      <c r="AM65" s="36">
        <f t="shared" si="136"/>
        <v>123</v>
      </c>
      <c r="AN65" s="36">
        <f t="shared" si="137"/>
        <v>123</v>
      </c>
      <c r="AO65" s="183">
        <v>990</v>
      </c>
      <c r="AP65" s="184">
        <v>233</v>
      </c>
      <c r="AQ65" s="184">
        <v>320</v>
      </c>
      <c r="AR65" s="28">
        <f t="shared" si="138"/>
        <v>1543</v>
      </c>
      <c r="AS65" s="28">
        <f t="shared" si="139"/>
        <v>792</v>
      </c>
      <c r="AT65" s="163">
        <f t="shared" si="140"/>
        <v>751</v>
      </c>
      <c r="AU65" s="28">
        <f t="shared" si="141"/>
        <v>800</v>
      </c>
      <c r="AV65" s="147">
        <f t="shared" si="142"/>
        <v>1592</v>
      </c>
      <c r="AW65" s="147">
        <f t="shared" si="143"/>
        <v>49</v>
      </c>
      <c r="AX65" s="148">
        <f t="shared" si="144"/>
        <v>1.0317563188593648</v>
      </c>
      <c r="AY65" s="167">
        <f t="shared" si="149"/>
        <v>800</v>
      </c>
      <c r="AZ65" s="167">
        <f t="shared" si="146"/>
        <v>100</v>
      </c>
      <c r="BB65" s="170">
        <f t="shared" si="116"/>
        <v>0</v>
      </c>
      <c r="BC65" s="202">
        <f>VLOOKUP(A65,ImportDataWA!A$14:AG$112,33,0)</f>
        <v>100.00000000000004</v>
      </c>
      <c r="BD65" s="170">
        <f t="shared" si="150"/>
        <v>0</v>
      </c>
    </row>
    <row r="66" spans="1:56" hidden="1" x14ac:dyDescent="0.25">
      <c r="A66" s="198" t="s">
        <v>435</v>
      </c>
      <c r="B66" s="9" t="e">
        <f>VLOOKUP($A66,MainData!$A$4:$E$1967,2,FALSE)</f>
        <v>#N/A</v>
      </c>
      <c r="C66" s="9" t="e">
        <f>VLOOKUP($A66,MainData!$A$4:$E$1967,3,FALSE)</f>
        <v>#N/A</v>
      </c>
      <c r="D66" s="9" t="e">
        <f>VLOOKUP($A66,MainData!$A$4:$E$1967,4,FALSE)</f>
        <v>#N/A</v>
      </c>
      <c r="E66" s="9" t="e">
        <f>VLOOKUP($A66,MainData!$A$4:$E$1967,5,FALSE)</f>
        <v>#N/A</v>
      </c>
      <c r="F66" s="11">
        <f>SUMIFS(MainData!G:G,MainData!$A:$A,$A66)</f>
        <v>0</v>
      </c>
      <c r="G66" s="11" t="e">
        <f t="shared" si="148"/>
        <v>#N/A</v>
      </c>
      <c r="H66" s="53">
        <f t="shared" si="118"/>
        <v>0</v>
      </c>
      <c r="I66" s="10">
        <f>SUMIFS(MainData!F:F,MainData!$A:$A,$A66)</f>
        <v>0</v>
      </c>
      <c r="J66" s="10" t="e">
        <f t="shared" si="23"/>
        <v>#N/A</v>
      </c>
      <c r="K66" s="53">
        <f t="shared" si="119"/>
        <v>0</v>
      </c>
      <c r="L66" s="11">
        <f>SUMIFS(MainData!K:K,MainData!$A:$A,$A66)</f>
        <v>0</v>
      </c>
      <c r="M66" s="11" t="e">
        <f t="shared" si="24"/>
        <v>#N/A</v>
      </c>
      <c r="N66" s="53">
        <f t="shared" si="120"/>
        <v>0</v>
      </c>
      <c r="O66" s="256">
        <f>SUMIFS(MainData!J:J,MainData!$A:$A,$A66)</f>
        <v>0</v>
      </c>
      <c r="P66" s="10" t="e">
        <f>IF($B66=$B$4,0,IF($B66=$B$1,VLOOKUP(D66,Target_Entry!$A$8:$AF$23,5,0),IF(LO!B66=LO!$B$2,VLOOKUP(LO!D66,Target_Entry!$A$8:$AF$23,25,0),IF(LO!B66=LO!$B$3,VLOOKUP(LO!D66,Target_Entry!$A$8:$AF$23,15,0)))))</f>
        <v>#N/A</v>
      </c>
      <c r="Q66" s="53">
        <f t="shared" si="121"/>
        <v>0</v>
      </c>
      <c r="R66" s="10">
        <f>SUMIFS(MainData!J:J,MainData!$A:$A,$A66)</f>
        <v>0</v>
      </c>
      <c r="S66" s="10">
        <f>SUMIFS(MainData!M:M,MainData!$A:$A,$A66)</f>
        <v>0</v>
      </c>
      <c r="T66" s="53">
        <f t="shared" si="122"/>
        <v>0</v>
      </c>
      <c r="U66" s="10">
        <f>SUMIFS(MainData!L:L,MainData!$A:$A,$A66)</f>
        <v>0</v>
      </c>
      <c r="V66" s="12">
        <f t="shared" si="123"/>
        <v>0</v>
      </c>
      <c r="W66" s="10">
        <f>SUMIFS(MainData!F:F,MainData!$A:$A,$A66)</f>
        <v>0</v>
      </c>
      <c r="X66" s="12" t="e">
        <f t="shared" si="124"/>
        <v>#N/A</v>
      </c>
      <c r="Y66" s="11">
        <f>SUMIFS(MainData!H:H,MainData!$A:$A,$A66)</f>
        <v>0</v>
      </c>
      <c r="Z66" s="12">
        <f t="shared" si="125"/>
        <v>0</v>
      </c>
      <c r="AA66" s="11">
        <f>SUMIFS(MainData!I:I,MainData!$A:$A,$A66)</f>
        <v>0</v>
      </c>
      <c r="AB66" s="12">
        <f t="shared" si="126"/>
        <v>0</v>
      </c>
      <c r="AC66" s="182"/>
      <c r="AD66" s="18">
        <f t="shared" si="127"/>
        <v>0</v>
      </c>
      <c r="AE66" s="18">
        <f t="shared" si="128"/>
        <v>0</v>
      </c>
      <c r="AF66" s="18">
        <f t="shared" si="129"/>
        <v>0</v>
      </c>
      <c r="AG66" s="18">
        <f t="shared" si="130"/>
        <v>0</v>
      </c>
      <c r="AH66" s="18">
        <f t="shared" si="131"/>
        <v>15</v>
      </c>
      <c r="AI66" s="18">
        <f t="shared" si="132"/>
        <v>37.5</v>
      </c>
      <c r="AJ66" s="18" t="e">
        <f t="shared" si="133"/>
        <v>#N/A</v>
      </c>
      <c r="AK66" s="18">
        <f t="shared" si="134"/>
        <v>0</v>
      </c>
      <c r="AL66" s="18">
        <f t="shared" si="135"/>
        <v>0</v>
      </c>
      <c r="AM66" s="36" t="e">
        <f t="shared" si="136"/>
        <v>#N/A</v>
      </c>
      <c r="AN66" s="36">
        <f t="shared" si="137"/>
        <v>0</v>
      </c>
      <c r="AO66" s="183">
        <v>818</v>
      </c>
      <c r="AP66" s="184">
        <v>82</v>
      </c>
      <c r="AQ66" s="184">
        <v>264</v>
      </c>
      <c r="AR66" s="28">
        <f t="shared" si="138"/>
        <v>1164</v>
      </c>
      <c r="AS66" s="28">
        <f t="shared" si="139"/>
        <v>655</v>
      </c>
      <c r="AT66" s="163">
        <f t="shared" si="140"/>
        <v>509</v>
      </c>
      <c r="AU66" s="28">
        <f t="shared" si="141"/>
        <v>0</v>
      </c>
      <c r="AV66" s="147">
        <f t="shared" si="142"/>
        <v>655</v>
      </c>
      <c r="AW66" s="147">
        <f t="shared" si="143"/>
        <v>-509</v>
      </c>
      <c r="AX66" s="148">
        <f t="shared" si="144"/>
        <v>0.5627147766323024</v>
      </c>
      <c r="AY66" s="167">
        <f t="shared" si="149"/>
        <v>0</v>
      </c>
      <c r="AZ66" s="167">
        <f t="shared" si="146"/>
        <v>0</v>
      </c>
      <c r="BB66" s="170">
        <f t="shared" si="116"/>
        <v>0</v>
      </c>
      <c r="BC66" s="202" t="e">
        <f>VLOOKUP(A66,ImportDataWA!A$14:AG$112,33,0)</f>
        <v>#N/A</v>
      </c>
      <c r="BD66" s="170">
        <f t="shared" si="150"/>
        <v>0</v>
      </c>
    </row>
    <row r="67" spans="1:56" hidden="1" x14ac:dyDescent="0.25">
      <c r="A67" s="232" t="s">
        <v>481</v>
      </c>
      <c r="B67" s="189" t="str">
        <f>VLOOKUP($A67,MainData!$A$4:$E$1967,2,FALSE)</f>
        <v>Inactive</v>
      </c>
      <c r="C67" s="189" t="str">
        <f>VLOOKUP($A67,MainData!$A$4:$E$1967,3,FALSE)</f>
        <v>Inactive</v>
      </c>
      <c r="D67" s="189" t="str">
        <f>VLOOKUP($A67,MainData!$A$4:$E$1967,4,FALSE)</f>
        <v>Hindiyah</v>
      </c>
      <c r="E67" s="189" t="str">
        <f>VLOOKUP($A67,MainData!$A$4:$E$1967,5,FALSE)</f>
        <v>Inactive</v>
      </c>
      <c r="F67" s="11">
        <f>SUMIFS(MainData!G:G,MainData!$A:$A,$A67)</f>
        <v>962297.6908017901</v>
      </c>
      <c r="G67" s="11">
        <f t="shared" si="148"/>
        <v>0</v>
      </c>
      <c r="H67" s="53">
        <f t="shared" si="118"/>
        <v>0</v>
      </c>
      <c r="I67" s="10">
        <f>SUMIFS(MainData!F:F,MainData!$A:$A,$A67)</f>
        <v>315</v>
      </c>
      <c r="J67" s="10">
        <f t="shared" si="23"/>
        <v>0</v>
      </c>
      <c r="K67" s="53">
        <f t="shared" si="119"/>
        <v>0</v>
      </c>
      <c r="L67" s="11">
        <f>SUMIFS(MainData!K:K,MainData!$A:$A,$A67)</f>
        <v>59090.909090909088</v>
      </c>
      <c r="M67" s="11">
        <f t="shared" ref="M67:M127" si="151">IF($B67=$B$4,0,IF($B67=$B$1,$K$1,IF($B67=$B$2,$K$2,IF($B67=$B$3,$K$3))))</f>
        <v>0</v>
      </c>
      <c r="N67" s="53">
        <f t="shared" si="120"/>
        <v>0</v>
      </c>
      <c r="O67" s="256">
        <f>SUMIFS(MainData!J:J,MainData!$A:$A,$A67)</f>
        <v>15</v>
      </c>
      <c r="P67" s="10">
        <f>IF($B67=$B$4,0,IF($B67=$B$1,VLOOKUP(D67,Target_Entry!$A$8:$AF$23,5,0),IF(LO!B67=LO!$B$2,VLOOKUP(LO!D67,Target_Entry!$A$8:$AF$23,25,0),IF(LO!B67=LO!$B$3,VLOOKUP(LO!D67,Target_Entry!$A$8:$AF$23,15,0)))))</f>
        <v>0</v>
      </c>
      <c r="Q67" s="53">
        <f t="shared" si="121"/>
        <v>0</v>
      </c>
      <c r="R67" s="10">
        <f>SUMIFS(MainData!J:J,MainData!$A:$A,$A67)</f>
        <v>15</v>
      </c>
      <c r="S67" s="10">
        <f>SUMIFS(MainData!M:M,MainData!$A:$A,$A67)</f>
        <v>9</v>
      </c>
      <c r="T67" s="53">
        <f t="shared" si="122"/>
        <v>0.6</v>
      </c>
      <c r="U67" s="10">
        <f>SUMIFS(MainData!L:L,MainData!$A:$A,$A67)</f>
        <v>5</v>
      </c>
      <c r="V67" s="12">
        <f t="shared" si="123"/>
        <v>0.33333333333333331</v>
      </c>
      <c r="W67" s="10">
        <f>SUMIFS(MainData!F:F,MainData!$A:$A,$A67)</f>
        <v>315</v>
      </c>
      <c r="X67" s="12">
        <f t="shared" si="124"/>
        <v>1.26</v>
      </c>
      <c r="Y67" s="11">
        <f>SUMIFS(MainData!H:H,MainData!$A:$A,$A67)</f>
        <v>542.94253787878779</v>
      </c>
      <c r="Z67" s="12">
        <f t="shared" si="125"/>
        <v>5.6421473632177791E-4</v>
      </c>
      <c r="AA67" s="11">
        <f>SUMIFS(MainData!I:I,MainData!$A:$A,$A67)</f>
        <v>2021.1825454545456</v>
      </c>
      <c r="AB67" s="231">
        <f t="shared" si="126"/>
        <v>2.1003713973068859E-3</v>
      </c>
      <c r="AC67" s="182"/>
      <c r="AD67" s="18">
        <f t="shared" si="127"/>
        <v>0</v>
      </c>
      <c r="AE67" s="18">
        <f t="shared" si="128"/>
        <v>0</v>
      </c>
      <c r="AF67" s="18">
        <f t="shared" si="129"/>
        <v>0</v>
      </c>
      <c r="AG67" s="18">
        <f t="shared" si="130"/>
        <v>0</v>
      </c>
      <c r="AH67" s="18">
        <f t="shared" si="131"/>
        <v>14.830735579103466</v>
      </c>
      <c r="AI67" s="18">
        <f t="shared" si="132"/>
        <v>36.974907150673275</v>
      </c>
      <c r="AJ67" s="18">
        <f t="shared" si="133"/>
        <v>5</v>
      </c>
      <c r="AK67" s="18">
        <f t="shared" si="134"/>
        <v>4</v>
      </c>
      <c r="AL67" s="18">
        <f t="shared" si="135"/>
        <v>5</v>
      </c>
      <c r="AM67" s="36">
        <f t="shared" si="136"/>
        <v>66</v>
      </c>
      <c r="AN67" s="36">
        <f t="shared" si="137"/>
        <v>66</v>
      </c>
      <c r="AO67" s="183">
        <v>884</v>
      </c>
      <c r="AP67" s="184">
        <v>137</v>
      </c>
      <c r="AQ67" s="184">
        <v>261</v>
      </c>
      <c r="AR67" s="28">
        <f t="shared" si="138"/>
        <v>1282</v>
      </c>
      <c r="AS67" s="28">
        <f t="shared" si="139"/>
        <v>708</v>
      </c>
      <c r="AT67" s="163">
        <f t="shared" si="140"/>
        <v>574</v>
      </c>
      <c r="AU67" s="28">
        <f t="shared" si="141"/>
        <v>429</v>
      </c>
      <c r="AV67" s="147">
        <f t="shared" si="142"/>
        <v>1137</v>
      </c>
      <c r="AW67" s="147">
        <f t="shared" si="143"/>
        <v>-145</v>
      </c>
      <c r="AX67" s="148">
        <f t="shared" si="144"/>
        <v>0.88689547581903272</v>
      </c>
      <c r="AY67" s="167">
        <f t="shared" si="149"/>
        <v>429</v>
      </c>
      <c r="AZ67" s="167">
        <f t="shared" si="146"/>
        <v>90</v>
      </c>
      <c r="BB67" s="170">
        <f t="shared" si="116"/>
        <v>0</v>
      </c>
      <c r="BC67" s="202">
        <f>VLOOKUP(A67,ImportDataWA!A$14:AG$112,33,0)</f>
        <v>99.941656611238656</v>
      </c>
      <c r="BD67" s="170">
        <f t="shared" si="150"/>
        <v>0</v>
      </c>
    </row>
    <row r="68" spans="1:56" hidden="1" x14ac:dyDescent="0.25">
      <c r="A68" s="195" t="s">
        <v>428</v>
      </c>
      <c r="B68" s="9" t="str">
        <f>VLOOKUP($A68,MainData!$A$4:$E$1967,2,FALSE)</f>
        <v>Micro</v>
      </c>
      <c r="C68" s="9" t="str">
        <f>VLOOKUP($A68,MainData!$A$4:$E$1967,3,FALSE)</f>
        <v>Yais Khdhir Dikhi</v>
      </c>
      <c r="D68" s="9" t="str">
        <f>VLOOKUP($A68,MainData!$A$4:$E$1967,4,FALSE)</f>
        <v>Hindiyah</v>
      </c>
      <c r="E68" s="9" t="str">
        <f>VLOOKUP($A68,MainData!$A$4:$E$1967,5,FALSE)</f>
        <v>Mustafa Sabeeh Hadi</v>
      </c>
      <c r="F68" s="11">
        <f>SUMIFS(MainData!G:G,MainData!$A:$A,$A68)</f>
        <v>684483.0212487058</v>
      </c>
      <c r="G68" s="11">
        <f t="shared" si="148"/>
        <v>333333.33333333331</v>
      </c>
      <c r="H68" s="53">
        <f t="shared" ref="H68" si="152">IFERROR(F68/G68,0)</f>
        <v>2.0534490637461174</v>
      </c>
      <c r="I68" s="10">
        <f>SUMIFS(MainData!F:F,MainData!$A:$A,$A68)</f>
        <v>271</v>
      </c>
      <c r="J68" s="10">
        <f t="shared" si="23"/>
        <v>400</v>
      </c>
      <c r="K68" s="53">
        <f t="shared" ref="K68" si="153">IFERROR(I68/J68,0)</f>
        <v>0.67749999999999999</v>
      </c>
      <c r="L68" s="11">
        <f>SUMIFS(MainData!K:K,MainData!$A:$A,$A68)</f>
        <v>60606.060606060615</v>
      </c>
      <c r="M68" s="11">
        <f t="shared" si="151"/>
        <v>56818.18</v>
      </c>
      <c r="N68" s="53">
        <f t="shared" ref="N68" si="154">IFERROR(L68/M68,0)</f>
        <v>1.0666667008000013</v>
      </c>
      <c r="O68" s="256">
        <f>SUMIFS(MainData!J:J,MainData!$A:$A,$A68)</f>
        <v>16</v>
      </c>
      <c r="P68" s="10">
        <f>IF($B68=$B$4,0,IF($B68=$B$1,VLOOKUP(D68,Target_Entry!$A$8:$AF$23,5,0),IF(LO!B68=LO!$B$2,VLOOKUP(LO!D68,Target_Entry!$A$8:$AF$23,25,0),IF(LO!B68=LO!$B$3,VLOOKUP(LO!D68,Target_Entry!$A$8:$AF$23,15,0)))))</f>
        <v>15</v>
      </c>
      <c r="Q68" s="53">
        <f t="shared" ref="Q68" si="155">IFERROR(O68/P68,0)</f>
        <v>1.0666666666666667</v>
      </c>
      <c r="R68" s="10">
        <f>SUMIFS(MainData!J:J,MainData!$A:$A,$A68)</f>
        <v>16</v>
      </c>
      <c r="S68" s="10">
        <f>SUMIFS(MainData!M:M,MainData!$A:$A,$A68)</f>
        <v>7</v>
      </c>
      <c r="T68" s="53">
        <f t="shared" ref="T68" si="156">IFERROR(S68/R68,0)</f>
        <v>0.4375</v>
      </c>
      <c r="U68" s="10">
        <f>SUMIFS(MainData!L:L,MainData!$A:$A,$A68)</f>
        <v>9</v>
      </c>
      <c r="V68" s="12">
        <f t="shared" ref="V68" si="157">IFERROR(U68/R68,0)</f>
        <v>0.5625</v>
      </c>
      <c r="W68" s="10">
        <f>SUMIFS(MainData!F:F,MainData!$A:$A,$A68)</f>
        <v>271</v>
      </c>
      <c r="X68" s="12">
        <f t="shared" ref="X68" si="158">IF($B68=$B$2,W68/X$3,W68/X$2)</f>
        <v>1.0840000000000001</v>
      </c>
      <c r="Y68" s="11">
        <f>SUMIFS(MainData!H:H,MainData!$A:$A,$A68)</f>
        <v>0</v>
      </c>
      <c r="Z68" s="12">
        <f t="shared" ref="Z68" si="159">IFERROR(Y68/$F68,0)</f>
        <v>0</v>
      </c>
      <c r="AA68" s="11">
        <f>SUMIFS(MainData!I:I,MainData!$A:$A,$A68)</f>
        <v>0</v>
      </c>
      <c r="AB68" s="231">
        <f t="shared" ref="AB68" si="160">IFERROR(AA68/$F68,0)</f>
        <v>0</v>
      </c>
      <c r="AC68" s="182"/>
      <c r="AD68" s="18">
        <f t="shared" ref="AD68" si="161">MAX(AD$5,MIN(AD$4,AD$1*(H68/(AD$2-AD$3)-(AD$3/(AD$2-AD$3)))))</f>
        <v>10</v>
      </c>
      <c r="AE68" s="18">
        <f t="shared" ref="AE68" si="162">MAX(AE$5,MIN(AE$4,AE$1*(K68/(AE$2-AE$3)-(AE$3/(AE$2-AE$3)))))</f>
        <v>0</v>
      </c>
      <c r="AF68" s="18">
        <f t="shared" ref="AF68" si="163">MAX(AF$5,MIN(AF$4,AF$1*(N68/(AF$2-AF$3)-(AF$3/(AF$2-AF$3)))))</f>
        <v>36.66667008000011</v>
      </c>
      <c r="AG68" s="18">
        <f t="shared" ref="AG68" si="164">MAX(AG$5,MIN(AG$4,AG$1*(Q68/(AG$2-AG$3)-(AG$3/(AG$2-AG$3)))))</f>
        <v>0</v>
      </c>
      <c r="AH68" s="18">
        <f t="shared" ref="AH68" si="165">MIN(AH$4,MAX(AH$5,AH$1-AH$1*(Z68/(AH$3-AH$2)-(AH$2/(AH$3-AH$2)))))</f>
        <v>15</v>
      </c>
      <c r="AI68" s="18">
        <f t="shared" ref="AI68" si="166">MIN(AI$4,MAX(AI$5,AI$1-AI$1*(AB68/(AI$3-AI$2)-(AI$2/(AI$3-AI$2)))))</f>
        <v>37.5</v>
      </c>
      <c r="AJ68" s="18">
        <f t="shared" ref="AJ68" si="167">MAX(AJ$5,MIN(AJ$4,AJ$1*(X68/(AJ$2-AJ$3)-(AJ$3/(AJ$2-AJ$3)))))</f>
        <v>5</v>
      </c>
      <c r="AK68" s="18">
        <f t="shared" ref="AK68" si="168">MAX(AK$5,MIN(AK$4,AK$1*(T68/(AK$2-AK$3)-(AK$3/(AK$2-AK$3)))))</f>
        <v>2.375</v>
      </c>
      <c r="AL68" s="18">
        <f t="shared" ref="AL68" si="169">MAX(AL$5,MIN(AL$4,AL$1*(V68/(AL$2-AL$3)-(AL$3/(AL$2-AL$3)))))</f>
        <v>5</v>
      </c>
      <c r="AM68" s="36">
        <f t="shared" ref="AM68" si="170">ROUND(SUM(AD68:AL68),0)</f>
        <v>112</v>
      </c>
      <c r="AN68" s="36">
        <f t="shared" ref="AN68" si="171">IF(AND(AB68&lt;=AN$2,OR(AND(O68&gt;=AO$3,L68&gt;=AN$3),AND(O68&gt;=AO$4,L68&gt;=AN$4))),AM68,0)</f>
        <v>112</v>
      </c>
      <c r="AO68" s="183"/>
      <c r="AP68" s="184"/>
      <c r="AQ68" s="184"/>
      <c r="AR68" s="28"/>
      <c r="AS68" s="28"/>
      <c r="AT68" s="163"/>
      <c r="AU68" s="28"/>
      <c r="AV68" s="147"/>
      <c r="AW68" s="147"/>
      <c r="AX68" s="148"/>
      <c r="AY68" s="167"/>
      <c r="AZ68" s="167"/>
      <c r="BB68" s="170"/>
      <c r="BC68" s="202"/>
      <c r="BD68" s="170"/>
    </row>
    <row r="69" spans="1:56" hidden="1" x14ac:dyDescent="0.25">
      <c r="A69" s="9" t="s">
        <v>430</v>
      </c>
      <c r="B69" s="9" t="str">
        <f>VLOOKUP($A69,MainData!$A$4:$E$1967,2,FALSE)</f>
        <v>Micro</v>
      </c>
      <c r="C69" s="9" t="str">
        <f>VLOOKUP($A69,MainData!$A$4:$E$1967,3,FALSE)</f>
        <v>Yais Khdhir Dikhi</v>
      </c>
      <c r="D69" s="9" t="str">
        <f>VLOOKUP($A69,MainData!$A$4:$E$1967,4,FALSE)</f>
        <v>Hindiyah</v>
      </c>
      <c r="E69" s="9" t="str">
        <f>VLOOKUP($A69,MainData!$A$4:$E$1967,5,FALSE)</f>
        <v>Mustafa Sabeeh Hadi</v>
      </c>
      <c r="F69" s="11">
        <f>SUMIFS(MainData!G:G,MainData!$A:$A,$A69)</f>
        <v>661722.67761666584</v>
      </c>
      <c r="G69" s="11">
        <f t="shared" si="148"/>
        <v>333333.33333333331</v>
      </c>
      <c r="H69" s="53">
        <f t="shared" ref="H69" si="172">IFERROR(F69/G69,0)</f>
        <v>1.9851680328499977</v>
      </c>
      <c r="I69" s="10">
        <f>SUMIFS(MainData!F:F,MainData!$A:$A,$A69)</f>
        <v>211</v>
      </c>
      <c r="J69" s="10">
        <f t="shared" si="23"/>
        <v>400</v>
      </c>
      <c r="K69" s="53">
        <f t="shared" ref="K69" si="173">IFERROR(I69/J69,0)</f>
        <v>0.52749999999999997</v>
      </c>
      <c r="L69" s="11">
        <f>SUMIFS(MainData!K:K,MainData!$A:$A,$A69)</f>
        <v>60606.060606060608</v>
      </c>
      <c r="M69" s="11">
        <f t="shared" si="151"/>
        <v>56818.18</v>
      </c>
      <c r="N69" s="53">
        <f t="shared" ref="N69" si="174">IFERROR(L69/M69,0)</f>
        <v>1.066666700800001</v>
      </c>
      <c r="O69" s="256">
        <f>SUMIFS(MainData!J:J,MainData!$A:$A,$A69)</f>
        <v>15</v>
      </c>
      <c r="P69" s="10">
        <f>IF($B69=$B$4,0,IF($B69=$B$1,VLOOKUP(D69,Target_Entry!$A$8:$AF$23,5,0),IF(LO!B69=LO!$B$2,VLOOKUP(LO!D69,Target_Entry!$A$8:$AF$23,25,0),IF(LO!B69=LO!$B$3,VLOOKUP(LO!D69,Target_Entry!$A$8:$AF$23,15,0)))))</f>
        <v>15</v>
      </c>
      <c r="Q69" s="53">
        <f t="shared" ref="Q69" si="175">IFERROR(O69/P69,0)</f>
        <v>1</v>
      </c>
      <c r="R69" s="10">
        <f>SUMIFS(MainData!J:J,MainData!$A:$A,$A69)</f>
        <v>15</v>
      </c>
      <c r="S69" s="10">
        <f>SUMIFS(MainData!M:M,MainData!$A:$A,$A69)</f>
        <v>5</v>
      </c>
      <c r="T69" s="53">
        <f t="shared" ref="T69" si="176">IFERROR(S69/R69,0)</f>
        <v>0.33333333333333331</v>
      </c>
      <c r="U69" s="10">
        <f>SUMIFS(MainData!L:L,MainData!$A:$A,$A69)</f>
        <v>6</v>
      </c>
      <c r="V69" s="12">
        <f t="shared" ref="V69" si="177">IFERROR(U69/R69,0)</f>
        <v>0.4</v>
      </c>
      <c r="W69" s="10">
        <f>SUMIFS(MainData!F:F,MainData!$A:$A,$A69)</f>
        <v>211</v>
      </c>
      <c r="X69" s="12">
        <f t="shared" ref="X69" si="178">IF($B69=$B$2,W69/X$3,W69/X$2)</f>
        <v>0.84399999999999997</v>
      </c>
      <c r="Y69" s="11">
        <f>SUMIFS(MainData!H:H,MainData!$A:$A,$A69)</f>
        <v>1345.619393224265</v>
      </c>
      <c r="Z69" s="12">
        <f t="shared" ref="Z69" si="179">IFERROR(Y69/$F69,0)</f>
        <v>2.0335095633578675E-3</v>
      </c>
      <c r="AA69" s="11">
        <f>SUMIFS(MainData!I:I,MainData!$A:$A,$A69)</f>
        <v>0</v>
      </c>
      <c r="AB69" s="231">
        <f t="shared" ref="AB69" si="180">IFERROR(AA69/$F69,0)</f>
        <v>0</v>
      </c>
      <c r="AC69" s="182"/>
      <c r="AD69" s="18">
        <f t="shared" ref="AD69" si="181">MAX(AD$5,MIN(AD$4,AD$1*(H69/(AD$2-AD$3)-(AD$3/(AD$2-AD$3)))))</f>
        <v>10</v>
      </c>
      <c r="AE69" s="18">
        <f t="shared" ref="AE69" si="182">MAX(AE$5,MIN(AE$4,AE$1*(K69/(AE$2-AE$3)-(AE$3/(AE$2-AE$3)))))</f>
        <v>0</v>
      </c>
      <c r="AF69" s="18">
        <f t="shared" ref="AF69" si="183">MAX(AF$5,MIN(AF$4,AF$1*(N69/(AF$2-AF$3)-(AF$3/(AF$2-AF$3)))))</f>
        <v>36.666670080000102</v>
      </c>
      <c r="AG69" s="18">
        <f t="shared" ref="AG69" si="184">MAX(AG$5,MIN(AG$4,AG$1*(Q69/(AG$2-AG$3)-(AG$3/(AG$2-AG$3)))))</f>
        <v>0</v>
      </c>
      <c r="AH69" s="18">
        <f t="shared" ref="AH69" si="185">MIN(AH$4,MAX(AH$5,AH$1-AH$1*(Z69/(AH$3-AH$2)-(AH$2/(AH$3-AH$2)))))</f>
        <v>14.38994713099264</v>
      </c>
      <c r="AI69" s="18">
        <f t="shared" ref="AI69" si="186">MIN(AI$4,MAX(AI$5,AI$1-AI$1*(AB69/(AI$3-AI$2)-(AI$2/(AI$3-AI$2)))))</f>
        <v>37.5</v>
      </c>
      <c r="AJ69" s="18">
        <f t="shared" ref="AJ69" si="187">MAX(AJ$5,MIN(AJ$4,AJ$1*(X69/(AJ$2-AJ$3)-(AJ$3/(AJ$2-AJ$3)))))</f>
        <v>3.4399999999999995</v>
      </c>
      <c r="AK69" s="18">
        <f t="shared" ref="AK69" si="188">MAX(AK$5,MIN(AK$4,AK$1*(T69/(AK$2-AK$3)-(AK$3/(AK$2-AK$3)))))</f>
        <v>1.3333333333333333</v>
      </c>
      <c r="AL69" s="18">
        <f t="shared" ref="AL69" si="189">MAX(AL$5,MIN(AL$4,AL$1*(V69/(AL$2-AL$3)-(AL$3/(AL$2-AL$3)))))</f>
        <v>5</v>
      </c>
      <c r="AM69" s="36">
        <f t="shared" ref="AM69" si="190">ROUND(SUM(AD69:AL69),0)</f>
        <v>108</v>
      </c>
      <c r="AN69" s="36">
        <f t="shared" ref="AN69" si="191">IF(AND(AB69&lt;=AN$2,OR(AND(O69&gt;=AO$3,L69&gt;=AN$3),AND(O69&gt;=AO$4,L69&gt;=AN$4))),AM69,0)</f>
        <v>108</v>
      </c>
      <c r="AO69" s="183"/>
      <c r="AP69" s="184"/>
      <c r="AQ69" s="184"/>
      <c r="AR69" s="28"/>
      <c r="AS69" s="28"/>
      <c r="AT69" s="163"/>
      <c r="AU69" s="28"/>
      <c r="AV69" s="147"/>
      <c r="AW69" s="147"/>
      <c r="AX69" s="148"/>
      <c r="AY69" s="167"/>
      <c r="AZ69" s="167"/>
      <c r="BB69" s="170"/>
      <c r="BC69" s="202"/>
      <c r="BD69" s="170"/>
    </row>
    <row r="70" spans="1:56" hidden="1" x14ac:dyDescent="0.25">
      <c r="A70" s="196" t="s">
        <v>421</v>
      </c>
      <c r="B70" s="189" t="str">
        <f>VLOOKUP($A70,MainData!$A$4:$E$1967,2,FALSE)</f>
        <v>Inactive</v>
      </c>
      <c r="C70" s="189" t="str">
        <f>VLOOKUP($A70,MainData!$A$4:$E$1967,3,FALSE)</f>
        <v>Inactive</v>
      </c>
      <c r="D70" s="189" t="str">
        <f>VLOOKUP($A70,MainData!$A$4:$E$1967,4,FALSE)</f>
        <v>Hindiyah</v>
      </c>
      <c r="E70" s="189" t="str">
        <f>VLOOKUP($A70,MainData!$A$4:$E$1967,5,FALSE)</f>
        <v>Inactive</v>
      </c>
      <c r="F70" s="11">
        <f>SUMIFS(MainData!G:G,MainData!$A:$A,$A70)</f>
        <v>0</v>
      </c>
      <c r="G70" s="11">
        <f t="shared" si="148"/>
        <v>0</v>
      </c>
      <c r="H70" s="53">
        <f t="shared" si="118"/>
        <v>0</v>
      </c>
      <c r="I70" s="10">
        <f>SUMIFS(MainData!F:F,MainData!$A:$A,$A70)</f>
        <v>0</v>
      </c>
      <c r="J70" s="10">
        <f t="shared" si="23"/>
        <v>0</v>
      </c>
      <c r="K70" s="53">
        <f t="shared" si="119"/>
        <v>0</v>
      </c>
      <c r="L70" s="11">
        <f>SUMIFS(MainData!K:K,MainData!$A:$A,$A70)</f>
        <v>0</v>
      </c>
      <c r="M70" s="11">
        <f t="shared" si="151"/>
        <v>0</v>
      </c>
      <c r="N70" s="53">
        <f t="shared" si="120"/>
        <v>0</v>
      </c>
      <c r="O70" s="256">
        <f>SUMIFS(MainData!J:J,MainData!$A:$A,$A70)</f>
        <v>0</v>
      </c>
      <c r="P70" s="10">
        <f>IF($B70=$B$4,0,IF($B70=$B$1,VLOOKUP(D70,Target_Entry!$A$8:$AF$23,5,0),IF(LO!B70=LO!$B$2,VLOOKUP(LO!D70,Target_Entry!$A$8:$AF$23,25,0),IF(LO!B70=LO!$B$3,VLOOKUP(LO!D70,Target_Entry!$A$8:$AF$23,15,0)))))</f>
        <v>0</v>
      </c>
      <c r="Q70" s="53">
        <f t="shared" si="121"/>
        <v>0</v>
      </c>
      <c r="R70" s="10">
        <f>SUMIFS(MainData!J:J,MainData!$A:$A,$A70)</f>
        <v>0</v>
      </c>
      <c r="S70" s="10">
        <f>SUMIFS(MainData!M:M,MainData!$A:$A,$A70)</f>
        <v>0</v>
      </c>
      <c r="T70" s="53">
        <f t="shared" si="122"/>
        <v>0</v>
      </c>
      <c r="U70" s="10">
        <f>SUMIFS(MainData!L:L,MainData!$A:$A,$A70)</f>
        <v>0</v>
      </c>
      <c r="V70" s="12">
        <f t="shared" si="123"/>
        <v>0</v>
      </c>
      <c r="W70" s="10">
        <f>SUMIFS(MainData!F:F,MainData!$A:$A,$A70)</f>
        <v>0</v>
      </c>
      <c r="X70" s="12">
        <f t="shared" si="124"/>
        <v>0</v>
      </c>
      <c r="Y70" s="11">
        <f>SUMIFS(MainData!H:H,MainData!$A:$A,$A70)</f>
        <v>0</v>
      </c>
      <c r="Z70" s="12">
        <f t="shared" si="125"/>
        <v>0</v>
      </c>
      <c r="AA70" s="11">
        <f>SUMIFS(MainData!I:I,MainData!$A:$A,$A70)</f>
        <v>0</v>
      </c>
      <c r="AB70" s="12">
        <f t="shared" si="126"/>
        <v>0</v>
      </c>
      <c r="AC70" s="182"/>
      <c r="AD70" s="18">
        <f t="shared" si="127"/>
        <v>0</v>
      </c>
      <c r="AE70" s="18">
        <f t="shared" si="128"/>
        <v>0</v>
      </c>
      <c r="AF70" s="18">
        <f t="shared" si="129"/>
        <v>0</v>
      </c>
      <c r="AG70" s="18">
        <f t="shared" si="130"/>
        <v>0</v>
      </c>
      <c r="AH70" s="18">
        <f t="shared" si="131"/>
        <v>15</v>
      </c>
      <c r="AI70" s="18">
        <f t="shared" si="132"/>
        <v>37.5</v>
      </c>
      <c r="AJ70" s="18">
        <f t="shared" si="133"/>
        <v>0</v>
      </c>
      <c r="AK70" s="18">
        <f t="shared" si="134"/>
        <v>0</v>
      </c>
      <c r="AL70" s="18">
        <f t="shared" si="135"/>
        <v>0</v>
      </c>
      <c r="AM70" s="36">
        <f t="shared" si="136"/>
        <v>53</v>
      </c>
      <c r="AN70" s="36">
        <f t="shared" si="137"/>
        <v>0</v>
      </c>
      <c r="AO70" s="183"/>
      <c r="AP70" s="184"/>
      <c r="AQ70" s="184"/>
      <c r="AR70" s="28"/>
      <c r="AS70" s="28"/>
      <c r="AT70" s="163"/>
      <c r="AU70" s="28"/>
      <c r="AV70" s="147"/>
      <c r="AW70" s="147"/>
      <c r="AX70" s="148"/>
      <c r="AY70" s="167"/>
      <c r="AZ70" s="167"/>
      <c r="BB70" s="170"/>
      <c r="BC70" s="202" t="e">
        <f>VLOOKUP(A70,ImportDataWA!A$14:AG$112,33,0)</f>
        <v>#N/A</v>
      </c>
    </row>
    <row r="71" spans="1:56" hidden="1" x14ac:dyDescent="0.25">
      <c r="A71" s="204" t="s">
        <v>395</v>
      </c>
      <c r="B71" s="189" t="str">
        <f>VLOOKUP($A71,MainData!$A$4:$E$1967,2,FALSE)</f>
        <v>Inactive</v>
      </c>
      <c r="C71" s="189" t="str">
        <f>VLOOKUP($A71,MainData!$A$4:$E$1967,3,FALSE)</f>
        <v>Inactive</v>
      </c>
      <c r="D71" s="189" t="str">
        <f>VLOOKUP($A71,MainData!$A$4:$E$1967,4,FALSE)</f>
        <v>Karbala</v>
      </c>
      <c r="E71" s="189" t="str">
        <f>VLOOKUP($A71,MainData!$A$4:$E$1967,5,FALSE)</f>
        <v>Inactive</v>
      </c>
      <c r="F71" s="11">
        <f>SUMIFS(MainData!G:G,MainData!$A:$A,$A71)</f>
        <v>0</v>
      </c>
      <c r="G71" s="11">
        <f t="shared" si="148"/>
        <v>0</v>
      </c>
      <c r="H71" s="53">
        <f t="shared" si="118"/>
        <v>0</v>
      </c>
      <c r="I71" s="10">
        <f>SUMIFS(MainData!F:F,MainData!$A:$A,$A71)</f>
        <v>0</v>
      </c>
      <c r="J71" s="10">
        <f t="shared" ref="J71:J132" si="192">IF($B71=$B$4,0,IF($B71=$B$2,ROUND(J$2/$C$2,0),IF($B71=$B$3,ROUND(J$3/$C$3,0),ROUND(J$1/$C$1,0))))</f>
        <v>0</v>
      </c>
      <c r="K71" s="53">
        <f t="shared" si="119"/>
        <v>0</v>
      </c>
      <c r="L71" s="11">
        <f>SUMIFS(MainData!K:K,MainData!$A:$A,$A71)</f>
        <v>0</v>
      </c>
      <c r="M71" s="11">
        <f t="shared" si="151"/>
        <v>0</v>
      </c>
      <c r="N71" s="53">
        <f t="shared" si="120"/>
        <v>0</v>
      </c>
      <c r="O71" s="256">
        <f>SUMIFS(MainData!J:J,MainData!$A:$A,$A71)</f>
        <v>0</v>
      </c>
      <c r="P71" s="10">
        <f>IF($B71=$B$4,0,IF($B71=$B$1,VLOOKUP(D71,Target_Entry!$A$8:$AF$23,5,0),IF(LO!B71=LO!$B$2,VLOOKUP(LO!D71,Target_Entry!$A$8:$AF$23,25,0),IF(LO!B71=LO!$B$3,VLOOKUP(LO!D71,Target_Entry!$A$8:$AF$23,15,0)))))</f>
        <v>0</v>
      </c>
      <c r="Q71" s="53">
        <f t="shared" si="121"/>
        <v>0</v>
      </c>
      <c r="R71" s="10">
        <f>SUMIFS(MainData!J:J,MainData!$A:$A,$A71)</f>
        <v>0</v>
      </c>
      <c r="S71" s="10">
        <f>SUMIFS(MainData!M:M,MainData!$A:$A,$A71)</f>
        <v>0</v>
      </c>
      <c r="T71" s="53">
        <f t="shared" si="122"/>
        <v>0</v>
      </c>
      <c r="U71" s="10">
        <f>SUMIFS(MainData!L:L,MainData!$A:$A,$A71)</f>
        <v>0</v>
      </c>
      <c r="V71" s="12">
        <f t="shared" si="123"/>
        <v>0</v>
      </c>
      <c r="W71" s="10">
        <f>SUMIFS(MainData!F:F,MainData!$A:$A,$A71)</f>
        <v>0</v>
      </c>
      <c r="X71" s="12">
        <f t="shared" si="124"/>
        <v>0</v>
      </c>
      <c r="Y71" s="11">
        <f>SUMIFS(MainData!H:H,MainData!$A:$A,$A71)</f>
        <v>0</v>
      </c>
      <c r="Z71" s="12">
        <f t="shared" si="125"/>
        <v>0</v>
      </c>
      <c r="AA71" s="11">
        <f>SUMIFS(MainData!I:I,MainData!$A:$A,$A71)</f>
        <v>0</v>
      </c>
      <c r="AB71" s="12">
        <f t="shared" si="126"/>
        <v>0</v>
      </c>
      <c r="AC71" s="182"/>
      <c r="AD71" s="18">
        <f t="shared" si="127"/>
        <v>0</v>
      </c>
      <c r="AE71" s="18">
        <f t="shared" si="128"/>
        <v>0</v>
      </c>
      <c r="AF71" s="18">
        <f t="shared" si="129"/>
        <v>0</v>
      </c>
      <c r="AG71" s="18">
        <f t="shared" si="130"/>
        <v>0</v>
      </c>
      <c r="AH71" s="18">
        <f t="shared" si="131"/>
        <v>15</v>
      </c>
      <c r="AI71" s="18">
        <f t="shared" si="132"/>
        <v>37.5</v>
      </c>
      <c r="AJ71" s="18">
        <f t="shared" si="133"/>
        <v>0</v>
      </c>
      <c r="AK71" s="18">
        <f t="shared" si="134"/>
        <v>0</v>
      </c>
      <c r="AL71" s="18">
        <f t="shared" si="135"/>
        <v>0</v>
      </c>
      <c r="AM71" s="36">
        <f t="shared" si="136"/>
        <v>53</v>
      </c>
      <c r="AN71" s="36">
        <f t="shared" si="137"/>
        <v>0</v>
      </c>
      <c r="AO71" s="183"/>
      <c r="AP71" s="184"/>
      <c r="AQ71" s="184"/>
      <c r="AR71" s="28"/>
      <c r="AS71" s="28"/>
      <c r="AT71" s="163"/>
      <c r="AU71" s="28"/>
      <c r="AV71" s="147"/>
      <c r="AW71" s="147"/>
      <c r="AX71" s="148"/>
      <c r="AY71" s="167"/>
      <c r="AZ71" s="167"/>
      <c r="BB71" s="170"/>
      <c r="BC71" s="202" t="e">
        <f>VLOOKUP(A71,ImportDataWA!A$14:AG$112,33,0)</f>
        <v>#N/A</v>
      </c>
    </row>
    <row r="72" spans="1:56" hidden="1" x14ac:dyDescent="0.25">
      <c r="A72" s="197" t="s">
        <v>344</v>
      </c>
      <c r="B72" s="9" t="str">
        <f>VLOOKUP($A72,MainData!$A$4:$E$1967,2,FALSE)</f>
        <v>Micro</v>
      </c>
      <c r="C72" s="9" t="str">
        <f>VLOOKUP($A72,MainData!$A$4:$E$1967,3,FALSE)</f>
        <v>Muhammed  abdul sadaa esa</v>
      </c>
      <c r="D72" s="9" t="str">
        <f>VLOOKUP($A72,MainData!$A$4:$E$1967,4,FALSE)</f>
        <v>Karbala</v>
      </c>
      <c r="E72" s="9" t="str">
        <f>VLOOKUP($A72,MainData!$A$4:$E$1967,5,FALSE)</f>
        <v>Mustafa Sabeeh Hadi</v>
      </c>
      <c r="F72" s="11">
        <f>SUMIFS(MainData!G:G,MainData!$A:$A,$A72)</f>
        <v>546307.49396540318</v>
      </c>
      <c r="G72" s="11">
        <f t="shared" si="148"/>
        <v>333333.33333333331</v>
      </c>
      <c r="H72" s="53">
        <f t="shared" si="118"/>
        <v>1.6389224818962096</v>
      </c>
      <c r="I72" s="10">
        <f>SUMIFS(MainData!F:F,MainData!$A:$A,$A72)</f>
        <v>198</v>
      </c>
      <c r="J72" s="10">
        <f t="shared" si="192"/>
        <v>400</v>
      </c>
      <c r="K72" s="53">
        <f t="shared" si="119"/>
        <v>0.495</v>
      </c>
      <c r="L72" s="11">
        <f>SUMIFS(MainData!K:K,MainData!$A:$A,$A72)</f>
        <v>57121.212121212127</v>
      </c>
      <c r="M72" s="11">
        <f t="shared" si="151"/>
        <v>56818.18</v>
      </c>
      <c r="N72" s="53">
        <f t="shared" si="120"/>
        <v>1.0053333655040011</v>
      </c>
      <c r="O72" s="256">
        <f>SUMIFS(MainData!J:J,MainData!$A:$A,$A72)</f>
        <v>12</v>
      </c>
      <c r="P72" s="10">
        <f>IF($B72=$B$4,0,IF($B72=$B$1,VLOOKUP(D72,Target_Entry!$A$8:$AF$23,5,0),IF(LO!B72=LO!$B$2,VLOOKUP(LO!D72,Target_Entry!$A$8:$AF$23,25,0),IF(LO!B72=LO!$B$3,VLOOKUP(LO!D72,Target_Entry!$A$8:$AF$23,15,0)))))</f>
        <v>15</v>
      </c>
      <c r="Q72" s="53">
        <f t="shared" si="121"/>
        <v>0.8</v>
      </c>
      <c r="R72" s="10">
        <f>SUMIFS(MainData!J:J,MainData!$A:$A,$A72)</f>
        <v>12</v>
      </c>
      <c r="S72" s="10">
        <f>SUMIFS(MainData!M:M,MainData!$A:$A,$A72)</f>
        <v>3</v>
      </c>
      <c r="T72" s="53">
        <f t="shared" si="122"/>
        <v>0.25</v>
      </c>
      <c r="U72" s="10">
        <f>SUMIFS(MainData!L:L,MainData!$A:$A,$A72)</f>
        <v>4</v>
      </c>
      <c r="V72" s="12">
        <f t="shared" si="123"/>
        <v>0.33333333333333331</v>
      </c>
      <c r="W72" s="10">
        <f>SUMIFS(MainData!F:F,MainData!$A:$A,$A72)</f>
        <v>198</v>
      </c>
      <c r="X72" s="12">
        <f t="shared" si="124"/>
        <v>0.79200000000000004</v>
      </c>
      <c r="Y72" s="11">
        <f>SUMIFS(MainData!H:H,MainData!$A:$A,$A72)</f>
        <v>37658.056204545457</v>
      </c>
      <c r="Z72" s="12">
        <f t="shared" si="125"/>
        <v>6.8931978090218698E-2</v>
      </c>
      <c r="AA72" s="11">
        <f>SUMIFS(MainData!I:I,MainData!$A:$A,$A72)</f>
        <v>8833.6170454545463</v>
      </c>
      <c r="AB72" s="12">
        <f t="shared" si="126"/>
        <v>1.6169679426022966E-2</v>
      </c>
      <c r="AC72" s="182"/>
      <c r="AD72" s="18">
        <f t="shared" si="127"/>
        <v>10</v>
      </c>
      <c r="AE72" s="18">
        <f t="shared" si="128"/>
        <v>0</v>
      </c>
      <c r="AF72" s="18">
        <f t="shared" si="129"/>
        <v>30.533336550400108</v>
      </c>
      <c r="AG72" s="18">
        <f t="shared" si="130"/>
        <v>0</v>
      </c>
      <c r="AH72" s="18">
        <f t="shared" si="131"/>
        <v>0</v>
      </c>
      <c r="AI72" s="18">
        <f t="shared" si="132"/>
        <v>33.457580143494255</v>
      </c>
      <c r="AJ72" s="18">
        <f t="shared" si="133"/>
        <v>2.9200000000000004</v>
      </c>
      <c r="AK72" s="18">
        <f t="shared" si="134"/>
        <v>0.49999999999999961</v>
      </c>
      <c r="AL72" s="18">
        <f t="shared" si="135"/>
        <v>5</v>
      </c>
      <c r="AM72" s="36">
        <f t="shared" si="136"/>
        <v>82</v>
      </c>
      <c r="AN72" s="36">
        <f t="shared" si="137"/>
        <v>0</v>
      </c>
      <c r="AO72" s="183">
        <v>600</v>
      </c>
      <c r="AP72" s="184"/>
      <c r="AQ72" s="184"/>
      <c r="AR72" s="28">
        <f t="shared" ref="AR72:AR77" si="193">SUM(AO72:AQ72)</f>
        <v>600</v>
      </c>
      <c r="AS72" s="28">
        <f t="shared" ref="AS72:AS77" si="194">IF(AO72&gt;0,ROUNDUP($AO72*AS$3,0),0)</f>
        <v>480</v>
      </c>
      <c r="AT72" s="28">
        <f t="shared" ref="AT72:AT77" si="195">AR72-AS72</f>
        <v>120</v>
      </c>
      <c r="AU72" s="28">
        <f t="shared" ref="AU72:AU77" si="196">IF(AO72&gt;0,ROUND(AN72/$AN$1*AU$3,0),0)</f>
        <v>0</v>
      </c>
      <c r="AV72" s="147">
        <f t="shared" ref="AV72:AV77" si="197">AU72+AS72</f>
        <v>480</v>
      </c>
      <c r="AW72" s="147">
        <f t="shared" ref="AW72:AW77" si="198">AV72-AR72</f>
        <v>-120</v>
      </c>
      <c r="AX72" s="148">
        <f t="shared" ref="AX72:AX77" si="199">IFERROR(AV72/AR72,0)</f>
        <v>0.8</v>
      </c>
      <c r="AY72" s="167">
        <f t="shared" ref="AY72:AY73" si="200">AU72</f>
        <v>0</v>
      </c>
      <c r="AZ72" s="167">
        <f>IF(O72&lt;18,IF(AND(I72&gt;0,I72&lt;=60),60,IF(AND(I72&gt;60,I72&lt;=120),70,IF(AND(I72&gt;120,I72&lt;=200),80,IF(I72&gt;200,90,0)))),IF(O72&gt;=18,IF(AND(I72&gt;0,I72&lt;=60),70,IF(AND(I72&gt;60,I72&lt;=120),80,IF(AND(I72&gt;120,I72&lt;=200),90,100)))))</f>
        <v>80</v>
      </c>
      <c r="BB72" s="170">
        <f t="shared" ref="BB72:BB77" si="201">AU72-AY72</f>
        <v>0</v>
      </c>
      <c r="BC72" s="202">
        <f>VLOOKUP(A72,ImportDataWA!A$14:AG$112,33,0)</f>
        <v>97.348588350293909</v>
      </c>
      <c r="BD72" s="170">
        <f t="shared" ref="BD72:BD77" si="202">AU72-AY72</f>
        <v>0</v>
      </c>
    </row>
    <row r="73" spans="1:56" hidden="1" x14ac:dyDescent="0.25">
      <c r="A73" s="195" t="s">
        <v>341</v>
      </c>
      <c r="B73" s="9" t="str">
        <f>VLOOKUP($A73,MainData!$A$4:$E$1967,2,FALSE)</f>
        <v>Micro</v>
      </c>
      <c r="C73" s="9" t="str">
        <f>VLOOKUP($A73,MainData!$A$4:$E$1967,3,FALSE)</f>
        <v>Muhammed  abdul sadaa esa</v>
      </c>
      <c r="D73" s="9" t="str">
        <f>VLOOKUP($A73,MainData!$A$4:$E$1967,4,FALSE)</f>
        <v>Karbala</v>
      </c>
      <c r="E73" s="9" t="str">
        <f>VLOOKUP($A73,MainData!$A$4:$E$1967,5,FALSE)</f>
        <v>Mustafa Sabeeh Hadi</v>
      </c>
      <c r="F73" s="11">
        <f>SUMIFS(MainData!G:G,MainData!$A:$A,$A73)</f>
        <v>415988.72412121214</v>
      </c>
      <c r="G73" s="11">
        <f t="shared" si="148"/>
        <v>333333.33333333331</v>
      </c>
      <c r="H73" s="53">
        <f t="shared" si="118"/>
        <v>1.2479661723636366</v>
      </c>
      <c r="I73" s="10">
        <f>SUMIFS(MainData!F:F,MainData!$A:$A,$A73)</f>
        <v>161</v>
      </c>
      <c r="J73" s="10">
        <f t="shared" si="192"/>
        <v>400</v>
      </c>
      <c r="K73" s="53">
        <f t="shared" si="119"/>
        <v>0.40250000000000002</v>
      </c>
      <c r="L73" s="11">
        <f>SUMIFS(MainData!K:K,MainData!$A:$A,$A73)</f>
        <v>0</v>
      </c>
      <c r="M73" s="11">
        <f t="shared" si="151"/>
        <v>56818.18</v>
      </c>
      <c r="N73" s="53">
        <f t="shared" si="120"/>
        <v>0</v>
      </c>
      <c r="O73" s="256">
        <f>SUMIFS(MainData!J:J,MainData!$A:$A,$A73)</f>
        <v>0</v>
      </c>
      <c r="P73" s="10">
        <f>IF($B73=$B$4,0,IF($B73=$B$1,VLOOKUP(D73,Target_Entry!$A$8:$AF$23,5,0),IF(LO!B73=LO!$B$2,VLOOKUP(LO!D73,Target_Entry!$A$8:$AF$23,25,0),IF(LO!B73=LO!$B$3,VLOOKUP(LO!D73,Target_Entry!$A$8:$AF$23,15,0)))))</f>
        <v>15</v>
      </c>
      <c r="Q73" s="53">
        <f t="shared" si="121"/>
        <v>0</v>
      </c>
      <c r="R73" s="10">
        <f>SUMIFS(MainData!J:J,MainData!$A:$A,$A73)</f>
        <v>0</v>
      </c>
      <c r="S73" s="10">
        <f>SUMIFS(MainData!M:M,MainData!$A:$A,$A73)</f>
        <v>0</v>
      </c>
      <c r="T73" s="53">
        <f t="shared" si="122"/>
        <v>0</v>
      </c>
      <c r="U73" s="10">
        <f>SUMIFS(MainData!L:L,MainData!$A:$A,$A73)</f>
        <v>0</v>
      </c>
      <c r="V73" s="12">
        <f t="shared" si="123"/>
        <v>0</v>
      </c>
      <c r="W73" s="10">
        <f>SUMIFS(MainData!F:F,MainData!$A:$A,$A73)</f>
        <v>161</v>
      </c>
      <c r="X73" s="12">
        <f t="shared" si="124"/>
        <v>0.64400000000000002</v>
      </c>
      <c r="Y73" s="11">
        <f>SUMIFS(MainData!H:H,MainData!$A:$A,$A73)</f>
        <v>20018.518310606061</v>
      </c>
      <c r="Z73" s="12">
        <f t="shared" si="125"/>
        <v>4.8122742636584066E-2</v>
      </c>
      <c r="AA73" s="11">
        <f>SUMIFS(MainData!I:I,MainData!$A:$A,$A73)</f>
        <v>3903.0003484848485</v>
      </c>
      <c r="AB73" s="12">
        <f t="shared" si="126"/>
        <v>9.3824666924086607E-3</v>
      </c>
      <c r="AC73" s="182"/>
      <c r="AD73" s="18">
        <f t="shared" si="127"/>
        <v>10</v>
      </c>
      <c r="AE73" s="18">
        <f t="shared" si="128"/>
        <v>0</v>
      </c>
      <c r="AF73" s="18">
        <f t="shared" si="129"/>
        <v>0</v>
      </c>
      <c r="AG73" s="18">
        <f t="shared" si="130"/>
        <v>0</v>
      </c>
      <c r="AH73" s="18">
        <f t="shared" si="131"/>
        <v>0.56317720902478108</v>
      </c>
      <c r="AI73" s="18">
        <f t="shared" si="132"/>
        <v>35.154383326897836</v>
      </c>
      <c r="AJ73" s="18">
        <f t="shared" si="133"/>
        <v>1.4400000000000002</v>
      </c>
      <c r="AK73" s="18">
        <f t="shared" si="134"/>
        <v>0</v>
      </c>
      <c r="AL73" s="18">
        <f t="shared" si="135"/>
        <v>0</v>
      </c>
      <c r="AM73" s="36">
        <f t="shared" si="136"/>
        <v>47</v>
      </c>
      <c r="AN73" s="36">
        <f t="shared" si="137"/>
        <v>0</v>
      </c>
      <c r="AO73" s="183">
        <v>600</v>
      </c>
      <c r="AP73" s="184"/>
      <c r="AQ73" s="184"/>
      <c r="AR73" s="28">
        <f t="shared" si="193"/>
        <v>600</v>
      </c>
      <c r="AS73" s="28">
        <f t="shared" si="194"/>
        <v>480</v>
      </c>
      <c r="AT73" s="163">
        <f t="shared" si="195"/>
        <v>120</v>
      </c>
      <c r="AU73" s="28">
        <f t="shared" si="196"/>
        <v>0</v>
      </c>
      <c r="AV73" s="147">
        <f t="shared" si="197"/>
        <v>480</v>
      </c>
      <c r="AW73" s="147">
        <f t="shared" si="198"/>
        <v>-120</v>
      </c>
      <c r="AX73" s="148">
        <f t="shared" si="199"/>
        <v>0.8</v>
      </c>
      <c r="AY73" s="167">
        <f t="shared" si="200"/>
        <v>0</v>
      </c>
      <c r="AZ73" s="167">
        <f>IF(O73&lt;18,IF(AND(I73&gt;0,I73&lt;=60),60,IF(AND(I73&gt;60,I73&lt;=120),70,IF(AND(I73&gt;120,I73&lt;=200),80,IF(I73&gt;200,90,0)))),IF(O73&gt;=18,IF(AND(I73&gt;0,I73&lt;=60),70,IF(AND(I73&gt;60,I73&lt;=120),80,IF(AND(I73&gt;120,I73&lt;=200),90,100)))))</f>
        <v>80</v>
      </c>
      <c r="BB73" s="170">
        <f t="shared" si="201"/>
        <v>0</v>
      </c>
      <c r="BC73" s="202">
        <f>VLOOKUP(A73,ImportDataWA!A$14:AG$112,33,0)</f>
        <v>97.857206438464758</v>
      </c>
      <c r="BD73" s="170">
        <f t="shared" si="202"/>
        <v>0</v>
      </c>
    </row>
    <row r="74" spans="1:56" hidden="1" x14ac:dyDescent="0.25">
      <c r="A74" s="197" t="s">
        <v>36</v>
      </c>
      <c r="B74" s="9" t="str">
        <f>VLOOKUP($A74,MainData!$A$4:$E$1967,2,FALSE)</f>
        <v>SE</v>
      </c>
      <c r="C74" s="9" t="str">
        <f>VLOOKUP($A74,MainData!$A$4:$E$1967,3,FALSE)</f>
        <v>Muhammed  abdul sadaa esa</v>
      </c>
      <c r="D74" s="9" t="str">
        <f>VLOOKUP($A74,MainData!$A$4:$E$1967,4,FALSE)</f>
        <v>Karbala</v>
      </c>
      <c r="E74" s="9" t="str">
        <f>VLOOKUP($A74,MainData!$A$4:$E$1967,5,FALSE)</f>
        <v>Ammar Jawad hasan</v>
      </c>
      <c r="F74" s="11">
        <f>SUMIFS(MainData!G:G,MainData!$A:$A,$A74)</f>
        <v>1246533.5092008857</v>
      </c>
      <c r="G74" s="11">
        <f t="shared" si="148"/>
        <v>2111111.111111111</v>
      </c>
      <c r="H74" s="53">
        <f t="shared" si="118"/>
        <v>0.5904632412004196</v>
      </c>
      <c r="I74" s="10">
        <f>SUMIFS(MainData!F:F,MainData!$A:$A,$A74)</f>
        <v>70</v>
      </c>
      <c r="J74" s="10">
        <f t="shared" si="192"/>
        <v>222</v>
      </c>
      <c r="K74" s="53">
        <f t="shared" si="119"/>
        <v>0.31531531531531531</v>
      </c>
      <c r="L74" s="11">
        <f>SUMIFS(MainData!K:K,MainData!$A:$A,$A74)</f>
        <v>109469.69696969696</v>
      </c>
      <c r="M74" s="11">
        <f t="shared" si="151"/>
        <v>94696.97</v>
      </c>
      <c r="N74" s="53">
        <f t="shared" si="120"/>
        <v>1.1559999963007999</v>
      </c>
      <c r="O74" s="256">
        <f>SUMIFS(MainData!J:J,MainData!$A:$A,$A74)</f>
        <v>3</v>
      </c>
      <c r="P74" s="10">
        <f>IF($B74=$B$4,0,IF($B74=$B$1,VLOOKUP(D74,Target_Entry!$A$8:$AF$23,5,0),IF(LO!B74=LO!$B$2,VLOOKUP(LO!D74,Target_Entry!$A$8:$AF$23,25,0),IF(LO!B74=LO!$B$3,VLOOKUP(LO!D74,Target_Entry!$A$8:$AF$23,15,0)))))</f>
        <v>3</v>
      </c>
      <c r="Q74" s="53">
        <f t="shared" si="121"/>
        <v>1</v>
      </c>
      <c r="R74" s="10">
        <f>SUMIFS(MainData!J:J,MainData!$A:$A,$A74)</f>
        <v>3</v>
      </c>
      <c r="S74" s="10">
        <f>SUMIFS(MainData!M:M,MainData!$A:$A,$A74)</f>
        <v>3</v>
      </c>
      <c r="T74" s="53">
        <f t="shared" si="122"/>
        <v>1</v>
      </c>
      <c r="U74" s="10">
        <f>SUMIFS(MainData!L:L,MainData!$A:$A,$A74)</f>
        <v>0</v>
      </c>
      <c r="V74" s="12">
        <f t="shared" si="123"/>
        <v>0</v>
      </c>
      <c r="W74" s="10">
        <f>SUMIFS(MainData!F:F,MainData!$A:$A,$A74)</f>
        <v>70</v>
      </c>
      <c r="X74" s="12">
        <f t="shared" si="124"/>
        <v>0.7</v>
      </c>
      <c r="Y74" s="11">
        <f>SUMIFS(MainData!H:H,MainData!$A:$A,$A74)</f>
        <v>5872.727272727273</v>
      </c>
      <c r="Z74" s="12">
        <f t="shared" si="125"/>
        <v>4.7112470137221562E-3</v>
      </c>
      <c r="AA74" s="11">
        <f>SUMIFS(MainData!I:I,MainData!$A:$A,$A74)</f>
        <v>0</v>
      </c>
      <c r="AB74" s="12">
        <f t="shared" si="126"/>
        <v>0</v>
      </c>
      <c r="AC74" s="182"/>
      <c r="AD74" s="18">
        <f t="shared" si="127"/>
        <v>0</v>
      </c>
      <c r="AE74" s="18">
        <f t="shared" si="128"/>
        <v>0</v>
      </c>
      <c r="AF74" s="18">
        <f t="shared" si="129"/>
        <v>45</v>
      </c>
      <c r="AG74" s="18">
        <f t="shared" si="130"/>
        <v>0</v>
      </c>
      <c r="AH74" s="18">
        <f t="shared" si="131"/>
        <v>13.586625895883353</v>
      </c>
      <c r="AI74" s="18">
        <f t="shared" si="132"/>
        <v>37.5</v>
      </c>
      <c r="AJ74" s="18">
        <f t="shared" si="133"/>
        <v>1.9999999999999996</v>
      </c>
      <c r="AK74" s="18">
        <f t="shared" si="134"/>
        <v>5</v>
      </c>
      <c r="AL74" s="18">
        <f t="shared" si="135"/>
        <v>0</v>
      </c>
      <c r="AM74" s="36">
        <f t="shared" si="136"/>
        <v>103</v>
      </c>
      <c r="AN74" s="36">
        <f t="shared" si="137"/>
        <v>0</v>
      </c>
      <c r="AO74" s="183"/>
      <c r="AP74" s="184"/>
      <c r="AQ74" s="184"/>
      <c r="AR74" s="28">
        <f t="shared" si="193"/>
        <v>0</v>
      </c>
      <c r="AS74" s="28">
        <f t="shared" si="194"/>
        <v>0</v>
      </c>
      <c r="AT74" s="28">
        <f t="shared" si="195"/>
        <v>0</v>
      </c>
      <c r="AU74" s="28">
        <f t="shared" si="196"/>
        <v>0</v>
      </c>
      <c r="AV74" s="147">
        <f t="shared" si="197"/>
        <v>0</v>
      </c>
      <c r="AW74" s="147">
        <f t="shared" si="198"/>
        <v>0</v>
      </c>
      <c r="AX74" s="148">
        <f t="shared" si="199"/>
        <v>0</v>
      </c>
      <c r="AY74" s="167">
        <f>IF(O74&lt;3,0,0)+IF(O74=3,300,0)+IF(O74=4,400,0)+IF(O74=5,500,0)+IF(O74=6,600,0)</f>
        <v>300</v>
      </c>
      <c r="AZ74" s="167">
        <f>IF(O74&lt;3,75)+IF(O74=3,150)+IF(O74=4,150)+IF(O74=5,150)+IF(O74&gt;=6,200)</f>
        <v>150</v>
      </c>
      <c r="BB74" s="170">
        <f t="shared" si="201"/>
        <v>-300</v>
      </c>
      <c r="BC74" s="202">
        <f>VLOOKUP(A74,ImportDataWA!A$14:AG$112,33,0)</f>
        <v>99.89340762736127</v>
      </c>
      <c r="BD74" s="170">
        <f t="shared" si="202"/>
        <v>-300</v>
      </c>
    </row>
    <row r="75" spans="1:56" hidden="1" x14ac:dyDescent="0.25">
      <c r="A75" s="230" t="s">
        <v>88</v>
      </c>
      <c r="B75" s="9" t="str">
        <f>VLOOKUP($A75,MainData!$A$4:$E$1967,2,FALSE)</f>
        <v>Micro</v>
      </c>
      <c r="C75" s="9" t="str">
        <f>VLOOKUP($A75,MainData!$A$4:$E$1967,3,FALSE)</f>
        <v>Ali Manji Oafi</v>
      </c>
      <c r="D75" s="9" t="str">
        <f>VLOOKUP($A75,MainData!$A$4:$E$1967,4,FALSE)</f>
        <v>Karbala</v>
      </c>
      <c r="E75" s="9" t="str">
        <f>VLOOKUP($A75,MainData!$A$4:$E$1967,5,FALSE)</f>
        <v>Mustafa Sabeeh Hadi</v>
      </c>
      <c r="F75" s="11">
        <f>SUMIFS(MainData!G:G,MainData!$A:$A,$A75)</f>
        <v>516911.56169564067</v>
      </c>
      <c r="G75" s="11">
        <f t="shared" si="148"/>
        <v>333333.33333333331</v>
      </c>
      <c r="H75" s="53">
        <f t="shared" si="118"/>
        <v>1.5507346850869221</v>
      </c>
      <c r="I75" s="10">
        <f>SUMIFS(MainData!F:F,MainData!$A:$A,$A75)</f>
        <v>175</v>
      </c>
      <c r="J75" s="10">
        <f t="shared" si="192"/>
        <v>400</v>
      </c>
      <c r="K75" s="53">
        <f t="shared" si="119"/>
        <v>0.4375</v>
      </c>
      <c r="L75" s="11">
        <f>SUMIFS(MainData!K:K,MainData!$A:$A,$A75)</f>
        <v>56818.181818181816</v>
      </c>
      <c r="M75" s="11">
        <f t="shared" si="151"/>
        <v>56818.18</v>
      </c>
      <c r="N75" s="53">
        <f t="shared" si="120"/>
        <v>1.0000000320000011</v>
      </c>
      <c r="O75" s="256">
        <f>SUMIFS(MainData!J:J,MainData!$A:$A,$A75)</f>
        <v>14</v>
      </c>
      <c r="P75" s="10">
        <f>IF($B75=$B$4,0,IF($B75=$B$1,VLOOKUP(D75,Target_Entry!$A$8:$AF$23,5,0),IF(LO!B75=LO!$B$2,VLOOKUP(LO!D75,Target_Entry!$A$8:$AF$23,25,0),IF(LO!B75=LO!$B$3,VLOOKUP(LO!D75,Target_Entry!$A$8:$AF$23,15,0)))))</f>
        <v>15</v>
      </c>
      <c r="Q75" s="53">
        <f t="shared" si="121"/>
        <v>0.93333333333333335</v>
      </c>
      <c r="R75" s="10">
        <f>SUMIFS(MainData!J:J,MainData!$A:$A,$A75)</f>
        <v>14</v>
      </c>
      <c r="S75" s="10">
        <f>SUMIFS(MainData!M:M,MainData!$A:$A,$A75)</f>
        <v>6</v>
      </c>
      <c r="T75" s="53">
        <f t="shared" si="122"/>
        <v>0.42857142857142855</v>
      </c>
      <c r="U75" s="10">
        <f>SUMIFS(MainData!L:L,MainData!$A:$A,$A75)</f>
        <v>5</v>
      </c>
      <c r="V75" s="12">
        <f t="shared" si="123"/>
        <v>0.35714285714285715</v>
      </c>
      <c r="W75" s="10">
        <f>SUMIFS(MainData!F:F,MainData!$A:$A,$A75)</f>
        <v>175</v>
      </c>
      <c r="X75" s="12">
        <f t="shared" si="124"/>
        <v>0.7</v>
      </c>
      <c r="Y75" s="11">
        <f>SUMIFS(MainData!H:H,MainData!$A:$A,$A75)</f>
        <v>42460.908325757577</v>
      </c>
      <c r="Z75" s="12">
        <f t="shared" si="125"/>
        <v>8.2143467997643105E-2</v>
      </c>
      <c r="AA75" s="11">
        <f>SUMIFS(MainData!I:I,MainData!$A:$A,$A75)</f>
        <v>11325.780143939393</v>
      </c>
      <c r="AB75" s="12">
        <f t="shared" si="126"/>
        <v>2.191047943827585E-2</v>
      </c>
      <c r="AC75" s="182"/>
      <c r="AD75" s="18">
        <f t="shared" si="127"/>
        <v>10</v>
      </c>
      <c r="AE75" s="18">
        <f t="shared" si="128"/>
        <v>0</v>
      </c>
      <c r="AF75" s="18">
        <f t="shared" si="129"/>
        <v>30.000003200000105</v>
      </c>
      <c r="AG75" s="18">
        <f t="shared" si="130"/>
        <v>0</v>
      </c>
      <c r="AH75" s="18">
        <f t="shared" si="131"/>
        <v>0</v>
      </c>
      <c r="AI75" s="18">
        <f t="shared" si="132"/>
        <v>32.022380140431039</v>
      </c>
      <c r="AJ75" s="18">
        <f t="shared" si="133"/>
        <v>1.9999999999999996</v>
      </c>
      <c r="AK75" s="18">
        <f t="shared" si="134"/>
        <v>2.2857142857142856</v>
      </c>
      <c r="AL75" s="18">
        <f t="shared" si="135"/>
        <v>5</v>
      </c>
      <c r="AM75" s="36">
        <f t="shared" si="136"/>
        <v>81</v>
      </c>
      <c r="AN75" s="36">
        <f t="shared" si="137"/>
        <v>0</v>
      </c>
      <c r="AO75" s="183">
        <v>1018</v>
      </c>
      <c r="AP75" s="184">
        <v>0</v>
      </c>
      <c r="AQ75" s="184">
        <v>0</v>
      </c>
      <c r="AR75" s="28">
        <f t="shared" si="193"/>
        <v>1018</v>
      </c>
      <c r="AS75" s="28">
        <f t="shared" si="194"/>
        <v>815</v>
      </c>
      <c r="AT75" s="163">
        <f t="shared" si="195"/>
        <v>203</v>
      </c>
      <c r="AU75" s="28">
        <f t="shared" si="196"/>
        <v>0</v>
      </c>
      <c r="AV75" s="147">
        <f t="shared" si="197"/>
        <v>815</v>
      </c>
      <c r="AW75" s="147">
        <f t="shared" si="198"/>
        <v>-203</v>
      </c>
      <c r="AX75" s="148">
        <f t="shared" si="199"/>
        <v>0.8005893909626719</v>
      </c>
      <c r="AY75" s="167">
        <f t="shared" ref="AY75:AY77" si="203">AU75</f>
        <v>0</v>
      </c>
      <c r="AZ75" s="167">
        <f>IF(O75&lt;18,IF(AND(I75&gt;0,I75&lt;=60),60,IF(AND(I75&gt;60,I75&lt;=120),70,IF(AND(I75&gt;120,I75&lt;=200),80,IF(I75&gt;200,90,0)))),IF(O75&gt;=18,IF(AND(I75&gt;0,I75&lt;=60),70,IF(AND(I75&gt;60,I75&lt;=120),80,IF(AND(I75&gt;120,I75&lt;=200),90,100)))))</f>
        <v>80</v>
      </c>
      <c r="BB75" s="170">
        <f t="shared" si="201"/>
        <v>0</v>
      </c>
      <c r="BC75" s="202">
        <f>VLOOKUP(A75,ImportDataWA!A$14:AG$112,33,0)</f>
        <v>96.407046352527288</v>
      </c>
      <c r="BD75" s="170">
        <f t="shared" si="202"/>
        <v>0</v>
      </c>
    </row>
    <row r="76" spans="1:56" hidden="1" x14ac:dyDescent="0.25">
      <c r="A76" s="195" t="s">
        <v>79</v>
      </c>
      <c r="B76" s="9" t="str">
        <f>VLOOKUP($A76,MainData!$A$4:$E$1967,2,FALSE)</f>
        <v>Micro</v>
      </c>
      <c r="C76" s="9" t="str">
        <f>VLOOKUP($A76,MainData!$A$4:$E$1967,3,FALSE)</f>
        <v>Muhammed  abdul sadaa esa</v>
      </c>
      <c r="D76" s="9" t="str">
        <f>VLOOKUP($A76,MainData!$A$4:$E$1967,4,FALSE)</f>
        <v>Karbala</v>
      </c>
      <c r="E76" s="9" t="str">
        <f>VLOOKUP($A76,MainData!$A$4:$E$1967,5,FALSE)</f>
        <v>Mustafa Sabeeh Hadi</v>
      </c>
      <c r="F76" s="11">
        <f>SUMIFS(MainData!G:G,MainData!$A:$A,$A76)</f>
        <v>584418.54087293323</v>
      </c>
      <c r="G76" s="11">
        <f t="shared" si="148"/>
        <v>333333.33333333331</v>
      </c>
      <c r="H76" s="53">
        <f t="shared" si="118"/>
        <v>1.7532556226187999</v>
      </c>
      <c r="I76" s="10">
        <f>SUMIFS(MainData!F:F,MainData!$A:$A,$A76)</f>
        <v>217</v>
      </c>
      <c r="J76" s="10">
        <f t="shared" si="192"/>
        <v>400</v>
      </c>
      <c r="K76" s="53">
        <f t="shared" si="119"/>
        <v>0.54249999999999998</v>
      </c>
      <c r="L76" s="11">
        <f>SUMIFS(MainData!K:K,MainData!$A:$A,$A76)</f>
        <v>52272.727272727272</v>
      </c>
      <c r="M76" s="11">
        <f t="shared" si="151"/>
        <v>56818.18</v>
      </c>
      <c r="N76" s="53">
        <f t="shared" si="120"/>
        <v>0.92000002944000092</v>
      </c>
      <c r="O76" s="256">
        <f>SUMIFS(MainData!J:J,MainData!$A:$A,$A76)</f>
        <v>12</v>
      </c>
      <c r="P76" s="10">
        <f>IF($B76=$B$4,0,IF($B76=$B$1,VLOOKUP(D76,Target_Entry!$A$8:$AF$23,5,0),IF(LO!B76=LO!$B$2,VLOOKUP(LO!D76,Target_Entry!$A$8:$AF$23,25,0),IF(LO!B76=LO!$B$3,VLOOKUP(LO!D76,Target_Entry!$A$8:$AF$23,15,0)))))</f>
        <v>15</v>
      </c>
      <c r="Q76" s="53">
        <f t="shared" si="121"/>
        <v>0.8</v>
      </c>
      <c r="R76" s="10">
        <f>SUMIFS(MainData!J:J,MainData!$A:$A,$A76)</f>
        <v>12</v>
      </c>
      <c r="S76" s="10">
        <f>SUMIFS(MainData!M:M,MainData!$A:$A,$A76)</f>
        <v>8</v>
      </c>
      <c r="T76" s="53">
        <f t="shared" si="122"/>
        <v>0.66666666666666663</v>
      </c>
      <c r="U76" s="10">
        <f>SUMIFS(MainData!L:L,MainData!$A:$A,$A76)</f>
        <v>1</v>
      </c>
      <c r="V76" s="12">
        <f t="shared" si="123"/>
        <v>8.3333333333333329E-2</v>
      </c>
      <c r="W76" s="10">
        <f>SUMIFS(MainData!F:F,MainData!$A:$A,$A76)</f>
        <v>217</v>
      </c>
      <c r="X76" s="12">
        <f t="shared" si="124"/>
        <v>0.86799999999999999</v>
      </c>
      <c r="Y76" s="11">
        <f>SUMIFS(MainData!H:H,MainData!$A:$A,$A76)</f>
        <v>0</v>
      </c>
      <c r="Z76" s="12">
        <f t="shared" si="125"/>
        <v>0</v>
      </c>
      <c r="AA76" s="11">
        <f>SUMIFS(MainData!I:I,MainData!$A:$A,$A76)</f>
        <v>0</v>
      </c>
      <c r="AB76" s="12">
        <f t="shared" si="126"/>
        <v>0</v>
      </c>
      <c r="AC76" s="182"/>
      <c r="AD76" s="18">
        <f t="shared" si="127"/>
        <v>10</v>
      </c>
      <c r="AE76" s="18">
        <f t="shared" si="128"/>
        <v>0</v>
      </c>
      <c r="AF76" s="18">
        <f t="shared" si="129"/>
        <v>22.000002944000087</v>
      </c>
      <c r="AG76" s="18">
        <f t="shared" si="130"/>
        <v>0</v>
      </c>
      <c r="AH76" s="18">
        <f t="shared" si="131"/>
        <v>15</v>
      </c>
      <c r="AI76" s="18">
        <f t="shared" si="132"/>
        <v>37.5</v>
      </c>
      <c r="AJ76" s="18">
        <f t="shared" si="133"/>
        <v>3.6799999999999997</v>
      </c>
      <c r="AK76" s="18">
        <f t="shared" si="134"/>
        <v>4.666666666666667</v>
      </c>
      <c r="AL76" s="18">
        <f t="shared" si="135"/>
        <v>1.3888888888888888</v>
      </c>
      <c r="AM76" s="36">
        <f t="shared" si="136"/>
        <v>94</v>
      </c>
      <c r="AN76" s="36">
        <f t="shared" si="137"/>
        <v>0</v>
      </c>
      <c r="AO76" s="183">
        <v>892</v>
      </c>
      <c r="AP76" s="184">
        <v>1</v>
      </c>
      <c r="AQ76" s="184">
        <v>235</v>
      </c>
      <c r="AR76" s="28">
        <f t="shared" si="193"/>
        <v>1128</v>
      </c>
      <c r="AS76" s="28">
        <f t="shared" si="194"/>
        <v>714</v>
      </c>
      <c r="AT76" s="163">
        <f t="shared" si="195"/>
        <v>414</v>
      </c>
      <c r="AU76" s="28">
        <f t="shared" si="196"/>
        <v>0</v>
      </c>
      <c r="AV76" s="147">
        <f t="shared" si="197"/>
        <v>714</v>
      </c>
      <c r="AW76" s="147">
        <f t="shared" si="198"/>
        <v>-414</v>
      </c>
      <c r="AX76" s="148">
        <f t="shared" si="199"/>
        <v>0.63297872340425532</v>
      </c>
      <c r="AY76" s="167">
        <f t="shared" si="203"/>
        <v>0</v>
      </c>
      <c r="AZ76" s="167">
        <f>IF(O76&lt;18,IF(AND(I76&gt;0,I76&lt;=60),60,IF(AND(I76&gt;60,I76&lt;=120),70,IF(AND(I76&gt;120,I76&lt;=200),80,IF(I76&gt;200,90,0)))),IF(O76&gt;=18,IF(AND(I76&gt;0,I76&lt;=60),70,IF(AND(I76&gt;60,I76&lt;=120),80,IF(AND(I76&gt;120,I76&lt;=200),90,100)))))</f>
        <v>90</v>
      </c>
      <c r="BB76" s="170">
        <f t="shared" si="201"/>
        <v>0</v>
      </c>
      <c r="BC76" s="202">
        <f>VLOOKUP(A76,ImportDataWA!A$14:AG$112,33,0)</f>
        <v>100.00000000000004</v>
      </c>
      <c r="BD76" s="170">
        <f t="shared" si="202"/>
        <v>0</v>
      </c>
    </row>
    <row r="77" spans="1:56" hidden="1" x14ac:dyDescent="0.25">
      <c r="A77" s="230" t="s">
        <v>17</v>
      </c>
      <c r="B77" s="9" t="str">
        <f>VLOOKUP($A77,MainData!$A$4:$E$1967,2,FALSE)</f>
        <v>Micro</v>
      </c>
      <c r="C77" s="9" t="str">
        <f>VLOOKUP($A77,MainData!$A$4:$E$1967,3,FALSE)</f>
        <v>Ali Manji Oafi</v>
      </c>
      <c r="D77" s="9" t="str">
        <f>VLOOKUP($A77,MainData!$A$4:$E$1967,4,FALSE)</f>
        <v>Karbala</v>
      </c>
      <c r="E77" s="9" t="str">
        <f>VLOOKUP($A77,MainData!$A$4:$E$1967,5,FALSE)</f>
        <v>Mustafa Sabeeh Hadi</v>
      </c>
      <c r="F77" s="11">
        <f>SUMIFS(MainData!G:G,MainData!$A:$A,$A77)</f>
        <v>822545.11182540329</v>
      </c>
      <c r="G77" s="11">
        <f t="shared" si="148"/>
        <v>333333.33333333331</v>
      </c>
      <c r="H77" s="53">
        <f t="shared" si="118"/>
        <v>2.4676353354762099</v>
      </c>
      <c r="I77" s="10">
        <f>SUMIFS(MainData!F:F,MainData!$A:$A,$A77)</f>
        <v>232</v>
      </c>
      <c r="J77" s="10">
        <f t="shared" si="192"/>
        <v>400</v>
      </c>
      <c r="K77" s="53">
        <f t="shared" si="119"/>
        <v>0.57999999999999996</v>
      </c>
      <c r="L77" s="11">
        <f>SUMIFS(MainData!K:K,MainData!$A:$A,$A77)</f>
        <v>60606.060606060622</v>
      </c>
      <c r="M77" s="11">
        <f t="shared" si="151"/>
        <v>56818.18</v>
      </c>
      <c r="N77" s="53">
        <f t="shared" si="120"/>
        <v>1.0666667008000015</v>
      </c>
      <c r="O77" s="256">
        <f>SUMIFS(MainData!J:J,MainData!$A:$A,$A77)</f>
        <v>12</v>
      </c>
      <c r="P77" s="10">
        <f>IF($B77=$B$4,0,IF($B77=$B$1,VLOOKUP(D77,Target_Entry!$A$8:$AF$23,5,0),IF(LO!B77=LO!$B$2,VLOOKUP(LO!D77,Target_Entry!$A$8:$AF$23,25,0),IF(LO!B77=LO!$B$3,VLOOKUP(LO!D77,Target_Entry!$A$8:$AF$23,15,0)))))</f>
        <v>15</v>
      </c>
      <c r="Q77" s="53">
        <f t="shared" si="121"/>
        <v>0.8</v>
      </c>
      <c r="R77" s="10">
        <f>SUMIFS(MainData!J:J,MainData!$A:$A,$A77)</f>
        <v>12</v>
      </c>
      <c r="S77" s="10">
        <f>SUMIFS(MainData!M:M,MainData!$A:$A,$A77)</f>
        <v>5</v>
      </c>
      <c r="T77" s="53">
        <f t="shared" si="122"/>
        <v>0.41666666666666669</v>
      </c>
      <c r="U77" s="10">
        <f>SUMIFS(MainData!L:L,MainData!$A:$A,$A77)</f>
        <v>4</v>
      </c>
      <c r="V77" s="12">
        <f t="shared" si="123"/>
        <v>0.33333333333333331</v>
      </c>
      <c r="W77" s="10">
        <f>SUMIFS(MainData!F:F,MainData!$A:$A,$A77)</f>
        <v>232</v>
      </c>
      <c r="X77" s="12">
        <f t="shared" si="124"/>
        <v>0.92800000000000005</v>
      </c>
      <c r="Y77" s="11">
        <f>SUMIFS(MainData!H:H,MainData!$A:$A,$A77)</f>
        <v>26667.162818181823</v>
      </c>
      <c r="Z77" s="12">
        <f t="shared" si="125"/>
        <v>3.2420304290668861E-2</v>
      </c>
      <c r="AA77" s="11">
        <f>SUMIFS(MainData!I:I,MainData!$A:$A,$A77)</f>
        <v>4929.9457348484848</v>
      </c>
      <c r="AB77" s="12">
        <f t="shared" si="126"/>
        <v>5.9935262686175135E-3</v>
      </c>
      <c r="AC77" s="182"/>
      <c r="AD77" s="18">
        <f t="shared" si="127"/>
        <v>10</v>
      </c>
      <c r="AE77" s="18">
        <f t="shared" si="128"/>
        <v>0</v>
      </c>
      <c r="AF77" s="18">
        <f t="shared" si="129"/>
        <v>36.666670080000138</v>
      </c>
      <c r="AG77" s="18">
        <f t="shared" si="130"/>
        <v>0</v>
      </c>
      <c r="AH77" s="18">
        <f t="shared" si="131"/>
        <v>5.2739087127993418</v>
      </c>
      <c r="AI77" s="18">
        <f t="shared" si="132"/>
        <v>36.001618432845618</v>
      </c>
      <c r="AJ77" s="18">
        <f t="shared" si="133"/>
        <v>4.28</v>
      </c>
      <c r="AK77" s="18">
        <f t="shared" si="134"/>
        <v>2.166666666666667</v>
      </c>
      <c r="AL77" s="18">
        <f t="shared" si="135"/>
        <v>5</v>
      </c>
      <c r="AM77" s="36">
        <f t="shared" si="136"/>
        <v>99</v>
      </c>
      <c r="AN77" s="36">
        <f t="shared" si="137"/>
        <v>0</v>
      </c>
      <c r="AO77" s="183">
        <v>715</v>
      </c>
      <c r="AP77" s="184">
        <v>0</v>
      </c>
      <c r="AQ77" s="184">
        <v>0</v>
      </c>
      <c r="AR77" s="28">
        <f t="shared" si="193"/>
        <v>715</v>
      </c>
      <c r="AS77" s="28">
        <f t="shared" si="194"/>
        <v>572</v>
      </c>
      <c r="AT77" s="163">
        <f t="shared" si="195"/>
        <v>143</v>
      </c>
      <c r="AU77" s="28">
        <f t="shared" si="196"/>
        <v>0</v>
      </c>
      <c r="AV77" s="147">
        <f t="shared" si="197"/>
        <v>572</v>
      </c>
      <c r="AW77" s="147">
        <f t="shared" si="198"/>
        <v>-143</v>
      </c>
      <c r="AX77" s="148">
        <f t="shared" si="199"/>
        <v>0.8</v>
      </c>
      <c r="AY77" s="167">
        <f t="shared" si="203"/>
        <v>0</v>
      </c>
      <c r="AZ77" s="167">
        <f>IF(O77&lt;18,IF(AND(I77&gt;0,I77&lt;=60),60,IF(AND(I77&gt;60,I77&lt;=120),70,IF(AND(I77&gt;120,I77&lt;=200),80,IF(I77&gt;200,90,0)))),IF(O77&gt;=18,IF(AND(I77&gt;0,I77&lt;=60),70,IF(AND(I77&gt;60,I77&lt;=120),80,IF(AND(I77&gt;120,I77&lt;=200),90,100)))))</f>
        <v>90</v>
      </c>
      <c r="BB77" s="170">
        <f t="shared" si="201"/>
        <v>0</v>
      </c>
      <c r="BC77" s="202">
        <f>VLOOKUP(A77,ImportDataWA!A$14:AG$112,33,0)</f>
        <v>98.097524392405049</v>
      </c>
      <c r="BD77" s="170">
        <f t="shared" si="202"/>
        <v>0</v>
      </c>
    </row>
    <row r="78" spans="1:56" hidden="1" x14ac:dyDescent="0.25">
      <c r="A78" s="196" t="s">
        <v>414</v>
      </c>
      <c r="B78" s="189" t="str">
        <f>VLOOKUP($A78,MainData!$A$4:$E$1967,2,FALSE)</f>
        <v>Inactive</v>
      </c>
      <c r="C78" s="189" t="str">
        <f>VLOOKUP($A78,MainData!$A$4:$E$1967,3,FALSE)</f>
        <v>Inactive</v>
      </c>
      <c r="D78" s="189" t="str">
        <f>VLOOKUP($A78,MainData!$A$4:$E$1967,4,FALSE)</f>
        <v>Karbala</v>
      </c>
      <c r="E78" s="189" t="str">
        <f>VLOOKUP($A78,MainData!$A$4:$E$1967,5,FALSE)</f>
        <v>Inactive</v>
      </c>
      <c r="F78" s="11">
        <f>SUMIFS(MainData!G:G,MainData!$A:$A,$A78)</f>
        <v>0</v>
      </c>
      <c r="G78" s="11">
        <f t="shared" si="148"/>
        <v>0</v>
      </c>
      <c r="H78" s="53">
        <f t="shared" si="118"/>
        <v>0</v>
      </c>
      <c r="I78" s="10">
        <f>SUMIFS(MainData!F:F,MainData!$A:$A,$A78)</f>
        <v>0</v>
      </c>
      <c r="J78" s="10">
        <f t="shared" si="192"/>
        <v>0</v>
      </c>
      <c r="K78" s="53">
        <f t="shared" si="119"/>
        <v>0</v>
      </c>
      <c r="L78" s="11">
        <f>SUMIFS(MainData!K:K,MainData!$A:$A,$A78)</f>
        <v>0</v>
      </c>
      <c r="M78" s="11">
        <f t="shared" si="151"/>
        <v>0</v>
      </c>
      <c r="N78" s="53">
        <f t="shared" si="120"/>
        <v>0</v>
      </c>
      <c r="O78" s="256">
        <f>SUMIFS(MainData!J:J,MainData!$A:$A,$A78)</f>
        <v>0</v>
      </c>
      <c r="P78" s="10">
        <f>IF($B78=$B$4,0,IF($B78=$B$1,VLOOKUP(D78,Target_Entry!$A$8:$AF$23,5,0),IF(LO!B78=LO!$B$2,VLOOKUP(LO!D78,Target_Entry!$A$8:$AF$23,25,0),IF(LO!B78=LO!$B$3,VLOOKUP(LO!D78,Target_Entry!$A$8:$AF$23,15,0)))))</f>
        <v>0</v>
      </c>
      <c r="Q78" s="53">
        <f t="shared" si="121"/>
        <v>0</v>
      </c>
      <c r="R78" s="10">
        <f>SUMIFS(MainData!J:J,MainData!$A:$A,$A78)</f>
        <v>0</v>
      </c>
      <c r="S78" s="10">
        <f>SUMIFS(MainData!M:M,MainData!$A:$A,$A78)</f>
        <v>0</v>
      </c>
      <c r="T78" s="53">
        <f t="shared" si="122"/>
        <v>0</v>
      </c>
      <c r="U78" s="10">
        <f>SUMIFS(MainData!L:L,MainData!$A:$A,$A78)</f>
        <v>0</v>
      </c>
      <c r="V78" s="12">
        <f t="shared" si="123"/>
        <v>0</v>
      </c>
      <c r="W78" s="10">
        <f>SUMIFS(MainData!F:F,MainData!$A:$A,$A78)</f>
        <v>0</v>
      </c>
      <c r="X78" s="12">
        <f t="shared" si="124"/>
        <v>0</v>
      </c>
      <c r="Y78" s="11">
        <f>SUMIFS(MainData!H:H,MainData!$A:$A,$A78)</f>
        <v>0</v>
      </c>
      <c r="Z78" s="12">
        <f t="shared" si="125"/>
        <v>0</v>
      </c>
      <c r="AA78" s="11">
        <f>SUMIFS(MainData!I:I,MainData!$A:$A,$A78)</f>
        <v>0</v>
      </c>
      <c r="AB78" s="12">
        <f t="shared" si="126"/>
        <v>0</v>
      </c>
      <c r="AC78" s="182"/>
      <c r="AD78" s="18">
        <f t="shared" si="127"/>
        <v>0</v>
      </c>
      <c r="AE78" s="18">
        <f t="shared" si="128"/>
        <v>0</v>
      </c>
      <c r="AF78" s="18">
        <f t="shared" si="129"/>
        <v>0</v>
      </c>
      <c r="AG78" s="18">
        <f t="shared" si="130"/>
        <v>0</v>
      </c>
      <c r="AH78" s="18">
        <f t="shared" si="131"/>
        <v>15</v>
      </c>
      <c r="AI78" s="18">
        <f t="shared" si="132"/>
        <v>37.5</v>
      </c>
      <c r="AJ78" s="18">
        <f t="shared" si="133"/>
        <v>0</v>
      </c>
      <c r="AK78" s="18">
        <f t="shared" si="134"/>
        <v>0</v>
      </c>
      <c r="AL78" s="18">
        <f t="shared" si="135"/>
        <v>0</v>
      </c>
      <c r="AM78" s="36">
        <f t="shared" si="136"/>
        <v>53</v>
      </c>
      <c r="AN78" s="36">
        <f t="shared" si="137"/>
        <v>0</v>
      </c>
      <c r="AO78" s="183"/>
      <c r="AP78" s="184"/>
      <c r="AQ78" s="184"/>
      <c r="AR78" s="28"/>
      <c r="AS78" s="28"/>
      <c r="AT78" s="163"/>
      <c r="AU78" s="28"/>
      <c r="AV78" s="147"/>
      <c r="AW78" s="147"/>
      <c r="AX78" s="148"/>
      <c r="AY78" s="167"/>
      <c r="AZ78" s="167"/>
      <c r="BB78" s="170"/>
      <c r="BC78" s="202" t="e">
        <f>VLOOKUP(A78,ImportDataWA!A$14:AG$112,33,0)</f>
        <v>#N/A</v>
      </c>
    </row>
    <row r="79" spans="1:56" hidden="1" x14ac:dyDescent="0.25">
      <c r="A79" s="192" t="s">
        <v>415</v>
      </c>
      <c r="B79" s="189" t="str">
        <f>VLOOKUP($A79,MainData!$A$4:$E$1967,2,FALSE)</f>
        <v>Inactive</v>
      </c>
      <c r="C79" s="189" t="str">
        <f>VLOOKUP($A79,MainData!$A$4:$E$1967,3,FALSE)</f>
        <v>Inactive</v>
      </c>
      <c r="D79" s="189" t="str">
        <f>VLOOKUP($A79,MainData!$A$4:$E$1967,4,FALSE)</f>
        <v>Karbala</v>
      </c>
      <c r="E79" s="189" t="str">
        <f>VLOOKUP($A79,MainData!$A$4:$E$1967,5,FALSE)</f>
        <v>Inactive</v>
      </c>
      <c r="F79" s="11">
        <f>SUMIFS(MainData!G:G,MainData!$A:$A,$A79)</f>
        <v>0</v>
      </c>
      <c r="G79" s="11">
        <f t="shared" si="148"/>
        <v>0</v>
      </c>
      <c r="H79" s="53">
        <f t="shared" si="118"/>
        <v>0</v>
      </c>
      <c r="I79" s="10">
        <f>SUMIFS(MainData!F:F,MainData!$A:$A,$A79)</f>
        <v>0</v>
      </c>
      <c r="J79" s="10">
        <f t="shared" si="192"/>
        <v>0</v>
      </c>
      <c r="K79" s="53">
        <f t="shared" si="119"/>
        <v>0</v>
      </c>
      <c r="L79" s="11">
        <f>SUMIFS(MainData!K:K,MainData!$A:$A,$A79)</f>
        <v>0</v>
      </c>
      <c r="M79" s="11">
        <f t="shared" si="151"/>
        <v>0</v>
      </c>
      <c r="N79" s="53">
        <f t="shared" si="120"/>
        <v>0</v>
      </c>
      <c r="O79" s="256">
        <f>SUMIFS(MainData!J:J,MainData!$A:$A,$A79)</f>
        <v>0</v>
      </c>
      <c r="P79" s="10">
        <f>IF($B79=$B$4,0,IF($B79=$B$1,VLOOKUP(D79,Target_Entry!$A$8:$AF$23,5,0),IF(LO!B79=LO!$B$2,VLOOKUP(LO!D79,Target_Entry!$A$8:$AF$23,25,0),IF(LO!B79=LO!$B$3,VLOOKUP(LO!D79,Target_Entry!$A$8:$AF$23,15,0)))))</f>
        <v>0</v>
      </c>
      <c r="Q79" s="53">
        <f t="shared" si="121"/>
        <v>0</v>
      </c>
      <c r="R79" s="10">
        <f>SUMIFS(MainData!J:J,MainData!$A:$A,$A79)</f>
        <v>0</v>
      </c>
      <c r="S79" s="10">
        <f>SUMIFS(MainData!M:M,MainData!$A:$A,$A79)</f>
        <v>0</v>
      </c>
      <c r="T79" s="53">
        <f t="shared" si="122"/>
        <v>0</v>
      </c>
      <c r="U79" s="10">
        <f>SUMIFS(MainData!L:L,MainData!$A:$A,$A79)</f>
        <v>0</v>
      </c>
      <c r="V79" s="12">
        <f t="shared" si="123"/>
        <v>0</v>
      </c>
      <c r="W79" s="10">
        <f>SUMIFS(MainData!F:F,MainData!$A:$A,$A79)</f>
        <v>0</v>
      </c>
      <c r="X79" s="12">
        <f t="shared" si="124"/>
        <v>0</v>
      </c>
      <c r="Y79" s="11">
        <f>SUMIFS(MainData!H:H,MainData!$A:$A,$A79)</f>
        <v>0</v>
      </c>
      <c r="Z79" s="12">
        <f t="shared" si="125"/>
        <v>0</v>
      </c>
      <c r="AA79" s="11">
        <f>SUMIFS(MainData!I:I,MainData!$A:$A,$A79)</f>
        <v>0</v>
      </c>
      <c r="AB79" s="12">
        <f t="shared" si="126"/>
        <v>0</v>
      </c>
      <c r="AC79" s="182"/>
      <c r="AD79" s="18">
        <f t="shared" si="127"/>
        <v>0</v>
      </c>
      <c r="AE79" s="18">
        <f t="shared" si="128"/>
        <v>0</v>
      </c>
      <c r="AF79" s="18">
        <f t="shared" si="129"/>
        <v>0</v>
      </c>
      <c r="AG79" s="18">
        <f t="shared" si="130"/>
        <v>0</v>
      </c>
      <c r="AH79" s="18">
        <f t="shared" si="131"/>
        <v>15</v>
      </c>
      <c r="AI79" s="18">
        <f t="shared" si="132"/>
        <v>37.5</v>
      </c>
      <c r="AJ79" s="18">
        <f t="shared" si="133"/>
        <v>0</v>
      </c>
      <c r="AK79" s="18">
        <f t="shared" si="134"/>
        <v>0</v>
      </c>
      <c r="AL79" s="18">
        <f t="shared" si="135"/>
        <v>0</v>
      </c>
      <c r="AM79" s="36">
        <f t="shared" si="136"/>
        <v>53</v>
      </c>
      <c r="AN79" s="36">
        <f t="shared" si="137"/>
        <v>0</v>
      </c>
      <c r="AO79" s="183"/>
      <c r="AP79" s="184"/>
      <c r="AQ79" s="184"/>
      <c r="AR79" s="28"/>
      <c r="AS79" s="28"/>
      <c r="AT79" s="163"/>
      <c r="AU79" s="28"/>
      <c r="AV79" s="147"/>
      <c r="AW79" s="147"/>
      <c r="AX79" s="148"/>
      <c r="AY79" s="167"/>
      <c r="AZ79" s="167"/>
      <c r="BB79" s="170"/>
      <c r="BC79" s="202"/>
    </row>
    <row r="80" spans="1:56" hidden="1" x14ac:dyDescent="0.25">
      <c r="A80" s="195" t="s">
        <v>77</v>
      </c>
      <c r="B80" s="9" t="str">
        <f>VLOOKUP($A80,MainData!$A$4:$E$1967,2,FALSE)</f>
        <v>VSE</v>
      </c>
      <c r="C80" s="9" t="str">
        <f>VLOOKUP($A80,MainData!$A$4:$E$1967,3,FALSE)</f>
        <v>Ali Manji Oafi</v>
      </c>
      <c r="D80" s="9" t="str">
        <f>VLOOKUP($A80,MainData!$A$4:$E$1967,4,FALSE)</f>
        <v>Karbala</v>
      </c>
      <c r="E80" s="9" t="str">
        <f>VLOOKUP($A80,MainData!$A$4:$E$1967,5,FALSE)</f>
        <v>Mustafa Sabeeh Hadi</v>
      </c>
      <c r="F80" s="11">
        <f>SUMIFS(MainData!G:G,MainData!$A:$A,$A80)</f>
        <v>744328.23066652054</v>
      </c>
      <c r="G80" s="11">
        <f t="shared" si="148"/>
        <v>777777.77777777775</v>
      </c>
      <c r="H80" s="53">
        <f t="shared" si="118"/>
        <v>0.95699343942838355</v>
      </c>
      <c r="I80" s="10">
        <f>SUMIFS(MainData!F:F,MainData!$A:$A,$A80)</f>
        <v>205</v>
      </c>
      <c r="J80" s="10">
        <f t="shared" si="192"/>
        <v>889</v>
      </c>
      <c r="K80" s="53">
        <f t="shared" si="119"/>
        <v>0.23059617547806524</v>
      </c>
      <c r="L80" s="11">
        <f>SUMIFS(MainData!K:K,MainData!$A:$A,$A80)</f>
        <v>57575.757575757591</v>
      </c>
      <c r="M80" s="11">
        <f t="shared" si="151"/>
        <v>79545.45</v>
      </c>
      <c r="N80" s="53">
        <f t="shared" si="120"/>
        <v>0.72380956517007056</v>
      </c>
      <c r="O80" s="256">
        <f>SUMIFS(MainData!J:J,MainData!$A:$A,$A80)</f>
        <v>12</v>
      </c>
      <c r="P80" s="10">
        <f>IF($B80=$B$4,0,IF($B80=$B$1,VLOOKUP(D80,Target_Entry!$A$8:$AF$23,5,0),IF(LO!B80=LO!$B$2,VLOOKUP(LO!D80,Target_Entry!$A$8:$AF$23,25,0),IF(LO!B80=LO!$B$3,VLOOKUP(LO!D80,Target_Entry!$A$8:$AF$23,15,0)))))</f>
        <v>8</v>
      </c>
      <c r="Q80" s="53">
        <f t="shared" si="121"/>
        <v>1.5</v>
      </c>
      <c r="R80" s="10">
        <f>SUMIFS(MainData!J:J,MainData!$A:$A,$A80)</f>
        <v>12</v>
      </c>
      <c r="S80" s="10">
        <f>SUMIFS(MainData!M:M,MainData!$A:$A,$A80)</f>
        <v>6</v>
      </c>
      <c r="T80" s="53">
        <f t="shared" si="122"/>
        <v>0.5</v>
      </c>
      <c r="U80" s="10">
        <f>SUMIFS(MainData!L:L,MainData!$A:$A,$A80)</f>
        <v>7</v>
      </c>
      <c r="V80" s="12">
        <f t="shared" si="123"/>
        <v>0.58333333333333337</v>
      </c>
      <c r="W80" s="10">
        <f>SUMIFS(MainData!F:F,MainData!$A:$A,$A80)</f>
        <v>205</v>
      </c>
      <c r="X80" s="12">
        <f t="shared" si="124"/>
        <v>0.82</v>
      </c>
      <c r="Y80" s="11">
        <f>SUMIFS(MainData!H:H,MainData!$A:$A,$A80)</f>
        <v>39929.210152598404</v>
      </c>
      <c r="Z80" s="12">
        <f t="shared" si="125"/>
        <v>5.3644626802402964E-2</v>
      </c>
      <c r="AA80" s="11">
        <f>SUMIFS(MainData!I:I,MainData!$A:$A,$A80)</f>
        <v>6352.5654469082538</v>
      </c>
      <c r="AB80" s="231">
        <f t="shared" si="126"/>
        <v>8.5346291933865621E-3</v>
      </c>
      <c r="AC80" s="182"/>
      <c r="AD80" s="18">
        <f t="shared" si="127"/>
        <v>8.5664479809461156</v>
      </c>
      <c r="AE80" s="18">
        <f t="shared" si="128"/>
        <v>0</v>
      </c>
      <c r="AF80" s="18">
        <f t="shared" si="129"/>
        <v>2.3809565170070579</v>
      </c>
      <c r="AG80" s="18">
        <f t="shared" si="130"/>
        <v>0</v>
      </c>
      <c r="AH80" s="18">
        <f t="shared" si="131"/>
        <v>0</v>
      </c>
      <c r="AI80" s="18">
        <f t="shared" si="132"/>
        <v>35.366342701653359</v>
      </c>
      <c r="AJ80" s="18">
        <f t="shared" si="133"/>
        <v>3.1999999999999993</v>
      </c>
      <c r="AK80" s="18">
        <f t="shared" si="134"/>
        <v>2.9999999999999991</v>
      </c>
      <c r="AL80" s="18">
        <f t="shared" si="135"/>
        <v>5</v>
      </c>
      <c r="AM80" s="36">
        <f t="shared" si="136"/>
        <v>58</v>
      </c>
      <c r="AN80" s="36">
        <f t="shared" si="137"/>
        <v>0</v>
      </c>
      <c r="AO80" s="183">
        <v>826</v>
      </c>
      <c r="AP80" s="184">
        <v>0</v>
      </c>
      <c r="AQ80" s="184">
        <v>0</v>
      </c>
      <c r="AR80" s="28">
        <f t="shared" ref="AR80:AR87" si="204">SUM(AO80:AQ80)</f>
        <v>826</v>
      </c>
      <c r="AS80" s="28">
        <f t="shared" ref="AS80:AS87" si="205">IF(AO80&gt;0,ROUNDUP($AO80*AS$3,0),0)</f>
        <v>661</v>
      </c>
      <c r="AT80" s="163">
        <f t="shared" ref="AT80:AT87" si="206">AR80-AS80</f>
        <v>165</v>
      </c>
      <c r="AU80" s="28">
        <f t="shared" ref="AU80:AU87" si="207">IF(AO80&gt;0,ROUND(AN80/$AN$1*AU$3,0),0)</f>
        <v>0</v>
      </c>
      <c r="AV80" s="147">
        <f t="shared" ref="AV80:AV87" si="208">AU80+AS80</f>
        <v>661</v>
      </c>
      <c r="AW80" s="147">
        <f t="shared" ref="AW80:AW87" si="209">AV80-AR80</f>
        <v>-165</v>
      </c>
      <c r="AX80" s="148">
        <f t="shared" ref="AX80:AX87" si="210">IFERROR(AV80/AR80,0)</f>
        <v>0.80024213075060535</v>
      </c>
      <c r="AY80" s="167">
        <f t="shared" ref="AY80:AY87" si="211">AU80</f>
        <v>0</v>
      </c>
      <c r="AZ80" s="167">
        <f t="shared" ref="AZ80:AZ87" si="212">IF(O80&lt;18,IF(AND(I80&gt;0,I80&lt;=60),60,IF(AND(I80&gt;60,I80&lt;=120),70,IF(AND(I80&gt;120,I80&lt;=200),80,IF(I80&gt;200,90,0)))),IF(O80&gt;=18,IF(AND(I80&gt;0,I80&lt;=60),70,IF(AND(I80&gt;60,I80&lt;=120),80,IF(AND(I80&gt;120,I80&lt;=200),90,100)))))</f>
        <v>90</v>
      </c>
      <c r="BB80" s="170">
        <f t="shared" ref="BB80:BB87" si="213">AU80-AY80</f>
        <v>0</v>
      </c>
      <c r="BC80" s="202">
        <f>VLOOKUP(A80,ImportDataWA!A$14:AG$112,33,0)</f>
        <v>98.401183392656591</v>
      </c>
      <c r="BD80" s="170">
        <f t="shared" ref="BD80:BD87" si="214">AU80-AY80</f>
        <v>0</v>
      </c>
    </row>
    <row r="81" spans="1:56" hidden="1" x14ac:dyDescent="0.25">
      <c r="A81" s="195" t="s">
        <v>82</v>
      </c>
      <c r="B81" s="9" t="str">
        <f>VLOOKUP($A81,MainData!$A$4:$E$1967,2,FALSE)</f>
        <v>VSE</v>
      </c>
      <c r="C81" s="9" t="str">
        <f>VLOOKUP($A81,MainData!$A$4:$E$1967,3,FALSE)</f>
        <v>Ali Manji Oafi</v>
      </c>
      <c r="D81" s="9" t="str">
        <f>VLOOKUP($A81,MainData!$A$4:$E$1967,4,FALSE)</f>
        <v>Karbala</v>
      </c>
      <c r="E81" s="9" t="str">
        <f>VLOOKUP($A81,MainData!$A$4:$E$1967,5,FALSE)</f>
        <v>Mustafa Sabeeh Hadi</v>
      </c>
      <c r="F81" s="11">
        <f>SUMIFS(MainData!G:G,MainData!$A:$A,$A81)</f>
        <v>742572.29971700604</v>
      </c>
      <c r="G81" s="11">
        <f t="shared" si="148"/>
        <v>777777.77777777775</v>
      </c>
      <c r="H81" s="53">
        <f t="shared" si="118"/>
        <v>0.95473581392186491</v>
      </c>
      <c r="I81" s="10">
        <f>SUMIFS(MainData!F:F,MainData!$A:$A,$A81)</f>
        <v>226</v>
      </c>
      <c r="J81" s="10">
        <f t="shared" si="192"/>
        <v>889</v>
      </c>
      <c r="K81" s="53">
        <f t="shared" si="119"/>
        <v>0.25421822272215971</v>
      </c>
      <c r="L81" s="11">
        <f>SUMIFS(MainData!K:K,MainData!$A:$A,$A81)</f>
        <v>85227.272727272735</v>
      </c>
      <c r="M81" s="11">
        <f t="shared" si="151"/>
        <v>79545.45</v>
      </c>
      <c r="N81" s="53">
        <f t="shared" si="120"/>
        <v>1.0714286326530649</v>
      </c>
      <c r="O81" s="256">
        <f>SUMIFS(MainData!J:J,MainData!$A:$A,$A81)</f>
        <v>12</v>
      </c>
      <c r="P81" s="10">
        <f>IF($B81=$B$4,0,IF($B81=$B$1,VLOOKUP(D81,Target_Entry!$A$8:$AF$23,5,0),IF(LO!B81=LO!$B$2,VLOOKUP(LO!D81,Target_Entry!$A$8:$AF$23,25,0),IF(LO!B81=LO!$B$3,VLOOKUP(LO!D81,Target_Entry!$A$8:$AF$23,15,0)))))</f>
        <v>8</v>
      </c>
      <c r="Q81" s="53">
        <f t="shared" si="121"/>
        <v>1.5</v>
      </c>
      <c r="R81" s="10">
        <f>SUMIFS(MainData!J:J,MainData!$A:$A,$A81)</f>
        <v>12</v>
      </c>
      <c r="S81" s="10">
        <f>SUMIFS(MainData!M:M,MainData!$A:$A,$A81)</f>
        <v>6</v>
      </c>
      <c r="T81" s="53">
        <f t="shared" si="122"/>
        <v>0.5</v>
      </c>
      <c r="U81" s="10">
        <f>SUMIFS(MainData!L:L,MainData!$A:$A,$A81)</f>
        <v>4</v>
      </c>
      <c r="V81" s="12">
        <f t="shared" si="123"/>
        <v>0.33333333333333331</v>
      </c>
      <c r="W81" s="10">
        <f>SUMIFS(MainData!F:F,MainData!$A:$A,$A81)</f>
        <v>226</v>
      </c>
      <c r="X81" s="12">
        <f t="shared" si="124"/>
        <v>0.90400000000000003</v>
      </c>
      <c r="Y81" s="11">
        <f>SUMIFS(MainData!H:H,MainData!$A:$A,$A81)</f>
        <v>143132.81104791188</v>
      </c>
      <c r="Z81" s="12">
        <f t="shared" si="125"/>
        <v>0.19275269371407971</v>
      </c>
      <c r="AA81" s="11">
        <f>SUMIFS(MainData!I:I,MainData!$A:$A,$A81)</f>
        <v>8527.3796969696959</v>
      </c>
      <c r="AB81" s="231">
        <f t="shared" si="126"/>
        <v>1.1483568266981513E-2</v>
      </c>
      <c r="AC81" s="182"/>
      <c r="AD81" s="18">
        <f t="shared" si="127"/>
        <v>8.4911937973954963</v>
      </c>
      <c r="AE81" s="18">
        <f t="shared" si="128"/>
        <v>0</v>
      </c>
      <c r="AF81" s="18">
        <f t="shared" si="129"/>
        <v>37.142863265306481</v>
      </c>
      <c r="AG81" s="18">
        <f t="shared" si="130"/>
        <v>0</v>
      </c>
      <c r="AH81" s="18">
        <f t="shared" si="131"/>
        <v>0</v>
      </c>
      <c r="AI81" s="18">
        <f t="shared" si="132"/>
        <v>34.629107933254623</v>
      </c>
      <c r="AJ81" s="18">
        <f t="shared" si="133"/>
        <v>4.04</v>
      </c>
      <c r="AK81" s="18">
        <f t="shared" si="134"/>
        <v>2.9999999999999991</v>
      </c>
      <c r="AL81" s="18">
        <f t="shared" si="135"/>
        <v>5</v>
      </c>
      <c r="AM81" s="36">
        <f t="shared" si="136"/>
        <v>92</v>
      </c>
      <c r="AN81" s="36">
        <f t="shared" si="137"/>
        <v>92</v>
      </c>
      <c r="AO81" s="183">
        <v>840</v>
      </c>
      <c r="AP81" s="184">
        <v>0</v>
      </c>
      <c r="AQ81" s="184">
        <v>2</v>
      </c>
      <c r="AR81" s="28">
        <f t="shared" si="204"/>
        <v>842</v>
      </c>
      <c r="AS81" s="28">
        <f t="shared" si="205"/>
        <v>672</v>
      </c>
      <c r="AT81" s="163">
        <f t="shared" si="206"/>
        <v>170</v>
      </c>
      <c r="AU81" s="28">
        <f t="shared" si="207"/>
        <v>598</v>
      </c>
      <c r="AV81" s="147">
        <f t="shared" si="208"/>
        <v>1270</v>
      </c>
      <c r="AW81" s="147">
        <f t="shared" si="209"/>
        <v>428</v>
      </c>
      <c r="AX81" s="148">
        <f t="shared" si="210"/>
        <v>1.508313539192399</v>
      </c>
      <c r="AY81" s="167">
        <f t="shared" si="211"/>
        <v>598</v>
      </c>
      <c r="AZ81" s="167">
        <f t="shared" si="212"/>
        <v>90</v>
      </c>
      <c r="BB81" s="170">
        <f t="shared" si="213"/>
        <v>0</v>
      </c>
      <c r="BC81" s="202">
        <f>VLOOKUP(A81,ImportDataWA!A$14:AG$112,33,0)</f>
        <v>97.695852259677011</v>
      </c>
      <c r="BD81" s="170">
        <f t="shared" si="214"/>
        <v>0</v>
      </c>
    </row>
    <row r="82" spans="1:56" hidden="1" x14ac:dyDescent="0.25">
      <c r="A82" s="195" t="s">
        <v>87</v>
      </c>
      <c r="B82" s="9" t="str">
        <f>VLOOKUP($A82,MainData!$A$4:$E$1967,2,FALSE)</f>
        <v>VSE</v>
      </c>
      <c r="C82" s="9" t="str">
        <f>VLOOKUP($A82,MainData!$A$4:$E$1967,3,FALSE)</f>
        <v>Muhammed  abdul sadaa esa</v>
      </c>
      <c r="D82" s="9" t="str">
        <f>VLOOKUP($A82,MainData!$A$4:$E$1967,4,FALSE)</f>
        <v>Karbala</v>
      </c>
      <c r="E82" s="9" t="str">
        <f>VLOOKUP($A82,MainData!$A$4:$E$1967,5,FALSE)</f>
        <v>Mustafa Sabeeh Hadi</v>
      </c>
      <c r="F82" s="11">
        <f>SUMIFS(MainData!G:G,MainData!$A:$A,$A82)</f>
        <v>589253.73991887551</v>
      </c>
      <c r="G82" s="11">
        <f t="shared" si="148"/>
        <v>777777.77777777775</v>
      </c>
      <c r="H82" s="53">
        <f t="shared" si="118"/>
        <v>0.75761195132426851</v>
      </c>
      <c r="I82" s="10">
        <f>SUMIFS(MainData!F:F,MainData!$A:$A,$A82)</f>
        <v>170</v>
      </c>
      <c r="J82" s="10">
        <f t="shared" si="192"/>
        <v>889</v>
      </c>
      <c r="K82" s="53">
        <f t="shared" si="119"/>
        <v>0.19122609673790777</v>
      </c>
      <c r="L82" s="11">
        <f>SUMIFS(MainData!K:K,MainData!$A:$A,$A82)</f>
        <v>51515.151515151512</v>
      </c>
      <c r="M82" s="11">
        <f t="shared" si="151"/>
        <v>79545.45</v>
      </c>
      <c r="N82" s="53">
        <f t="shared" si="120"/>
        <v>0.64761908462585249</v>
      </c>
      <c r="O82" s="256">
        <f>SUMIFS(MainData!J:J,MainData!$A:$A,$A82)</f>
        <v>13</v>
      </c>
      <c r="P82" s="10">
        <f>IF($B82=$B$4,0,IF($B82=$B$1,VLOOKUP(D82,Target_Entry!$A$8:$AF$23,5,0),IF(LO!B82=LO!$B$2,VLOOKUP(LO!D82,Target_Entry!$A$8:$AF$23,25,0),IF(LO!B82=LO!$B$3,VLOOKUP(LO!D82,Target_Entry!$A$8:$AF$23,15,0)))))</f>
        <v>8</v>
      </c>
      <c r="Q82" s="53">
        <f t="shared" si="121"/>
        <v>1.625</v>
      </c>
      <c r="R82" s="10">
        <f>SUMIFS(MainData!J:J,MainData!$A:$A,$A82)</f>
        <v>13</v>
      </c>
      <c r="S82" s="10">
        <f>SUMIFS(MainData!M:M,MainData!$A:$A,$A82)</f>
        <v>7</v>
      </c>
      <c r="T82" s="53">
        <f t="shared" si="122"/>
        <v>0.53846153846153844</v>
      </c>
      <c r="U82" s="10">
        <f>SUMIFS(MainData!L:L,MainData!$A:$A,$A82)</f>
        <v>5</v>
      </c>
      <c r="V82" s="12">
        <f t="shared" si="123"/>
        <v>0.38461538461538464</v>
      </c>
      <c r="W82" s="10">
        <f>SUMIFS(MainData!F:F,MainData!$A:$A,$A82)</f>
        <v>170</v>
      </c>
      <c r="X82" s="12">
        <f t="shared" si="124"/>
        <v>0.68</v>
      </c>
      <c r="Y82" s="11">
        <f>SUMIFS(MainData!H:H,MainData!$A:$A,$A82)</f>
        <v>7103.273219696971</v>
      </c>
      <c r="Z82" s="12">
        <f t="shared" si="125"/>
        <v>1.2054693485144281E-2</v>
      </c>
      <c r="AA82" s="11">
        <f>SUMIFS(MainData!I:I,MainData!$A:$A,$A82)</f>
        <v>15994.91846419956</v>
      </c>
      <c r="AB82" s="231">
        <f t="shared" si="126"/>
        <v>2.7144364779766408E-2</v>
      </c>
      <c r="AC82" s="182"/>
      <c r="AD82" s="18">
        <f t="shared" si="127"/>
        <v>1.9203983774756139</v>
      </c>
      <c r="AE82" s="18">
        <f t="shared" si="128"/>
        <v>0</v>
      </c>
      <c r="AF82" s="18">
        <f t="shared" si="129"/>
        <v>0</v>
      </c>
      <c r="AG82" s="18">
        <f t="shared" si="130"/>
        <v>0</v>
      </c>
      <c r="AH82" s="18">
        <f t="shared" si="131"/>
        <v>11.383591954456715</v>
      </c>
      <c r="AI82" s="18">
        <f t="shared" si="132"/>
        <v>30.713908805058399</v>
      </c>
      <c r="AJ82" s="18">
        <f t="shared" si="133"/>
        <v>1.8000000000000005</v>
      </c>
      <c r="AK82" s="18">
        <f t="shared" si="134"/>
        <v>3.384615384615385</v>
      </c>
      <c r="AL82" s="18">
        <f t="shared" si="135"/>
        <v>5</v>
      </c>
      <c r="AM82" s="36">
        <f t="shared" si="136"/>
        <v>54</v>
      </c>
      <c r="AN82" s="36">
        <f t="shared" si="137"/>
        <v>0</v>
      </c>
      <c r="AO82" s="183">
        <v>810</v>
      </c>
      <c r="AP82" s="184">
        <v>0</v>
      </c>
      <c r="AQ82" s="184">
        <v>0</v>
      </c>
      <c r="AR82" s="28">
        <f t="shared" si="204"/>
        <v>810</v>
      </c>
      <c r="AS82" s="28">
        <f t="shared" si="205"/>
        <v>648</v>
      </c>
      <c r="AT82" s="163">
        <f t="shared" si="206"/>
        <v>162</v>
      </c>
      <c r="AU82" s="28">
        <f t="shared" si="207"/>
        <v>0</v>
      </c>
      <c r="AV82" s="147">
        <f t="shared" si="208"/>
        <v>648</v>
      </c>
      <c r="AW82" s="147">
        <f t="shared" si="209"/>
        <v>-162</v>
      </c>
      <c r="AX82" s="148">
        <f t="shared" si="210"/>
        <v>0.8</v>
      </c>
      <c r="AY82" s="167">
        <f t="shared" si="211"/>
        <v>0</v>
      </c>
      <c r="AZ82" s="167">
        <f t="shared" si="212"/>
        <v>80</v>
      </c>
      <c r="BB82" s="170">
        <f t="shared" si="213"/>
        <v>0</v>
      </c>
      <c r="BC82" s="202">
        <f>VLOOKUP(A82,ImportDataWA!A$14:AG$112,33,0)</f>
        <v>95.01077945922674</v>
      </c>
      <c r="BD82" s="170">
        <f t="shared" si="214"/>
        <v>0</v>
      </c>
    </row>
    <row r="83" spans="1:56" s="77" customFormat="1" hidden="1" x14ac:dyDescent="0.25">
      <c r="A83" s="230" t="s">
        <v>98</v>
      </c>
      <c r="B83" s="9" t="str">
        <f>VLOOKUP($A83,MainData!$A$4:$E$1967,2,FALSE)</f>
        <v>VSE</v>
      </c>
      <c r="C83" s="9" t="str">
        <f>VLOOKUP($A83,MainData!$A$4:$E$1967,3,FALSE)</f>
        <v>Muhammed  abdul sadaa esa</v>
      </c>
      <c r="D83" s="9" t="str">
        <f>VLOOKUP($A83,MainData!$A$4:$E$1967,4,FALSE)</f>
        <v>Karbala</v>
      </c>
      <c r="E83" s="9" t="str">
        <f>VLOOKUP($A83,MainData!$A$4:$E$1967,5,FALSE)</f>
        <v>Mustafa Sabeeh Hadi</v>
      </c>
      <c r="F83" s="11">
        <f>SUMIFS(MainData!G:G,MainData!$A:$A,$A83)</f>
        <v>837228.99680583482</v>
      </c>
      <c r="G83" s="11">
        <f t="shared" si="148"/>
        <v>777777.77777777775</v>
      </c>
      <c r="H83" s="53">
        <f t="shared" si="118"/>
        <v>1.0764372816075019</v>
      </c>
      <c r="I83" s="10">
        <f>SUMIFS(MainData!F:F,MainData!$A:$A,$A83)</f>
        <v>253</v>
      </c>
      <c r="J83" s="10">
        <f t="shared" si="192"/>
        <v>889</v>
      </c>
      <c r="K83" s="53">
        <f t="shared" si="119"/>
        <v>0.2845894263217098</v>
      </c>
      <c r="L83" s="11">
        <f>SUMIFS(MainData!K:K,MainData!$A:$A,$A83)</f>
        <v>20833.333333333332</v>
      </c>
      <c r="M83" s="11">
        <f t="shared" si="151"/>
        <v>79545.45</v>
      </c>
      <c r="N83" s="53">
        <f t="shared" si="120"/>
        <v>0.26190477687074915</v>
      </c>
      <c r="O83" s="256">
        <f>SUMIFS(MainData!J:J,MainData!$A:$A,$A83)</f>
        <v>6</v>
      </c>
      <c r="P83" s="10">
        <f>IF($B83=$B$4,0,IF($B83=$B$1,VLOOKUP(D83,Target_Entry!$A$8:$AF$23,5,0),IF(LO!B83=LO!$B$2,VLOOKUP(LO!D83,Target_Entry!$A$8:$AF$23,25,0),IF(LO!B83=LO!$B$3,VLOOKUP(LO!D83,Target_Entry!$A$8:$AF$23,15,0)))))</f>
        <v>8</v>
      </c>
      <c r="Q83" s="53">
        <f t="shared" si="121"/>
        <v>0.75</v>
      </c>
      <c r="R83" s="10">
        <f>SUMIFS(MainData!J:J,MainData!$A:$A,$A83)</f>
        <v>6</v>
      </c>
      <c r="S83" s="10">
        <f>SUMIFS(MainData!M:M,MainData!$A:$A,$A83)</f>
        <v>4</v>
      </c>
      <c r="T83" s="53">
        <f t="shared" si="122"/>
        <v>0.66666666666666663</v>
      </c>
      <c r="U83" s="10">
        <f>SUMIFS(MainData!L:L,MainData!$A:$A,$A83)</f>
        <v>3</v>
      </c>
      <c r="V83" s="12">
        <f t="shared" si="123"/>
        <v>0.5</v>
      </c>
      <c r="W83" s="10">
        <f>SUMIFS(MainData!F:F,MainData!$A:$A,$A83)</f>
        <v>253</v>
      </c>
      <c r="X83" s="12">
        <f t="shared" si="124"/>
        <v>1.012</v>
      </c>
      <c r="Y83" s="11">
        <f>SUMIFS(MainData!H:H,MainData!$A:$A,$A83)</f>
        <v>60130.975540412095</v>
      </c>
      <c r="Z83" s="12">
        <f t="shared" si="125"/>
        <v>7.1821420148873938E-2</v>
      </c>
      <c r="AA83" s="11">
        <f>SUMIFS(MainData!I:I,MainData!$A:$A,$A83)</f>
        <v>15050.398378787877</v>
      </c>
      <c r="AB83" s="231">
        <f t="shared" si="126"/>
        <v>1.7976441853074371E-2</v>
      </c>
      <c r="AC83" s="182"/>
      <c r="AD83" s="18">
        <f t="shared" si="127"/>
        <v>10</v>
      </c>
      <c r="AE83" s="18">
        <f t="shared" si="128"/>
        <v>0</v>
      </c>
      <c r="AF83" s="18">
        <f t="shared" si="129"/>
        <v>0</v>
      </c>
      <c r="AG83" s="18">
        <f t="shared" si="130"/>
        <v>0</v>
      </c>
      <c r="AH83" s="18">
        <f t="shared" si="131"/>
        <v>0</v>
      </c>
      <c r="AI83" s="18">
        <f t="shared" si="132"/>
        <v>33.005889536731409</v>
      </c>
      <c r="AJ83" s="18">
        <f t="shared" si="133"/>
        <v>5</v>
      </c>
      <c r="AK83" s="18">
        <f t="shared" si="134"/>
        <v>4.666666666666667</v>
      </c>
      <c r="AL83" s="18">
        <f t="shared" si="135"/>
        <v>5</v>
      </c>
      <c r="AM83" s="36">
        <f t="shared" si="136"/>
        <v>58</v>
      </c>
      <c r="AN83" s="36">
        <f t="shared" si="137"/>
        <v>0</v>
      </c>
      <c r="AO83" s="234">
        <v>823</v>
      </c>
      <c r="AP83" s="235">
        <v>0</v>
      </c>
      <c r="AQ83" s="235">
        <v>23</v>
      </c>
      <c r="AR83" s="236">
        <f t="shared" si="204"/>
        <v>846</v>
      </c>
      <c r="AS83" s="236">
        <f t="shared" si="205"/>
        <v>659</v>
      </c>
      <c r="AT83" s="237">
        <f t="shared" si="206"/>
        <v>187</v>
      </c>
      <c r="AU83" s="236">
        <f t="shared" si="207"/>
        <v>0</v>
      </c>
      <c r="AV83" s="238">
        <f t="shared" si="208"/>
        <v>659</v>
      </c>
      <c r="AW83" s="238">
        <f t="shared" si="209"/>
        <v>-187</v>
      </c>
      <c r="AX83" s="239">
        <f t="shared" si="210"/>
        <v>0.77895981087470445</v>
      </c>
      <c r="AY83" s="167">
        <f t="shared" si="211"/>
        <v>0</v>
      </c>
      <c r="AZ83" s="240">
        <f t="shared" si="212"/>
        <v>90</v>
      </c>
      <c r="BA83"/>
      <c r="BB83" s="170">
        <f t="shared" si="213"/>
        <v>0</v>
      </c>
      <c r="BC83" s="202">
        <f>VLOOKUP(A83,ImportDataWA!A$14:AG$112,33,0)</f>
        <v>98.274182967064846</v>
      </c>
      <c r="BD83" s="170">
        <f t="shared" si="214"/>
        <v>0</v>
      </c>
    </row>
    <row r="84" spans="1:56" hidden="1" x14ac:dyDescent="0.25">
      <c r="A84" s="230" t="s">
        <v>102</v>
      </c>
      <c r="B84" s="9" t="str">
        <f>VLOOKUP($A84,MainData!$A$4:$E$1967,2,FALSE)</f>
        <v>VSE</v>
      </c>
      <c r="C84" s="9" t="str">
        <f>VLOOKUP($A84,MainData!$A$4:$E$1967,3,FALSE)</f>
        <v>Ali Manji Oafi</v>
      </c>
      <c r="D84" s="9" t="str">
        <f>VLOOKUP($A84,MainData!$A$4:$E$1967,4,FALSE)</f>
        <v>Karbala</v>
      </c>
      <c r="E84" s="9" t="str">
        <f>VLOOKUP($A84,MainData!$A$4:$E$1967,5,FALSE)</f>
        <v>Mustafa Sabeeh Hadi</v>
      </c>
      <c r="F84" s="11">
        <f>SUMIFS(MainData!G:G,MainData!$A:$A,$A84)</f>
        <v>682235.77351674961</v>
      </c>
      <c r="G84" s="11">
        <f t="shared" si="148"/>
        <v>777777.77777777775</v>
      </c>
      <c r="H84" s="53">
        <f t="shared" si="118"/>
        <v>0.87716028023582093</v>
      </c>
      <c r="I84" s="10">
        <f>SUMIFS(MainData!F:F,MainData!$A:$A,$A84)</f>
        <v>218</v>
      </c>
      <c r="J84" s="10">
        <f t="shared" si="192"/>
        <v>889</v>
      </c>
      <c r="K84" s="53">
        <f t="shared" si="119"/>
        <v>0.24521934758155231</v>
      </c>
      <c r="L84" s="11">
        <f>SUMIFS(MainData!K:K,MainData!$A:$A,$A84)</f>
        <v>57954.545454545456</v>
      </c>
      <c r="M84" s="11">
        <f t="shared" si="151"/>
        <v>79545.45</v>
      </c>
      <c r="N84" s="53">
        <f t="shared" si="120"/>
        <v>0.72857147020408408</v>
      </c>
      <c r="O84" s="256">
        <f>SUMIFS(MainData!J:J,MainData!$A:$A,$A84)</f>
        <v>15</v>
      </c>
      <c r="P84" s="10">
        <f>IF($B84=$B$4,0,IF($B84=$B$1,VLOOKUP(D84,Target_Entry!$A$8:$AF$23,5,0),IF(LO!B84=LO!$B$2,VLOOKUP(LO!D84,Target_Entry!$A$8:$AF$23,25,0),IF(LO!B84=LO!$B$3,VLOOKUP(LO!D84,Target_Entry!$A$8:$AF$23,15,0)))))</f>
        <v>8</v>
      </c>
      <c r="Q84" s="53">
        <f t="shared" si="121"/>
        <v>1.875</v>
      </c>
      <c r="R84" s="10">
        <f>SUMIFS(MainData!J:J,MainData!$A:$A,$A84)</f>
        <v>15</v>
      </c>
      <c r="S84" s="10">
        <f>SUMIFS(MainData!M:M,MainData!$A:$A,$A84)</f>
        <v>11</v>
      </c>
      <c r="T84" s="53">
        <f t="shared" si="122"/>
        <v>0.73333333333333328</v>
      </c>
      <c r="U84" s="10">
        <f>SUMIFS(MainData!L:L,MainData!$A:$A,$A84)</f>
        <v>4</v>
      </c>
      <c r="V84" s="12">
        <f t="shared" si="123"/>
        <v>0.26666666666666666</v>
      </c>
      <c r="W84" s="10">
        <f>SUMIFS(MainData!F:F,MainData!$A:$A,$A84)</f>
        <v>218</v>
      </c>
      <c r="X84" s="12">
        <f t="shared" si="124"/>
        <v>0.872</v>
      </c>
      <c r="Y84" s="11">
        <f>SUMIFS(MainData!H:H,MainData!$A:$A,$A84)</f>
        <v>19197.002484848486</v>
      </c>
      <c r="Z84" s="12">
        <f t="shared" si="125"/>
        <v>2.813836979830724E-2</v>
      </c>
      <c r="AA84" s="11">
        <f>SUMIFS(MainData!I:I,MainData!$A:$A,$A84)</f>
        <v>18336.547032841096</v>
      </c>
      <c r="AB84" s="231">
        <f t="shared" si="126"/>
        <v>2.6877140930797166E-2</v>
      </c>
      <c r="AC84" s="182"/>
      <c r="AD84" s="18">
        <f t="shared" si="127"/>
        <v>5.9053426745273629</v>
      </c>
      <c r="AE84" s="18">
        <f t="shared" si="128"/>
        <v>0</v>
      </c>
      <c r="AF84" s="18">
        <f t="shared" si="129"/>
        <v>2.857147020408406</v>
      </c>
      <c r="AG84" s="18">
        <f t="shared" si="130"/>
        <v>0</v>
      </c>
      <c r="AH84" s="18">
        <f t="shared" si="131"/>
        <v>6.5584890605078279</v>
      </c>
      <c r="AI84" s="18">
        <f t="shared" si="132"/>
        <v>30.780714767300708</v>
      </c>
      <c r="AJ84" s="18">
        <f t="shared" si="133"/>
        <v>3.7199999999999998</v>
      </c>
      <c r="AK84" s="18">
        <f t="shared" si="134"/>
        <v>5</v>
      </c>
      <c r="AL84" s="18">
        <f t="shared" si="135"/>
        <v>4.4444444444444446</v>
      </c>
      <c r="AM84" s="36">
        <f t="shared" si="136"/>
        <v>59</v>
      </c>
      <c r="AN84" s="36">
        <f t="shared" si="137"/>
        <v>59</v>
      </c>
      <c r="AO84" s="183">
        <v>1075</v>
      </c>
      <c r="AP84" s="184">
        <v>27</v>
      </c>
      <c r="AQ84" s="184">
        <v>250</v>
      </c>
      <c r="AR84" s="28">
        <f t="shared" si="204"/>
        <v>1352</v>
      </c>
      <c r="AS84" s="28">
        <f t="shared" si="205"/>
        <v>860</v>
      </c>
      <c r="AT84" s="163">
        <f t="shared" si="206"/>
        <v>492</v>
      </c>
      <c r="AU84" s="28">
        <f t="shared" si="207"/>
        <v>384</v>
      </c>
      <c r="AV84" s="147">
        <f t="shared" si="208"/>
        <v>1244</v>
      </c>
      <c r="AW84" s="147">
        <f t="shared" si="209"/>
        <v>-108</v>
      </c>
      <c r="AX84" s="148">
        <f t="shared" si="210"/>
        <v>0.92011834319526631</v>
      </c>
      <c r="AY84" s="167">
        <f t="shared" si="211"/>
        <v>384</v>
      </c>
      <c r="AZ84" s="167">
        <f t="shared" si="212"/>
        <v>90</v>
      </c>
      <c r="BB84" s="170">
        <f t="shared" si="213"/>
        <v>0</v>
      </c>
      <c r="BC84" s="202">
        <f>VLOOKUP(A84,ImportDataWA!A$14:AG$112,33,0)</f>
        <v>95.958981267377979</v>
      </c>
      <c r="BD84" s="170">
        <f t="shared" si="214"/>
        <v>0</v>
      </c>
    </row>
    <row r="85" spans="1:56" hidden="1" x14ac:dyDescent="0.25">
      <c r="A85" s="195" t="s">
        <v>3</v>
      </c>
      <c r="B85" s="9" t="str">
        <f>VLOOKUP($A85,MainData!$A$4:$E$1967,2,FALSE)</f>
        <v>Micro</v>
      </c>
      <c r="C85" s="9" t="str">
        <f>VLOOKUP($A85,MainData!$A$4:$E$1967,3,FALSE)</f>
        <v>Ali Kareem Hadhil</v>
      </c>
      <c r="D85" s="9" t="str">
        <f>VLOOKUP($A85,MainData!$A$4:$E$1967,4,FALSE)</f>
        <v>Kut</v>
      </c>
      <c r="E85" s="9" t="str">
        <f>VLOOKUP($A85,MainData!$A$4:$E$1967,5,FALSE)</f>
        <v>Hayder Hashim Mohammed</v>
      </c>
      <c r="F85" s="11">
        <f>SUMIFS(MainData!G:G,MainData!$A:$A,$A85)</f>
        <v>699862.1903251037</v>
      </c>
      <c r="G85" s="11">
        <f t="shared" si="148"/>
        <v>333333.33333333331</v>
      </c>
      <c r="H85" s="53">
        <f t="shared" si="118"/>
        <v>2.0995865709753114</v>
      </c>
      <c r="I85" s="10">
        <f>SUMIFS(MainData!F:F,MainData!$A:$A,$A85)</f>
        <v>290</v>
      </c>
      <c r="J85" s="10">
        <f t="shared" si="192"/>
        <v>400</v>
      </c>
      <c r="K85" s="53">
        <f t="shared" si="119"/>
        <v>0.72499999999999998</v>
      </c>
      <c r="L85" s="11">
        <f>SUMIFS(MainData!K:K,MainData!$A:$A,$A85)</f>
        <v>21212.121212121216</v>
      </c>
      <c r="M85" s="11">
        <f t="shared" si="151"/>
        <v>56818.18</v>
      </c>
      <c r="N85" s="53">
        <f t="shared" si="120"/>
        <v>0.37333334528000045</v>
      </c>
      <c r="O85" s="256">
        <f>SUMIFS(MainData!J:J,MainData!$A:$A,$A85)</f>
        <v>4</v>
      </c>
      <c r="P85" s="10">
        <f>IF($B85=$B$4,0,IF($B85=$B$1,VLOOKUP(D85,Target_Entry!$A$8:$AF$23,5,0),IF(LO!B85=LO!$B$2,VLOOKUP(LO!D85,Target_Entry!$A$8:$AF$23,25,0),IF(LO!B85=LO!$B$3,VLOOKUP(LO!D85,Target_Entry!$A$8:$AF$23,15,0)))))</f>
        <v>15</v>
      </c>
      <c r="Q85" s="53">
        <f t="shared" si="121"/>
        <v>0.26666666666666666</v>
      </c>
      <c r="R85" s="10">
        <f>SUMIFS(MainData!J:J,MainData!$A:$A,$A85)</f>
        <v>4</v>
      </c>
      <c r="S85" s="10">
        <f>SUMIFS(MainData!M:M,MainData!$A:$A,$A85)</f>
        <v>1</v>
      </c>
      <c r="T85" s="53">
        <f t="shared" si="122"/>
        <v>0.25</v>
      </c>
      <c r="U85" s="10">
        <f>SUMIFS(MainData!L:L,MainData!$A:$A,$A85)</f>
        <v>3</v>
      </c>
      <c r="V85" s="12">
        <f t="shared" si="123"/>
        <v>0.75</v>
      </c>
      <c r="W85" s="10">
        <f>SUMIFS(MainData!F:F,MainData!$A:$A,$A85)</f>
        <v>290</v>
      </c>
      <c r="X85" s="12">
        <f t="shared" si="124"/>
        <v>1.1599999999999999</v>
      </c>
      <c r="Y85" s="11">
        <f>SUMIFS(MainData!H:H,MainData!$A:$A,$A85)</f>
        <v>32973.368189393943</v>
      </c>
      <c r="Z85" s="12">
        <f t="shared" si="125"/>
        <v>4.7114087094885036E-2</v>
      </c>
      <c r="AA85" s="11">
        <f>SUMIFS(MainData!I:I,MainData!$A:$A,$A85)</f>
        <v>11147.860737549705</v>
      </c>
      <c r="AB85" s="12">
        <f t="shared" si="126"/>
        <v>1.5928651228281444E-2</v>
      </c>
      <c r="AC85" s="182"/>
      <c r="AD85" s="18">
        <f t="shared" si="127"/>
        <v>10</v>
      </c>
      <c r="AE85" s="18">
        <f t="shared" si="128"/>
        <v>0</v>
      </c>
      <c r="AF85" s="18">
        <f t="shared" si="129"/>
        <v>0</v>
      </c>
      <c r="AG85" s="18">
        <f t="shared" si="130"/>
        <v>0</v>
      </c>
      <c r="AH85" s="18">
        <f t="shared" si="131"/>
        <v>0.86577387153448981</v>
      </c>
      <c r="AI85" s="18">
        <f t="shared" si="132"/>
        <v>33.51783719292964</v>
      </c>
      <c r="AJ85" s="18">
        <f t="shared" si="133"/>
        <v>5</v>
      </c>
      <c r="AK85" s="18">
        <f t="shared" si="134"/>
        <v>0.49999999999999961</v>
      </c>
      <c r="AL85" s="18">
        <f t="shared" si="135"/>
        <v>5</v>
      </c>
      <c r="AM85" s="36">
        <f t="shared" si="136"/>
        <v>55</v>
      </c>
      <c r="AN85" s="36">
        <f t="shared" si="137"/>
        <v>0</v>
      </c>
      <c r="AO85" s="183">
        <v>1044</v>
      </c>
      <c r="AP85" s="184">
        <v>0</v>
      </c>
      <c r="AQ85" s="184">
        <v>0</v>
      </c>
      <c r="AR85" s="28">
        <f t="shared" si="204"/>
        <v>1044</v>
      </c>
      <c r="AS85" s="28">
        <f t="shared" si="205"/>
        <v>836</v>
      </c>
      <c r="AT85" s="163">
        <f t="shared" si="206"/>
        <v>208</v>
      </c>
      <c r="AU85" s="28">
        <f t="shared" si="207"/>
        <v>0</v>
      </c>
      <c r="AV85" s="147">
        <f t="shared" si="208"/>
        <v>836</v>
      </c>
      <c r="AW85" s="147">
        <f t="shared" si="209"/>
        <v>-208</v>
      </c>
      <c r="AX85" s="148">
        <f t="shared" si="210"/>
        <v>0.8007662835249042</v>
      </c>
      <c r="AY85" s="167">
        <f t="shared" si="211"/>
        <v>0</v>
      </c>
      <c r="AZ85" s="167">
        <f t="shared" si="212"/>
        <v>90</v>
      </c>
      <c r="BB85" s="170">
        <f t="shared" si="213"/>
        <v>0</v>
      </c>
      <c r="BC85" s="202">
        <f>VLOOKUP(A85,ImportDataWA!A$14:AG$112,33,0)</f>
        <v>97.291153793920373</v>
      </c>
      <c r="BD85" s="170">
        <f t="shared" si="214"/>
        <v>0</v>
      </c>
    </row>
    <row r="86" spans="1:56" hidden="1" x14ac:dyDescent="0.25">
      <c r="A86" s="230" t="s">
        <v>275</v>
      </c>
      <c r="B86" s="9" t="str">
        <f>VLOOKUP($A86,MainData!$A$4:$E$1967,2,FALSE)</f>
        <v>Micro</v>
      </c>
      <c r="C86" s="9" t="str">
        <f>VLOOKUP($A86,MainData!$A$4:$E$1967,3,FALSE)</f>
        <v>Hassan Razaq Sebah</v>
      </c>
      <c r="D86" s="9" t="str">
        <f>VLOOKUP($A86,MainData!$A$4:$E$1967,4,FALSE)</f>
        <v>Kut</v>
      </c>
      <c r="E86" s="9" t="str">
        <f>VLOOKUP($A86,MainData!$A$4:$E$1967,5,FALSE)</f>
        <v>Hayder Hashim Mohammed</v>
      </c>
      <c r="F86" s="11">
        <f>SUMIFS(MainData!G:G,MainData!$A:$A,$A86)</f>
        <v>1133707.2776055171</v>
      </c>
      <c r="G86" s="11">
        <f t="shared" si="148"/>
        <v>333333.33333333331</v>
      </c>
      <c r="H86" s="53">
        <f t="shared" si="118"/>
        <v>3.4011218328165516</v>
      </c>
      <c r="I86" s="10">
        <f>SUMIFS(MainData!F:F,MainData!$A:$A,$A86)</f>
        <v>398</v>
      </c>
      <c r="J86" s="10">
        <f t="shared" si="192"/>
        <v>400</v>
      </c>
      <c r="K86" s="53">
        <f t="shared" si="119"/>
        <v>0.995</v>
      </c>
      <c r="L86" s="11">
        <f>SUMIFS(MainData!K:K,MainData!$A:$A,$A86)</f>
        <v>72803.030303030304</v>
      </c>
      <c r="M86" s="11">
        <f t="shared" si="151"/>
        <v>56818.18</v>
      </c>
      <c r="N86" s="53">
        <f t="shared" si="120"/>
        <v>1.2813333743360014</v>
      </c>
      <c r="O86" s="256">
        <f>SUMIFS(MainData!J:J,MainData!$A:$A,$A86)</f>
        <v>15</v>
      </c>
      <c r="P86" s="10">
        <f>IF($B86=$B$4,0,IF($B86=$B$1,VLOOKUP(D86,Target_Entry!$A$8:$AF$23,5,0),IF(LO!B86=LO!$B$2,VLOOKUP(LO!D86,Target_Entry!$A$8:$AF$23,25,0),IF(LO!B86=LO!$B$3,VLOOKUP(LO!D86,Target_Entry!$A$8:$AF$23,15,0)))))</f>
        <v>15</v>
      </c>
      <c r="Q86" s="53">
        <f t="shared" si="121"/>
        <v>1</v>
      </c>
      <c r="R86" s="10">
        <f>SUMIFS(MainData!J:J,MainData!$A:$A,$A86)</f>
        <v>15</v>
      </c>
      <c r="S86" s="10">
        <f>SUMIFS(MainData!M:M,MainData!$A:$A,$A86)</f>
        <v>6</v>
      </c>
      <c r="T86" s="53">
        <f t="shared" si="122"/>
        <v>0.4</v>
      </c>
      <c r="U86" s="10">
        <f>SUMIFS(MainData!L:L,MainData!$A:$A,$A86)</f>
        <v>10</v>
      </c>
      <c r="V86" s="12">
        <f t="shared" si="123"/>
        <v>0.66666666666666663</v>
      </c>
      <c r="W86" s="10">
        <f>SUMIFS(MainData!F:F,MainData!$A:$A,$A86)</f>
        <v>398</v>
      </c>
      <c r="X86" s="12">
        <f t="shared" si="124"/>
        <v>1.5920000000000001</v>
      </c>
      <c r="Y86" s="11">
        <f>SUMIFS(MainData!H:H,MainData!$A:$A,$A86)</f>
        <v>14310.165787429401</v>
      </c>
      <c r="Z86" s="12">
        <f t="shared" si="125"/>
        <v>1.262245208274013E-2</v>
      </c>
      <c r="AA86" s="11">
        <f>SUMIFS(MainData!I:I,MainData!$A:$A,$A86)</f>
        <v>4590.7416590909097</v>
      </c>
      <c r="AB86" s="231">
        <f t="shared" si="126"/>
        <v>4.0493183291430692E-3</v>
      </c>
      <c r="AC86" s="182"/>
      <c r="AD86" s="18">
        <f t="shared" si="127"/>
        <v>10</v>
      </c>
      <c r="AE86" s="18">
        <f t="shared" si="128"/>
        <v>0</v>
      </c>
      <c r="AF86" s="18">
        <f t="shared" si="129"/>
        <v>45</v>
      </c>
      <c r="AG86" s="18">
        <f t="shared" si="130"/>
        <v>0</v>
      </c>
      <c r="AH86" s="18">
        <f t="shared" si="131"/>
        <v>11.21326437517796</v>
      </c>
      <c r="AI86" s="18">
        <f t="shared" si="132"/>
        <v>36.487670417714234</v>
      </c>
      <c r="AJ86" s="18">
        <f t="shared" si="133"/>
        <v>5</v>
      </c>
      <c r="AK86" s="18">
        <f t="shared" si="134"/>
        <v>2.0000000000000004</v>
      </c>
      <c r="AL86" s="18">
        <f t="shared" si="135"/>
        <v>5</v>
      </c>
      <c r="AM86" s="36">
        <f t="shared" si="136"/>
        <v>115</v>
      </c>
      <c r="AN86" s="36">
        <f t="shared" si="137"/>
        <v>115</v>
      </c>
      <c r="AO86" s="183">
        <v>725</v>
      </c>
      <c r="AP86" s="184">
        <v>0</v>
      </c>
      <c r="AQ86" s="184">
        <v>0</v>
      </c>
      <c r="AR86" s="28">
        <f t="shared" si="204"/>
        <v>725</v>
      </c>
      <c r="AS86" s="28">
        <f t="shared" si="205"/>
        <v>580</v>
      </c>
      <c r="AT86" s="163">
        <f t="shared" si="206"/>
        <v>145</v>
      </c>
      <c r="AU86" s="28">
        <f t="shared" si="207"/>
        <v>748</v>
      </c>
      <c r="AV86" s="147">
        <f t="shared" si="208"/>
        <v>1328</v>
      </c>
      <c r="AW86" s="147">
        <f t="shared" si="209"/>
        <v>603</v>
      </c>
      <c r="AX86" s="148">
        <f t="shared" si="210"/>
        <v>1.8317241379310345</v>
      </c>
      <c r="AY86" s="167">
        <f t="shared" si="211"/>
        <v>748</v>
      </c>
      <c r="AZ86" s="167">
        <f t="shared" si="212"/>
        <v>90</v>
      </c>
      <c r="BB86" s="170">
        <f t="shared" si="213"/>
        <v>0</v>
      </c>
      <c r="BC86" s="202">
        <f>VLOOKUP(A86,ImportDataWA!A$14:AG$112,33,0)</f>
        <v>99.628183782542735</v>
      </c>
      <c r="BD86" s="170">
        <f t="shared" si="214"/>
        <v>0</v>
      </c>
    </row>
    <row r="87" spans="1:56" hidden="1" x14ac:dyDescent="0.25">
      <c r="A87" s="196" t="s">
        <v>427</v>
      </c>
      <c r="B87" s="189" t="str">
        <f>VLOOKUP($A87,MainData!$A$4:$E$1967,2,FALSE)</f>
        <v>Inactive</v>
      </c>
      <c r="C87" s="189" t="str">
        <f>VLOOKUP($A87,MainData!$A$4:$E$1967,3,FALSE)</f>
        <v>Inactive</v>
      </c>
      <c r="D87" s="189" t="str">
        <f>VLOOKUP($A87,MainData!$A$4:$E$1967,4,FALSE)</f>
        <v>Kut</v>
      </c>
      <c r="E87" s="189" t="str">
        <f>VLOOKUP($A87,MainData!$A$4:$E$1967,5,FALSE)</f>
        <v>Inactive</v>
      </c>
      <c r="F87" s="11">
        <f>SUMIFS(MainData!G:G,MainData!$A:$A,$A87)</f>
        <v>0</v>
      </c>
      <c r="G87" s="11">
        <f t="shared" si="148"/>
        <v>0</v>
      </c>
      <c r="H87" s="53">
        <f t="shared" si="118"/>
        <v>0</v>
      </c>
      <c r="I87" s="10">
        <f>SUMIFS(MainData!F:F,MainData!$A:$A,$A87)</f>
        <v>0</v>
      </c>
      <c r="J87" s="10">
        <f t="shared" si="192"/>
        <v>0</v>
      </c>
      <c r="K87" s="53">
        <f t="shared" si="119"/>
        <v>0</v>
      </c>
      <c r="L87" s="11">
        <f>SUMIFS(MainData!K:K,MainData!$A:$A,$A87)</f>
        <v>0</v>
      </c>
      <c r="M87" s="11">
        <f t="shared" si="151"/>
        <v>0</v>
      </c>
      <c r="N87" s="53">
        <f t="shared" si="120"/>
        <v>0</v>
      </c>
      <c r="O87" s="256">
        <f>SUMIFS(MainData!J:J,MainData!$A:$A,$A87)</f>
        <v>0</v>
      </c>
      <c r="P87" s="10">
        <f>IF($B87=$B$4,0,IF($B87=$B$1,VLOOKUP(D87,Target_Entry!$A$8:$AF$23,5,0),IF(LO!B87=LO!$B$2,VLOOKUP(LO!D87,Target_Entry!$A$8:$AF$23,25,0),IF(LO!B87=LO!$B$3,VLOOKUP(LO!D87,Target_Entry!$A$8:$AF$23,15,0)))))</f>
        <v>0</v>
      </c>
      <c r="Q87" s="53">
        <f t="shared" si="121"/>
        <v>0</v>
      </c>
      <c r="R87" s="10">
        <f>SUMIFS(MainData!J:J,MainData!$A:$A,$A87)</f>
        <v>0</v>
      </c>
      <c r="S87" s="10">
        <f>SUMIFS(MainData!M:M,MainData!$A:$A,$A87)</f>
        <v>0</v>
      </c>
      <c r="T87" s="53">
        <f t="shared" si="122"/>
        <v>0</v>
      </c>
      <c r="U87" s="10">
        <f>SUMIFS(MainData!L:L,MainData!$A:$A,$A87)</f>
        <v>0</v>
      </c>
      <c r="V87" s="12">
        <f t="shared" si="123"/>
        <v>0</v>
      </c>
      <c r="W87" s="10">
        <f>SUMIFS(MainData!F:F,MainData!$A:$A,$A87)</f>
        <v>0</v>
      </c>
      <c r="X87" s="12">
        <f t="shared" si="124"/>
        <v>0</v>
      </c>
      <c r="Y87" s="11">
        <f>SUMIFS(MainData!H:H,MainData!$A:$A,$A87)</f>
        <v>0</v>
      </c>
      <c r="Z87" s="12">
        <f t="shared" si="125"/>
        <v>0</v>
      </c>
      <c r="AA87" s="11">
        <f>SUMIFS(MainData!I:I,MainData!$A:$A,$A87)</f>
        <v>0</v>
      </c>
      <c r="AB87" s="12">
        <f t="shared" si="126"/>
        <v>0</v>
      </c>
      <c r="AC87" s="182"/>
      <c r="AD87" s="18">
        <f t="shared" si="127"/>
        <v>0</v>
      </c>
      <c r="AE87" s="18">
        <f t="shared" si="128"/>
        <v>0</v>
      </c>
      <c r="AF87" s="18">
        <f t="shared" si="129"/>
        <v>0</v>
      </c>
      <c r="AG87" s="18">
        <f t="shared" si="130"/>
        <v>0</v>
      </c>
      <c r="AH87" s="18">
        <f t="shared" si="131"/>
        <v>15</v>
      </c>
      <c r="AI87" s="18">
        <f t="shared" si="132"/>
        <v>37.5</v>
      </c>
      <c r="AJ87" s="18">
        <f t="shared" si="133"/>
        <v>0</v>
      </c>
      <c r="AK87" s="18">
        <f t="shared" si="134"/>
        <v>0</v>
      </c>
      <c r="AL87" s="18">
        <f t="shared" si="135"/>
        <v>0</v>
      </c>
      <c r="AM87" s="36">
        <f t="shared" si="136"/>
        <v>53</v>
      </c>
      <c r="AN87" s="36">
        <f t="shared" si="137"/>
        <v>0</v>
      </c>
      <c r="AO87" s="183">
        <v>1074</v>
      </c>
      <c r="AP87" s="184">
        <v>0</v>
      </c>
      <c r="AQ87" s="184">
        <v>0</v>
      </c>
      <c r="AR87" s="28">
        <f t="shared" si="204"/>
        <v>1074</v>
      </c>
      <c r="AS87" s="28">
        <f t="shared" si="205"/>
        <v>860</v>
      </c>
      <c r="AT87" s="163">
        <f t="shared" si="206"/>
        <v>214</v>
      </c>
      <c r="AU87" s="28">
        <f t="shared" si="207"/>
        <v>0</v>
      </c>
      <c r="AV87" s="147">
        <f t="shared" si="208"/>
        <v>860</v>
      </c>
      <c r="AW87" s="147">
        <f t="shared" si="209"/>
        <v>-214</v>
      </c>
      <c r="AX87" s="148">
        <f t="shared" si="210"/>
        <v>0.8007448789571695</v>
      </c>
      <c r="AY87" s="167">
        <f t="shared" si="211"/>
        <v>0</v>
      </c>
      <c r="AZ87" s="167">
        <f t="shared" si="212"/>
        <v>0</v>
      </c>
      <c r="BB87" s="170">
        <f t="shared" si="213"/>
        <v>0</v>
      </c>
      <c r="BC87" s="202" t="e">
        <f>VLOOKUP(A87,ImportDataWA!A$14:AG$112,33,0)</f>
        <v>#N/A</v>
      </c>
      <c r="BD87">
        <f t="shared" si="214"/>
        <v>0</v>
      </c>
    </row>
    <row r="88" spans="1:56" hidden="1" x14ac:dyDescent="0.25">
      <c r="A88" s="196" t="s">
        <v>423</v>
      </c>
      <c r="B88" s="189" t="str">
        <f>VLOOKUP($A88,MainData!$A$4:$E$1967,2,FALSE)</f>
        <v>Inactive</v>
      </c>
      <c r="C88" s="189" t="str">
        <f>VLOOKUP($A88,MainData!$A$4:$E$1967,3,FALSE)</f>
        <v>Inactive</v>
      </c>
      <c r="D88" s="189" t="str">
        <f>VLOOKUP($A88,MainData!$A$4:$E$1967,4,FALSE)</f>
        <v>Kut</v>
      </c>
      <c r="E88" s="189" t="str">
        <f>VLOOKUP($A88,MainData!$A$4:$E$1967,5,FALSE)</f>
        <v>Inactive</v>
      </c>
      <c r="F88" s="11">
        <f>SUMIFS(MainData!G:G,MainData!$A:$A,$A88)</f>
        <v>0</v>
      </c>
      <c r="G88" s="11">
        <f t="shared" si="148"/>
        <v>0</v>
      </c>
      <c r="H88" s="53">
        <f t="shared" si="118"/>
        <v>0</v>
      </c>
      <c r="I88" s="10">
        <f>SUMIFS(MainData!F:F,MainData!$A:$A,$A88)</f>
        <v>0</v>
      </c>
      <c r="J88" s="10">
        <f t="shared" si="192"/>
        <v>0</v>
      </c>
      <c r="K88" s="53">
        <f t="shared" si="119"/>
        <v>0</v>
      </c>
      <c r="L88" s="11">
        <f>SUMIFS(MainData!K:K,MainData!$A:$A,$A88)</f>
        <v>0</v>
      </c>
      <c r="M88" s="11">
        <f t="shared" si="151"/>
        <v>0</v>
      </c>
      <c r="N88" s="53">
        <f t="shared" si="120"/>
        <v>0</v>
      </c>
      <c r="O88" s="256">
        <f>SUMIFS(MainData!J:J,MainData!$A:$A,$A88)</f>
        <v>0</v>
      </c>
      <c r="P88" s="10">
        <f>IF($B88=$B$4,0,IF($B88=$B$1,VLOOKUP(D88,Target_Entry!$A$8:$AF$23,5,0),IF(LO!B88=LO!$B$2,VLOOKUP(LO!D88,Target_Entry!$A$8:$AF$23,25,0),IF(LO!B88=LO!$B$3,VLOOKUP(LO!D88,Target_Entry!$A$8:$AF$23,15,0)))))</f>
        <v>0</v>
      </c>
      <c r="Q88" s="53">
        <f t="shared" si="121"/>
        <v>0</v>
      </c>
      <c r="R88" s="10">
        <f>SUMIFS(MainData!J:J,MainData!$A:$A,$A88)</f>
        <v>0</v>
      </c>
      <c r="S88" s="10">
        <f>SUMIFS(MainData!M:M,MainData!$A:$A,$A88)</f>
        <v>0</v>
      </c>
      <c r="T88" s="53">
        <f t="shared" si="122"/>
        <v>0</v>
      </c>
      <c r="U88" s="10">
        <f>SUMIFS(MainData!L:L,MainData!$A:$A,$A88)</f>
        <v>0</v>
      </c>
      <c r="V88" s="12">
        <f t="shared" si="123"/>
        <v>0</v>
      </c>
      <c r="W88" s="10">
        <f>SUMIFS(MainData!F:F,MainData!$A:$A,$A88)</f>
        <v>0</v>
      </c>
      <c r="X88" s="12">
        <f t="shared" si="124"/>
        <v>0</v>
      </c>
      <c r="Y88" s="11">
        <f>SUMIFS(MainData!H:H,MainData!$A:$A,$A88)</f>
        <v>0</v>
      </c>
      <c r="Z88" s="12">
        <f t="shared" si="125"/>
        <v>0</v>
      </c>
      <c r="AA88" s="11">
        <f>SUMIFS(MainData!I:I,MainData!$A:$A,$A88)</f>
        <v>0</v>
      </c>
      <c r="AB88" s="12">
        <f t="shared" si="126"/>
        <v>0</v>
      </c>
      <c r="AC88" s="182"/>
      <c r="AD88" s="18">
        <f t="shared" si="127"/>
        <v>0</v>
      </c>
      <c r="AE88" s="18">
        <f t="shared" si="128"/>
        <v>0</v>
      </c>
      <c r="AF88" s="18">
        <f t="shared" si="129"/>
        <v>0</v>
      </c>
      <c r="AG88" s="18">
        <f t="shared" si="130"/>
        <v>0</v>
      </c>
      <c r="AH88" s="18">
        <f t="shared" si="131"/>
        <v>15</v>
      </c>
      <c r="AI88" s="18">
        <f t="shared" si="132"/>
        <v>37.5</v>
      </c>
      <c r="AJ88" s="18">
        <f t="shared" si="133"/>
        <v>0</v>
      </c>
      <c r="AK88" s="18">
        <f t="shared" si="134"/>
        <v>0</v>
      </c>
      <c r="AL88" s="18">
        <f t="shared" si="135"/>
        <v>0</v>
      </c>
      <c r="AM88" s="36">
        <f t="shared" si="136"/>
        <v>53</v>
      </c>
      <c r="AN88" s="36">
        <f t="shared" si="137"/>
        <v>0</v>
      </c>
      <c r="AO88" s="183"/>
      <c r="AP88" s="184"/>
      <c r="AQ88" s="184"/>
      <c r="AR88" s="28"/>
      <c r="AS88" s="28"/>
      <c r="AT88" s="163"/>
      <c r="AU88" s="28"/>
      <c r="AV88" s="147"/>
      <c r="AW88" s="147"/>
      <c r="AX88" s="148"/>
      <c r="AY88" s="167"/>
      <c r="AZ88" s="167"/>
      <c r="BB88" s="170"/>
      <c r="BC88" s="202" t="e">
        <f>VLOOKUP(A88,ImportDataWA!A$14:AG$112,33,0)</f>
        <v>#N/A</v>
      </c>
    </row>
    <row r="89" spans="1:56" hidden="1" x14ac:dyDescent="0.25">
      <c r="A89" s="204" t="s">
        <v>405</v>
      </c>
      <c r="B89" s="189" t="str">
        <f>VLOOKUP($A89,MainData!$A$4:$E$1967,2,FALSE)</f>
        <v>Inactive</v>
      </c>
      <c r="C89" s="189" t="str">
        <f>VLOOKUP($A89,MainData!$A$4:$E$1967,3,FALSE)</f>
        <v>Inactive</v>
      </c>
      <c r="D89" s="189" t="str">
        <f>VLOOKUP($A89,MainData!$A$4:$E$1967,4,FALSE)</f>
        <v>Kut</v>
      </c>
      <c r="E89" s="189" t="str">
        <f>VLOOKUP($A89,MainData!$A$4:$E$1967,5,FALSE)</f>
        <v>Inactive</v>
      </c>
      <c r="F89" s="11">
        <f>SUMIFS(MainData!G:G,MainData!$A:$A,$A89)</f>
        <v>0</v>
      </c>
      <c r="G89" s="11">
        <f t="shared" si="148"/>
        <v>0</v>
      </c>
      <c r="H89" s="53">
        <f t="shared" si="118"/>
        <v>0</v>
      </c>
      <c r="I89" s="10">
        <f>SUMIFS(MainData!F:F,MainData!$A:$A,$A89)</f>
        <v>0</v>
      </c>
      <c r="J89" s="10">
        <f t="shared" si="192"/>
        <v>0</v>
      </c>
      <c r="K89" s="53">
        <f t="shared" si="119"/>
        <v>0</v>
      </c>
      <c r="L89" s="11">
        <f>SUMIFS(MainData!K:K,MainData!$A:$A,$A89)</f>
        <v>0</v>
      </c>
      <c r="M89" s="11">
        <f t="shared" si="151"/>
        <v>0</v>
      </c>
      <c r="N89" s="53">
        <f t="shared" si="120"/>
        <v>0</v>
      </c>
      <c r="O89" s="256">
        <f>SUMIFS(MainData!J:J,MainData!$A:$A,$A89)</f>
        <v>0</v>
      </c>
      <c r="P89" s="10">
        <f>IF($B89=$B$4,0,IF($B89=$B$1,VLOOKUP(D89,Target_Entry!$A$8:$AF$23,5,0),IF(LO!B89=LO!$B$2,VLOOKUP(LO!D89,Target_Entry!$A$8:$AF$23,25,0),IF(LO!B89=LO!$B$3,VLOOKUP(LO!D89,Target_Entry!$A$8:$AF$23,15,0)))))</f>
        <v>0</v>
      </c>
      <c r="Q89" s="53">
        <f t="shared" si="121"/>
        <v>0</v>
      </c>
      <c r="R89" s="10">
        <f>SUMIFS(MainData!J:J,MainData!$A:$A,$A89)</f>
        <v>0</v>
      </c>
      <c r="S89" s="10">
        <f>SUMIFS(MainData!M:M,MainData!$A:$A,$A89)</f>
        <v>0</v>
      </c>
      <c r="T89" s="53">
        <f t="shared" si="122"/>
        <v>0</v>
      </c>
      <c r="U89" s="10">
        <f>SUMIFS(MainData!L:L,MainData!$A:$A,$A89)</f>
        <v>0</v>
      </c>
      <c r="V89" s="12">
        <f t="shared" si="123"/>
        <v>0</v>
      </c>
      <c r="W89" s="10">
        <f>SUMIFS(MainData!F:F,MainData!$A:$A,$A89)</f>
        <v>0</v>
      </c>
      <c r="X89" s="12">
        <f t="shared" si="124"/>
        <v>0</v>
      </c>
      <c r="Y89" s="11">
        <f>SUMIFS(MainData!H:H,MainData!$A:$A,$A89)</f>
        <v>0</v>
      </c>
      <c r="Z89" s="12">
        <f t="shared" si="125"/>
        <v>0</v>
      </c>
      <c r="AA89" s="11">
        <f>SUMIFS(MainData!I:I,MainData!$A:$A,$A89)</f>
        <v>0</v>
      </c>
      <c r="AB89" s="12">
        <f t="shared" si="126"/>
        <v>0</v>
      </c>
      <c r="AC89" s="182"/>
      <c r="AD89" s="18">
        <f t="shared" si="127"/>
        <v>0</v>
      </c>
      <c r="AE89" s="18">
        <f t="shared" si="128"/>
        <v>0</v>
      </c>
      <c r="AF89" s="18">
        <f t="shared" si="129"/>
        <v>0</v>
      </c>
      <c r="AG89" s="18">
        <f t="shared" si="130"/>
        <v>0</v>
      </c>
      <c r="AH89" s="18">
        <f t="shared" si="131"/>
        <v>15</v>
      </c>
      <c r="AI89" s="18">
        <f t="shared" si="132"/>
        <v>37.5</v>
      </c>
      <c r="AJ89" s="18">
        <f t="shared" si="133"/>
        <v>0</v>
      </c>
      <c r="AK89" s="18">
        <f t="shared" si="134"/>
        <v>0</v>
      </c>
      <c r="AL89" s="18">
        <f t="shared" si="135"/>
        <v>0</v>
      </c>
      <c r="AM89" s="36">
        <f t="shared" si="136"/>
        <v>53</v>
      </c>
      <c r="AN89" s="36">
        <f t="shared" si="137"/>
        <v>0</v>
      </c>
      <c r="AO89" s="183"/>
      <c r="AP89" s="184"/>
      <c r="AQ89" s="184"/>
      <c r="AR89" s="28"/>
      <c r="AS89" s="28"/>
      <c r="AT89" s="163"/>
      <c r="AU89" s="28"/>
      <c r="AV89" s="147"/>
      <c r="AW89" s="147"/>
      <c r="AX89" s="148"/>
      <c r="AY89" s="167"/>
      <c r="AZ89" s="167"/>
      <c r="BB89" s="170"/>
      <c r="BC89" s="202" t="e">
        <f>VLOOKUP(A89,ImportDataWA!A$14:AG$112,33,0)</f>
        <v>#N/A</v>
      </c>
    </row>
    <row r="90" spans="1:56" hidden="1" x14ac:dyDescent="0.25">
      <c r="A90" s="195" t="s">
        <v>70</v>
      </c>
      <c r="B90" s="9" t="str">
        <f>VLOOKUP($A90,MainData!$A$4:$E$1967,2,FALSE)</f>
        <v>Micro</v>
      </c>
      <c r="C90" s="9" t="str">
        <f>VLOOKUP($A90,MainData!$A$4:$E$1967,3,FALSE)</f>
        <v>Hassan Razaq Sebah</v>
      </c>
      <c r="D90" s="9" t="str">
        <f>VLOOKUP($A90,MainData!$A$4:$E$1967,4,FALSE)</f>
        <v>Kut</v>
      </c>
      <c r="E90" s="9" t="str">
        <f>VLOOKUP($A90,MainData!$A$4:$E$1967,5,FALSE)</f>
        <v>Hayder Hashim Mohammed</v>
      </c>
      <c r="F90" s="11">
        <f>SUMIFS(MainData!G:G,MainData!$A:$A,$A90)</f>
        <v>464710.26003501355</v>
      </c>
      <c r="G90" s="11">
        <f t="shared" si="148"/>
        <v>333333.33333333331</v>
      </c>
      <c r="H90" s="53">
        <f t="shared" si="118"/>
        <v>1.3941307801050407</v>
      </c>
      <c r="I90" s="10">
        <f>SUMIFS(MainData!F:F,MainData!$A:$A,$A90)</f>
        <v>238</v>
      </c>
      <c r="J90" s="10">
        <f t="shared" si="192"/>
        <v>400</v>
      </c>
      <c r="K90" s="53">
        <f t="shared" si="119"/>
        <v>0.59499999999999997</v>
      </c>
      <c r="L90" s="11">
        <f>SUMIFS(MainData!K:K,MainData!$A:$A,$A90)</f>
        <v>26704.545454545456</v>
      </c>
      <c r="M90" s="11">
        <f t="shared" si="151"/>
        <v>56818.18</v>
      </c>
      <c r="N90" s="53">
        <f t="shared" si="120"/>
        <v>0.4700000150400005</v>
      </c>
      <c r="O90" s="256">
        <f>SUMIFS(MainData!J:J,MainData!$A:$A,$A90)</f>
        <v>8</v>
      </c>
      <c r="P90" s="10">
        <f>IF($B90=$B$4,0,IF($B90=$B$1,VLOOKUP(D90,Target_Entry!$A$8:$AF$23,5,0),IF(LO!B90=LO!$B$2,VLOOKUP(LO!D90,Target_Entry!$A$8:$AF$23,25,0),IF(LO!B90=LO!$B$3,VLOOKUP(LO!D90,Target_Entry!$A$8:$AF$23,15,0)))))</f>
        <v>15</v>
      </c>
      <c r="Q90" s="53">
        <f t="shared" si="121"/>
        <v>0.53333333333333333</v>
      </c>
      <c r="R90" s="10">
        <f>SUMIFS(MainData!J:J,MainData!$A:$A,$A90)</f>
        <v>8</v>
      </c>
      <c r="S90" s="10">
        <f>SUMIFS(MainData!M:M,MainData!$A:$A,$A90)</f>
        <v>4</v>
      </c>
      <c r="T90" s="53">
        <f t="shared" si="122"/>
        <v>0.5</v>
      </c>
      <c r="U90" s="10">
        <f>SUMIFS(MainData!L:L,MainData!$A:$A,$A90)</f>
        <v>8</v>
      </c>
      <c r="V90" s="12">
        <f t="shared" si="123"/>
        <v>1</v>
      </c>
      <c r="W90" s="10">
        <f>SUMIFS(MainData!F:F,MainData!$A:$A,$A90)</f>
        <v>238</v>
      </c>
      <c r="X90" s="12">
        <f t="shared" si="124"/>
        <v>0.95199999999999996</v>
      </c>
      <c r="Y90" s="11">
        <f>SUMIFS(MainData!H:H,MainData!$A:$A,$A90)</f>
        <v>11084.950363636361</v>
      </c>
      <c r="Z90" s="12">
        <f t="shared" si="125"/>
        <v>2.3853465948441004E-2</v>
      </c>
      <c r="AA90" s="11">
        <f>SUMIFS(MainData!I:I,MainData!$A:$A,$A90)</f>
        <v>26809.139618513724</v>
      </c>
      <c r="AB90" s="12">
        <f t="shared" si="126"/>
        <v>5.7690010150612536E-2</v>
      </c>
      <c r="AC90" s="182"/>
      <c r="AD90" s="18">
        <f t="shared" si="127"/>
        <v>10</v>
      </c>
      <c r="AE90" s="18">
        <f t="shared" si="128"/>
        <v>0</v>
      </c>
      <c r="AF90" s="18">
        <f t="shared" si="129"/>
        <v>0</v>
      </c>
      <c r="AG90" s="18">
        <f t="shared" si="130"/>
        <v>0</v>
      </c>
      <c r="AH90" s="18">
        <f t="shared" si="131"/>
        <v>7.8439602154676997</v>
      </c>
      <c r="AI90" s="18">
        <f t="shared" si="132"/>
        <v>23.077497462346866</v>
      </c>
      <c r="AJ90" s="18">
        <f t="shared" si="133"/>
        <v>4.5199999999999996</v>
      </c>
      <c r="AK90" s="18">
        <f t="shared" si="134"/>
        <v>2.9999999999999991</v>
      </c>
      <c r="AL90" s="18">
        <f t="shared" si="135"/>
        <v>5</v>
      </c>
      <c r="AM90" s="36">
        <f t="shared" si="136"/>
        <v>53</v>
      </c>
      <c r="AN90" s="36">
        <f t="shared" si="137"/>
        <v>0</v>
      </c>
      <c r="AO90" s="183">
        <v>751</v>
      </c>
      <c r="AP90" s="184">
        <v>0</v>
      </c>
      <c r="AQ90" s="184">
        <v>0</v>
      </c>
      <c r="AR90" s="28">
        <f>SUM(AO90:AQ90)</f>
        <v>751</v>
      </c>
      <c r="AS90" s="28">
        <f>IF(AO90&gt;0,ROUNDUP($AO90*AS$3,0),0)</f>
        <v>601</v>
      </c>
      <c r="AT90" s="163">
        <f>AR90-AS90</f>
        <v>150</v>
      </c>
      <c r="AU90" s="28">
        <f>IF(AO90&gt;0,ROUND(AN90/$AN$1*AU$3,0),0)</f>
        <v>0</v>
      </c>
      <c r="AV90" s="147">
        <f>AU90+AS90</f>
        <v>601</v>
      </c>
      <c r="AW90" s="147">
        <f>AV90-AR90</f>
        <v>-150</v>
      </c>
      <c r="AX90" s="148">
        <f>IFERROR(AV90/AR90,0)</f>
        <v>0.80026631158455397</v>
      </c>
      <c r="AY90" s="167">
        <f>AU90</f>
        <v>0</v>
      </c>
      <c r="AZ90" s="167">
        <f>IF(O90&lt;18,IF(AND(I90&gt;0,I90&lt;=60),60,IF(AND(I90&gt;60,I90&lt;=120),70,IF(AND(I90&gt;120,I90&lt;=200),80,IF(I90&gt;200,90,0)))),IF(O90&gt;=18,IF(AND(I90&gt;0,I90&lt;=60),70,IF(AND(I90&gt;60,I90&lt;=120),80,IF(AND(I90&gt;120,I90&lt;=200),90,100)))))</f>
        <v>90</v>
      </c>
      <c r="BB90" s="170">
        <f>AU90-AY90</f>
        <v>0</v>
      </c>
      <c r="BC90" s="202">
        <f>VLOOKUP(A90,ImportDataWA!A$14:AG$112,33,0)</f>
        <v>96.987756130022802</v>
      </c>
      <c r="BD90" s="170">
        <f t="shared" ref="BD90:BD91" si="215">AU90-AY90</f>
        <v>0</v>
      </c>
    </row>
    <row r="91" spans="1:56" hidden="1" x14ac:dyDescent="0.25">
      <c r="A91" s="195" t="s">
        <v>64</v>
      </c>
      <c r="B91" s="9" t="str">
        <f>VLOOKUP($A91,MainData!$A$4:$E$1967,2,FALSE)</f>
        <v>Micro</v>
      </c>
      <c r="C91" s="9" t="str">
        <f>VLOOKUP($A91,MainData!$A$4:$E$1967,3,FALSE)</f>
        <v>Hassan Razaq Sebah</v>
      </c>
      <c r="D91" s="9" t="str">
        <f>VLOOKUP($A91,MainData!$A$4:$E$1967,4,FALSE)</f>
        <v>Kut</v>
      </c>
      <c r="E91" s="9" t="str">
        <f>VLOOKUP($A91,MainData!$A$4:$E$1967,5,FALSE)</f>
        <v>Ammar Jawad hasan</v>
      </c>
      <c r="F91" s="11">
        <f>SUMIFS(MainData!G:G,MainData!$A:$A,$A91)</f>
        <v>681779.60386209772</v>
      </c>
      <c r="G91" s="11">
        <f t="shared" si="148"/>
        <v>333333.33333333331</v>
      </c>
      <c r="H91" s="53">
        <f t="shared" si="118"/>
        <v>2.0453388115862934</v>
      </c>
      <c r="I91" s="10">
        <f>SUMIFS(MainData!F:F,MainData!$A:$A,$A91)</f>
        <v>263</v>
      </c>
      <c r="J91" s="10">
        <f t="shared" si="192"/>
        <v>400</v>
      </c>
      <c r="K91" s="53">
        <f t="shared" si="119"/>
        <v>0.65749999999999997</v>
      </c>
      <c r="L91" s="11">
        <f>SUMIFS(MainData!K:K,MainData!$A:$A,$A91)</f>
        <v>57575.757575757591</v>
      </c>
      <c r="M91" s="11">
        <f t="shared" si="151"/>
        <v>56818.18</v>
      </c>
      <c r="N91" s="53">
        <f t="shared" si="120"/>
        <v>1.0133333657600012</v>
      </c>
      <c r="O91" s="256">
        <f>SUMIFS(MainData!J:J,MainData!$A:$A,$A91)</f>
        <v>15</v>
      </c>
      <c r="P91" s="10">
        <f>IF($B91=$B$4,0,IF($B91=$B$1,VLOOKUP(D91,Target_Entry!$A$8:$AF$23,5,0),IF(LO!B91=LO!$B$2,VLOOKUP(LO!D91,Target_Entry!$A$8:$AF$23,25,0),IF(LO!B91=LO!$B$3,VLOOKUP(LO!D91,Target_Entry!$A$8:$AF$23,15,0)))))</f>
        <v>15</v>
      </c>
      <c r="Q91" s="53">
        <f t="shared" si="121"/>
        <v>1</v>
      </c>
      <c r="R91" s="10">
        <f>SUMIFS(MainData!J:J,MainData!$A:$A,$A91)</f>
        <v>15</v>
      </c>
      <c r="S91" s="10">
        <f>SUMIFS(MainData!M:M,MainData!$A:$A,$A91)</f>
        <v>5</v>
      </c>
      <c r="T91" s="53">
        <f t="shared" si="122"/>
        <v>0.33333333333333331</v>
      </c>
      <c r="U91" s="10">
        <f>SUMIFS(MainData!L:L,MainData!$A:$A,$A91)</f>
        <v>11</v>
      </c>
      <c r="V91" s="12">
        <f t="shared" si="123"/>
        <v>0.73333333333333328</v>
      </c>
      <c r="W91" s="10">
        <f>SUMIFS(MainData!F:F,MainData!$A:$A,$A91)</f>
        <v>263</v>
      </c>
      <c r="X91" s="12">
        <f t="shared" si="124"/>
        <v>1.052</v>
      </c>
      <c r="Y91" s="11">
        <f>SUMIFS(MainData!H:H,MainData!$A:$A,$A91)</f>
        <v>11363.636363636364</v>
      </c>
      <c r="Z91" s="12">
        <f t="shared" si="125"/>
        <v>1.6667609736730794E-2</v>
      </c>
      <c r="AA91" s="11">
        <f>SUMIFS(MainData!I:I,MainData!$A:$A,$A91)</f>
        <v>4823.4842196969694</v>
      </c>
      <c r="AB91" s="12">
        <f t="shared" si="126"/>
        <v>7.0748438239765917E-3</v>
      </c>
      <c r="AC91" s="182"/>
      <c r="AD91" s="18">
        <f t="shared" si="127"/>
        <v>10</v>
      </c>
      <c r="AE91" s="18">
        <f t="shared" si="128"/>
        <v>0</v>
      </c>
      <c r="AF91" s="18">
        <f t="shared" si="129"/>
        <v>31.333336576000118</v>
      </c>
      <c r="AG91" s="18">
        <f t="shared" si="130"/>
        <v>0</v>
      </c>
      <c r="AH91" s="18">
        <f t="shared" si="131"/>
        <v>9.9997170789807619</v>
      </c>
      <c r="AI91" s="18">
        <f t="shared" si="132"/>
        <v>35.731289044005848</v>
      </c>
      <c r="AJ91" s="18">
        <f t="shared" si="133"/>
        <v>5</v>
      </c>
      <c r="AK91" s="18">
        <f t="shared" si="134"/>
        <v>1.3333333333333333</v>
      </c>
      <c r="AL91" s="18">
        <f t="shared" si="135"/>
        <v>5</v>
      </c>
      <c r="AM91" s="36">
        <f t="shared" si="136"/>
        <v>98</v>
      </c>
      <c r="AN91" s="36">
        <f t="shared" si="137"/>
        <v>98</v>
      </c>
      <c r="AO91" s="183"/>
      <c r="AP91" s="184"/>
      <c r="AQ91" s="184"/>
      <c r="AR91" s="28">
        <f>SUM(AO91:AQ91)</f>
        <v>0</v>
      </c>
      <c r="AS91" s="28">
        <f>IF(AO91&gt;0,ROUNDUP($AO91*AS$3,0),0)</f>
        <v>0</v>
      </c>
      <c r="AT91" s="28">
        <f>AR91-AS91</f>
        <v>0</v>
      </c>
      <c r="AU91" s="28">
        <f>IF(AO91&gt;0,ROUND(AN91/$AN$1*AU$3,0),0)</f>
        <v>0</v>
      </c>
      <c r="AV91" s="147">
        <f>AU91+AS91</f>
        <v>0</v>
      </c>
      <c r="AW91" s="147">
        <f>AV91-AR91</f>
        <v>0</v>
      </c>
      <c r="AX91" s="148">
        <f>IFERROR(AV91/AR91,0)</f>
        <v>0</v>
      </c>
      <c r="AY91" s="167">
        <f>IF(O91&lt;3,0,0)+IF(O91=3,300,0)+IF(O91=4,400,0)+IF(O91=5,500,0)+IF(O91=6,600,0)</f>
        <v>0</v>
      </c>
      <c r="AZ91" s="167">
        <f>IF(O91&lt;3,75)+IF(O91=3,150)+IF(O91=4,150)+IF(O91=5,150)+IF(O91&gt;=6,200)</f>
        <v>200</v>
      </c>
      <c r="BA91">
        <v>101</v>
      </c>
      <c r="BB91" s="170">
        <f>AU91-AY91</f>
        <v>0</v>
      </c>
      <c r="BC91" s="202">
        <f>VLOOKUP(A91,ImportDataWA!A$14:AG$112,33,0)</f>
        <v>99.298694248851675</v>
      </c>
      <c r="BD91" s="170">
        <f t="shared" si="215"/>
        <v>0</v>
      </c>
    </row>
    <row r="92" spans="1:56" hidden="1" x14ac:dyDescent="0.25">
      <c r="A92" s="195" t="s">
        <v>74</v>
      </c>
      <c r="B92" s="9" t="str">
        <f>VLOOKUP($A92,MainData!$A$4:$E$1967,2,FALSE)</f>
        <v>Micro</v>
      </c>
      <c r="C92" s="9" t="str">
        <f>VLOOKUP($A92,MainData!$A$4:$E$1967,3,FALSE)</f>
        <v>Hassan Razaq Sebah</v>
      </c>
      <c r="D92" s="9" t="str">
        <f>VLOOKUP($A92,MainData!$A$4:$E$1967,4,FALSE)</f>
        <v>Kut</v>
      </c>
      <c r="E92" s="9" t="str">
        <f>VLOOKUP($A92,MainData!$A$4:$E$1967,5,FALSE)</f>
        <v>Hayder Hashim Mohammed</v>
      </c>
      <c r="F92" s="11">
        <f>SUMIFS(MainData!G:G,MainData!$A:$A,$A92)</f>
        <v>466281.83719301998</v>
      </c>
      <c r="G92" s="11">
        <f t="shared" si="148"/>
        <v>333333.33333333331</v>
      </c>
      <c r="H92" s="53">
        <f t="shared" si="118"/>
        <v>1.3988455115790601</v>
      </c>
      <c r="I92" s="10">
        <f>SUMIFS(MainData!F:F,MainData!$A:$A,$A92)</f>
        <v>245</v>
      </c>
      <c r="J92" s="10">
        <f t="shared" si="192"/>
        <v>400</v>
      </c>
      <c r="K92" s="53">
        <f t="shared" si="119"/>
        <v>0.61250000000000004</v>
      </c>
      <c r="L92" s="11">
        <f>SUMIFS(MainData!K:K,MainData!$A:$A,$A92)</f>
        <v>57575.757575757591</v>
      </c>
      <c r="M92" s="11">
        <f t="shared" si="151"/>
        <v>56818.18</v>
      </c>
      <c r="N92" s="53">
        <f t="shared" si="120"/>
        <v>1.0133333657600012</v>
      </c>
      <c r="O92" s="256">
        <f>SUMIFS(MainData!J:J,MainData!$A:$A,$A92)</f>
        <v>15</v>
      </c>
      <c r="P92" s="10">
        <f>IF($B92=$B$4,0,IF($B92=$B$1,VLOOKUP(D92,Target_Entry!$A$8:$AF$23,5,0),IF(LO!B92=LO!$B$2,VLOOKUP(LO!D92,Target_Entry!$A$8:$AF$23,25,0),IF(LO!B92=LO!$B$3,VLOOKUP(LO!D92,Target_Entry!$A$8:$AF$23,15,0)))))</f>
        <v>15</v>
      </c>
      <c r="Q92" s="53">
        <f t="shared" si="121"/>
        <v>1</v>
      </c>
      <c r="R92" s="10">
        <f>SUMIFS(MainData!J:J,MainData!$A:$A,$A92)</f>
        <v>15</v>
      </c>
      <c r="S92" s="10">
        <f>SUMIFS(MainData!M:M,MainData!$A:$A,$A92)</f>
        <v>8</v>
      </c>
      <c r="T92" s="53">
        <f t="shared" si="122"/>
        <v>0.53333333333333333</v>
      </c>
      <c r="U92" s="10">
        <f>SUMIFS(MainData!L:L,MainData!$A:$A,$A92)</f>
        <v>12</v>
      </c>
      <c r="V92" s="12">
        <f t="shared" si="123"/>
        <v>0.8</v>
      </c>
      <c r="W92" s="10">
        <f>SUMIFS(MainData!F:F,MainData!$A:$A,$A92)</f>
        <v>245</v>
      </c>
      <c r="X92" s="12">
        <f t="shared" si="124"/>
        <v>0.98</v>
      </c>
      <c r="Y92" s="11">
        <f>SUMIFS(MainData!H:H,MainData!$A:$A,$A92)</f>
        <v>0</v>
      </c>
      <c r="Z92" s="12">
        <f t="shared" si="125"/>
        <v>0</v>
      </c>
      <c r="AA92" s="11">
        <f>SUMIFS(MainData!I:I,MainData!$A:$A,$A92)</f>
        <v>0</v>
      </c>
      <c r="AB92" s="12">
        <f>IFERROR(AA92/$F92,0)</f>
        <v>0</v>
      </c>
      <c r="AC92" s="182"/>
      <c r="AD92" s="18">
        <f t="shared" si="127"/>
        <v>10</v>
      </c>
      <c r="AE92" s="18">
        <f t="shared" si="128"/>
        <v>0</v>
      </c>
      <c r="AF92" s="18">
        <f t="shared" si="129"/>
        <v>31.333336576000118</v>
      </c>
      <c r="AG92" s="18">
        <f t="shared" si="130"/>
        <v>0</v>
      </c>
      <c r="AH92" s="18">
        <f t="shared" si="131"/>
        <v>15</v>
      </c>
      <c r="AI92" s="18">
        <f t="shared" si="132"/>
        <v>37.5</v>
      </c>
      <c r="AJ92" s="18">
        <f t="shared" si="133"/>
        <v>4.8</v>
      </c>
      <c r="AK92" s="18">
        <f t="shared" si="134"/>
        <v>3.3333333333333339</v>
      </c>
      <c r="AL92" s="18">
        <f t="shared" si="135"/>
        <v>5</v>
      </c>
      <c r="AM92" s="36">
        <f t="shared" si="136"/>
        <v>107</v>
      </c>
      <c r="AN92" s="36">
        <f t="shared" si="137"/>
        <v>107</v>
      </c>
      <c r="AO92" s="183">
        <v>731</v>
      </c>
      <c r="AP92" s="184">
        <v>0</v>
      </c>
      <c r="AQ92" s="184">
        <v>5</v>
      </c>
      <c r="AR92" s="28">
        <f t="shared" ref="AR92:AR97" si="216">SUM(AO92:AQ92)</f>
        <v>736</v>
      </c>
      <c r="AS92" s="28">
        <f t="shared" ref="AS92:AS97" si="217">IF(AO92&gt;0,ROUNDUP($AO92*AS$3,0),0)</f>
        <v>585</v>
      </c>
      <c r="AT92" s="163">
        <f t="shared" ref="AT92:AT97" si="218">AR92-AS92</f>
        <v>151</v>
      </c>
      <c r="AU92" s="28">
        <f t="shared" ref="AU92:AU97" si="219">IF(AO92&gt;0,ROUND(AN92/$AN$1*AU$3,0),0)</f>
        <v>696</v>
      </c>
      <c r="AV92" s="147">
        <f t="shared" ref="AV92:AV97" si="220">AU92+AS92</f>
        <v>1281</v>
      </c>
      <c r="AW92" s="147">
        <f t="shared" ref="AW92:AW97" si="221">AV92-AR92</f>
        <v>545</v>
      </c>
      <c r="AX92" s="148">
        <f t="shared" ref="AX92:AX97" si="222">IFERROR(AV92/AR92,0)</f>
        <v>1.7404891304347827</v>
      </c>
      <c r="AY92" s="167">
        <f t="shared" ref="AY92:AY97" si="223">AU92</f>
        <v>696</v>
      </c>
      <c r="AZ92" s="167">
        <f t="shared" ref="AZ92:AZ97" si="224">IF(O92&lt;18,IF(AND(I92&gt;0,I92&lt;=60),60,IF(AND(I92&gt;60,I92&lt;=120),70,IF(AND(I92&gt;120,I92&lt;=200),80,IF(I92&gt;200,90,0)))),IF(O92&gt;=18,IF(AND(I92&gt;0,I92&lt;=60),70,IF(AND(I92&gt;60,I92&lt;=120),80,IF(AND(I92&gt;120,I92&lt;=200),90,100)))))</f>
        <v>90</v>
      </c>
      <c r="BB92" s="170">
        <f>AU92-AY92</f>
        <v>0</v>
      </c>
      <c r="BC92" s="202">
        <f>VLOOKUP(A92,ImportDataWA!A$14:AG$112,33,0)</f>
        <v>100.00000000000004</v>
      </c>
      <c r="BD92" s="170">
        <f t="shared" ref="BD92:BD97" si="225">AU92-AY92</f>
        <v>0</v>
      </c>
    </row>
    <row r="93" spans="1:56" hidden="1" x14ac:dyDescent="0.25">
      <c r="A93" s="248" t="s">
        <v>416</v>
      </c>
      <c r="B93" s="81" t="str">
        <f>VLOOKUP($A93,MainData!$A$4:$E$1967,2,FALSE)</f>
        <v>Inactive</v>
      </c>
      <c r="C93" s="81" t="str">
        <f>VLOOKUP($A93,MainData!$A$4:$E$1967,3,FALSE)</f>
        <v>Inactive</v>
      </c>
      <c r="D93" s="81" t="str">
        <f>VLOOKUP($A93,MainData!$A$4:$E$1967,4,FALSE)</f>
        <v>Kut</v>
      </c>
      <c r="E93" s="81" t="str">
        <f>VLOOKUP($A93,MainData!$A$4:$E$1967,5,FALSE)</f>
        <v>Inactive</v>
      </c>
      <c r="F93" s="11">
        <f>SUMIFS(MainData!G:G,MainData!$A:$A,$A93)</f>
        <v>0</v>
      </c>
      <c r="G93" s="11">
        <f t="shared" si="148"/>
        <v>0</v>
      </c>
      <c r="H93" s="53">
        <f t="shared" ref="H93" si="226">IFERROR(F93/G93,0)</f>
        <v>0</v>
      </c>
      <c r="I93" s="10">
        <f>SUMIFS(MainData!F:F,MainData!$A:$A,$A93)</f>
        <v>0</v>
      </c>
      <c r="J93" s="10">
        <f t="shared" si="192"/>
        <v>0</v>
      </c>
      <c r="K93" s="53">
        <f t="shared" ref="K93" si="227">IFERROR(I93/J93,0)</f>
        <v>0</v>
      </c>
      <c r="L93" s="11">
        <f>SUMIFS(MainData!K:K,MainData!$A:$A,$A93)</f>
        <v>0</v>
      </c>
      <c r="M93" s="11">
        <f t="shared" si="151"/>
        <v>0</v>
      </c>
      <c r="N93" s="53">
        <f t="shared" ref="N93" si="228">IFERROR(L93/M93,0)</f>
        <v>0</v>
      </c>
      <c r="O93" s="256">
        <f>SUMIFS(MainData!J:J,MainData!$A:$A,$A93)</f>
        <v>0</v>
      </c>
      <c r="P93" s="10">
        <f>IF($B93=$B$4,0,IF($B93=$B$1,VLOOKUP(D93,Target_Entry!$A$8:$AF$23,5,0),IF(LO!B93=LO!$B$2,VLOOKUP(LO!D93,Target_Entry!$A$8:$AF$23,25,0),IF(LO!B93=LO!$B$3,VLOOKUP(LO!D93,Target_Entry!$A$8:$AF$23,15,0)))))</f>
        <v>0</v>
      </c>
      <c r="Q93" s="53">
        <f t="shared" ref="Q93" si="229">IFERROR(O93/P93,0)</f>
        <v>0</v>
      </c>
      <c r="R93" s="10">
        <f>SUMIFS(MainData!J:J,MainData!$A:$A,$A93)</f>
        <v>0</v>
      </c>
      <c r="S93" s="10">
        <f>SUMIFS(MainData!M:M,MainData!$A:$A,$A93)</f>
        <v>0</v>
      </c>
      <c r="T93" s="53">
        <f t="shared" ref="T93" si="230">IFERROR(S93/R93,0)</f>
        <v>0</v>
      </c>
      <c r="U93" s="10">
        <f>SUMIFS(MainData!L:L,MainData!$A:$A,$A93)</f>
        <v>0</v>
      </c>
      <c r="V93" s="12">
        <f t="shared" ref="V93" si="231">IFERROR(U93/R93,0)</f>
        <v>0</v>
      </c>
      <c r="W93" s="10">
        <f>SUMIFS(MainData!F:F,MainData!$A:$A,$A93)</f>
        <v>0</v>
      </c>
      <c r="X93" s="12">
        <f t="shared" ref="X93" si="232">IF($B93=$B$2,W93/X$3,W93/X$2)</f>
        <v>0</v>
      </c>
      <c r="Y93" s="11">
        <f>SUMIFS(MainData!H:H,MainData!$A:$A,$A93)</f>
        <v>0</v>
      </c>
      <c r="Z93" s="12">
        <f t="shared" ref="Z93" si="233">IFERROR(Y93/$F93,0)</f>
        <v>0</v>
      </c>
      <c r="AA93" s="11">
        <f>SUMIFS(MainData!I:I,MainData!$A:$A,$A93)</f>
        <v>0</v>
      </c>
      <c r="AB93" s="12">
        <f t="shared" ref="AB93" si="234">IFERROR(AA93/$F93,0)</f>
        <v>0</v>
      </c>
      <c r="AC93" s="182"/>
      <c r="AD93" s="18"/>
      <c r="AE93" s="18"/>
      <c r="AF93" s="18"/>
      <c r="AG93" s="18"/>
      <c r="AH93" s="18"/>
      <c r="AI93" s="18"/>
      <c r="AJ93" s="18"/>
      <c r="AK93" s="18"/>
      <c r="AL93" s="18"/>
      <c r="AM93" s="36"/>
      <c r="AN93" s="36"/>
      <c r="AO93" s="183"/>
      <c r="AP93" s="184"/>
      <c r="AQ93" s="184"/>
      <c r="AR93" s="28"/>
      <c r="AS93" s="28"/>
      <c r="AT93" s="163"/>
      <c r="AU93" s="28"/>
      <c r="AV93" s="147"/>
      <c r="AW93" s="147"/>
      <c r="AX93" s="148"/>
      <c r="AY93" s="167"/>
      <c r="AZ93" s="167"/>
      <c r="BB93" s="170"/>
      <c r="BC93" s="202"/>
      <c r="BD93" s="170"/>
    </row>
    <row r="94" spans="1:56" hidden="1" x14ac:dyDescent="0.25">
      <c r="A94" s="230" t="s">
        <v>94</v>
      </c>
      <c r="B94" s="9" t="str">
        <f>VLOOKUP($A94,MainData!$A$4:$E$1967,2,FALSE)</f>
        <v>VSE</v>
      </c>
      <c r="C94" s="9" t="str">
        <f>VLOOKUP($A94,MainData!$A$4:$E$1967,3,FALSE)</f>
        <v>Ali Kareem Hadhil</v>
      </c>
      <c r="D94" s="9" t="str">
        <f>VLOOKUP($A94,MainData!$A$4:$E$1967,4,FALSE)</f>
        <v>Kut</v>
      </c>
      <c r="E94" s="9" t="str">
        <f>VLOOKUP($A94,MainData!$A$4:$E$1967,5,FALSE)</f>
        <v>Hayder Hashim Mohammed</v>
      </c>
      <c r="F94" s="11">
        <f>SUMIFS(MainData!G:G,MainData!$A:$A,$A94)</f>
        <v>566758.54878814006</v>
      </c>
      <c r="G94" s="11">
        <f t="shared" si="148"/>
        <v>777777.77777777775</v>
      </c>
      <c r="H94" s="53">
        <f t="shared" si="118"/>
        <v>0.72868956272760865</v>
      </c>
      <c r="I94" s="10">
        <f>SUMIFS(MainData!F:F,MainData!$A:$A,$A94)</f>
        <v>262</v>
      </c>
      <c r="J94" s="10">
        <f t="shared" si="192"/>
        <v>889</v>
      </c>
      <c r="K94" s="53">
        <f t="shared" si="119"/>
        <v>0.29471316085489313</v>
      </c>
      <c r="L94" s="11">
        <f>SUMIFS(MainData!K:K,MainData!$A:$A,$A94)</f>
        <v>56818.181818181823</v>
      </c>
      <c r="M94" s="11">
        <f t="shared" si="151"/>
        <v>79545.45</v>
      </c>
      <c r="N94" s="53">
        <f t="shared" si="120"/>
        <v>0.71428575510204328</v>
      </c>
      <c r="O94" s="256">
        <f>SUMIFS(MainData!J:J,MainData!$A:$A,$A94)</f>
        <v>16</v>
      </c>
      <c r="P94" s="10">
        <f>IF($B94=$B$4,0,IF($B94=$B$1,VLOOKUP(D94,Target_Entry!$A$8:$AF$23,5,0),IF(LO!B94=LO!$B$2,VLOOKUP(LO!D94,Target_Entry!$A$8:$AF$23,25,0),IF(LO!B94=LO!$B$3,VLOOKUP(LO!D94,Target_Entry!$A$8:$AF$23,15,0)))))</f>
        <v>8</v>
      </c>
      <c r="Q94" s="53">
        <f t="shared" si="121"/>
        <v>2</v>
      </c>
      <c r="R94" s="10">
        <f>SUMIFS(MainData!J:J,MainData!$A:$A,$A94)</f>
        <v>16</v>
      </c>
      <c r="S94" s="10">
        <f>SUMIFS(MainData!M:M,MainData!$A:$A,$A94)</f>
        <v>9</v>
      </c>
      <c r="T94" s="53">
        <f t="shared" si="122"/>
        <v>0.5625</v>
      </c>
      <c r="U94" s="10">
        <f>SUMIFS(MainData!L:L,MainData!$A:$A,$A94)</f>
        <v>10</v>
      </c>
      <c r="V94" s="12">
        <f t="shared" si="123"/>
        <v>0.625</v>
      </c>
      <c r="W94" s="10">
        <f>SUMIFS(MainData!F:F,MainData!$A:$A,$A94)</f>
        <v>262</v>
      </c>
      <c r="X94" s="12">
        <f t="shared" si="124"/>
        <v>1.048</v>
      </c>
      <c r="Y94" s="11">
        <f>SUMIFS(MainData!H:H,MainData!$A:$A,$A94)</f>
        <v>18851.833761441812</v>
      </c>
      <c r="Z94" s="12">
        <f t="shared" si="125"/>
        <v>3.3262548578669636E-2</v>
      </c>
      <c r="AA94" s="11">
        <f>SUMIFS(MainData!I:I,MainData!$A:$A,$A94)</f>
        <v>1389.0218787878787</v>
      </c>
      <c r="AB94" s="231">
        <f t="shared" si="126"/>
        <v>2.4508176925746006E-3</v>
      </c>
      <c r="AC94" s="182"/>
      <c r="AD94" s="18">
        <f t="shared" si="127"/>
        <v>0.95631875758695362</v>
      </c>
      <c r="AE94" s="18">
        <f t="shared" si="128"/>
        <v>0</v>
      </c>
      <c r="AF94" s="18">
        <f t="shared" si="129"/>
        <v>1.4285755102043218</v>
      </c>
      <c r="AG94" s="18">
        <f t="shared" si="130"/>
        <v>0</v>
      </c>
      <c r="AH94" s="18">
        <f t="shared" si="131"/>
        <v>5.0212354263991106</v>
      </c>
      <c r="AI94" s="18">
        <f t="shared" si="132"/>
        <v>36.887295576856353</v>
      </c>
      <c r="AJ94" s="18">
        <f t="shared" si="133"/>
        <v>5</v>
      </c>
      <c r="AK94" s="18">
        <f t="shared" si="134"/>
        <v>3.6250000000000004</v>
      </c>
      <c r="AL94" s="18">
        <f t="shared" si="135"/>
        <v>5</v>
      </c>
      <c r="AM94" s="36">
        <f t="shared" si="136"/>
        <v>58</v>
      </c>
      <c r="AN94" s="36">
        <f t="shared" si="137"/>
        <v>58</v>
      </c>
      <c r="AO94" s="183">
        <v>785</v>
      </c>
      <c r="AP94" s="184">
        <v>0</v>
      </c>
      <c r="AQ94" s="184">
        <v>5</v>
      </c>
      <c r="AR94" s="28">
        <f t="shared" si="216"/>
        <v>790</v>
      </c>
      <c r="AS94" s="28">
        <f t="shared" si="217"/>
        <v>628</v>
      </c>
      <c r="AT94" s="163">
        <f t="shared" si="218"/>
        <v>162</v>
      </c>
      <c r="AU94" s="28">
        <f t="shared" si="219"/>
        <v>377</v>
      </c>
      <c r="AV94" s="147">
        <f t="shared" si="220"/>
        <v>1005</v>
      </c>
      <c r="AW94" s="147">
        <f t="shared" si="221"/>
        <v>215</v>
      </c>
      <c r="AX94" s="148">
        <f t="shared" si="222"/>
        <v>1.2721518987341771</v>
      </c>
      <c r="AY94" s="167">
        <f t="shared" si="223"/>
        <v>377</v>
      </c>
      <c r="AZ94" s="167">
        <f t="shared" si="224"/>
        <v>90</v>
      </c>
      <c r="BB94" s="170">
        <f t="shared" ref="BB94:BB102" si="235">AU94-AY94</f>
        <v>0</v>
      </c>
      <c r="BC94" s="202">
        <f>VLOOKUP(A94,ImportDataWA!A$14:AG$112,33,0)</f>
        <v>99.443911223362647</v>
      </c>
      <c r="BD94" s="170">
        <f t="shared" si="225"/>
        <v>0</v>
      </c>
    </row>
    <row r="95" spans="1:56" hidden="1" x14ac:dyDescent="0.25">
      <c r="A95" s="197" t="s">
        <v>99</v>
      </c>
      <c r="B95" s="9" t="str">
        <f>VLOOKUP($A95,MainData!$A$4:$E$1967,2,FALSE)</f>
        <v>Micro</v>
      </c>
      <c r="C95" s="9" t="str">
        <f>VLOOKUP($A95,MainData!$A$4:$E$1967,3,FALSE)</f>
        <v>Hassan Razaq Sebah</v>
      </c>
      <c r="D95" s="9" t="str">
        <f>VLOOKUP($A95,MainData!$A$4:$E$1967,4,FALSE)</f>
        <v>Kut</v>
      </c>
      <c r="E95" s="9" t="str">
        <f>VLOOKUP($A95,MainData!$A$4:$E$1967,5,FALSE)</f>
        <v>Hayder Hashim Mohammed</v>
      </c>
      <c r="F95" s="11">
        <f>SUMIFS(MainData!G:G,MainData!$A:$A,$A95)</f>
        <v>748599.56802059198</v>
      </c>
      <c r="G95" s="11">
        <f t="shared" si="148"/>
        <v>333333.33333333331</v>
      </c>
      <c r="H95" s="53">
        <f t="shared" si="118"/>
        <v>2.2457987040617762</v>
      </c>
      <c r="I95" s="10">
        <f>SUMIFS(MainData!F:F,MainData!$A:$A,$A95)</f>
        <v>339</v>
      </c>
      <c r="J95" s="10">
        <f t="shared" si="192"/>
        <v>400</v>
      </c>
      <c r="K95" s="53">
        <f t="shared" si="119"/>
        <v>0.84750000000000003</v>
      </c>
      <c r="L95" s="11">
        <f>SUMIFS(MainData!K:K,MainData!$A:$A,$A95)</f>
        <v>63257.575757575774</v>
      </c>
      <c r="M95" s="11">
        <f t="shared" si="151"/>
        <v>56818.18</v>
      </c>
      <c r="N95" s="53">
        <f t="shared" si="120"/>
        <v>1.1133333689600013</v>
      </c>
      <c r="O95" s="256">
        <f>SUMIFS(MainData!J:J,MainData!$A:$A,$A95)</f>
        <v>18</v>
      </c>
      <c r="P95" s="10">
        <f>IF($B95=$B$4,0,IF($B95=$B$1,VLOOKUP(D95,Target_Entry!$A$8:$AF$23,5,0),IF(LO!B95=LO!$B$2,VLOOKUP(LO!D95,Target_Entry!$A$8:$AF$23,25,0),IF(LO!B95=LO!$B$3,VLOOKUP(LO!D95,Target_Entry!$A$8:$AF$23,15,0)))))</f>
        <v>15</v>
      </c>
      <c r="Q95" s="53">
        <f t="shared" si="121"/>
        <v>1.2</v>
      </c>
      <c r="R95" s="10">
        <f>SUMIFS(MainData!J:J,MainData!$A:$A,$A95)</f>
        <v>18</v>
      </c>
      <c r="S95" s="10">
        <f>SUMIFS(MainData!M:M,MainData!$A:$A,$A95)</f>
        <v>10</v>
      </c>
      <c r="T95" s="53">
        <f t="shared" si="122"/>
        <v>0.55555555555555558</v>
      </c>
      <c r="U95" s="10">
        <f>SUMIFS(MainData!L:L,MainData!$A:$A,$A95)</f>
        <v>13</v>
      </c>
      <c r="V95" s="12">
        <f t="shared" si="123"/>
        <v>0.72222222222222221</v>
      </c>
      <c r="W95" s="10">
        <f>SUMIFS(MainData!F:F,MainData!$A:$A,$A95)</f>
        <v>339</v>
      </c>
      <c r="X95" s="12">
        <f t="shared" si="124"/>
        <v>1.3560000000000001</v>
      </c>
      <c r="Y95" s="11">
        <f>SUMIFS(MainData!H:H,MainData!$A:$A,$A95)</f>
        <v>0</v>
      </c>
      <c r="Z95" s="12">
        <f t="shared" si="125"/>
        <v>0</v>
      </c>
      <c r="AA95" s="11">
        <f>SUMIFS(MainData!I:I,MainData!$A:$A,$A95)</f>
        <v>0</v>
      </c>
      <c r="AB95" s="231">
        <f t="shared" si="126"/>
        <v>0</v>
      </c>
      <c r="AC95" s="182"/>
      <c r="AD95" s="18">
        <f t="shared" si="127"/>
        <v>10</v>
      </c>
      <c r="AE95" s="18">
        <f t="shared" si="128"/>
        <v>0</v>
      </c>
      <c r="AF95" s="18">
        <f t="shared" si="129"/>
        <v>41.33333689600012</v>
      </c>
      <c r="AG95" s="18">
        <f t="shared" si="130"/>
        <v>0</v>
      </c>
      <c r="AH95" s="18">
        <f t="shared" si="131"/>
        <v>15</v>
      </c>
      <c r="AI95" s="18">
        <f t="shared" si="132"/>
        <v>37.5</v>
      </c>
      <c r="AJ95" s="18">
        <f t="shared" si="133"/>
        <v>5</v>
      </c>
      <c r="AK95" s="18">
        <f t="shared" si="134"/>
        <v>3.5555555555555562</v>
      </c>
      <c r="AL95" s="18">
        <f t="shared" si="135"/>
        <v>5</v>
      </c>
      <c r="AM95" s="36">
        <f t="shared" si="136"/>
        <v>117</v>
      </c>
      <c r="AN95" s="36">
        <f t="shared" si="137"/>
        <v>117</v>
      </c>
      <c r="AO95" s="183">
        <v>785</v>
      </c>
      <c r="AP95" s="184">
        <v>174</v>
      </c>
      <c r="AQ95" s="184">
        <v>325</v>
      </c>
      <c r="AR95" s="28">
        <f t="shared" si="216"/>
        <v>1284</v>
      </c>
      <c r="AS95" s="28">
        <f t="shared" si="217"/>
        <v>628</v>
      </c>
      <c r="AT95" s="163">
        <f t="shared" si="218"/>
        <v>656</v>
      </c>
      <c r="AU95" s="28">
        <f t="shared" si="219"/>
        <v>761</v>
      </c>
      <c r="AV95" s="147">
        <f t="shared" si="220"/>
        <v>1389</v>
      </c>
      <c r="AW95" s="147">
        <f t="shared" si="221"/>
        <v>105</v>
      </c>
      <c r="AX95" s="148">
        <f t="shared" si="222"/>
        <v>1.0817757009345794</v>
      </c>
      <c r="AY95" s="167">
        <f t="shared" si="223"/>
        <v>761</v>
      </c>
      <c r="AZ95" s="167">
        <f t="shared" si="224"/>
        <v>100</v>
      </c>
      <c r="BB95" s="170">
        <f t="shared" si="235"/>
        <v>0</v>
      </c>
      <c r="BC95" s="202">
        <f>VLOOKUP(A95,ImportDataWA!A$14:AG$112,33,0)</f>
        <v>99.999999999999986</v>
      </c>
      <c r="BD95" s="170">
        <f t="shared" si="225"/>
        <v>0</v>
      </c>
    </row>
    <row r="96" spans="1:56" hidden="1" x14ac:dyDescent="0.25">
      <c r="A96" s="197" t="s">
        <v>335</v>
      </c>
      <c r="B96" s="9" t="str">
        <f>VLOOKUP($A96,MainData!$A$4:$E$1967,2,FALSE)</f>
        <v>Micro</v>
      </c>
      <c r="C96" s="9" t="str">
        <f>VLOOKUP($A96,MainData!$A$4:$E$1967,3,FALSE)</f>
        <v>Ali Kareem Hadhil</v>
      </c>
      <c r="D96" s="9" t="str">
        <f>VLOOKUP($A96,MainData!$A$4:$E$1967,4,FALSE)</f>
        <v>Kut</v>
      </c>
      <c r="E96" s="9" t="str">
        <f>VLOOKUP($A96,MainData!$A$4:$E$1967,5,FALSE)</f>
        <v>Hayder Hashim Mohammed</v>
      </c>
      <c r="F96" s="11">
        <f>SUMIFS(MainData!G:G,MainData!$A:$A,$A96)</f>
        <v>437711.24467448739</v>
      </c>
      <c r="G96" s="11">
        <f t="shared" si="148"/>
        <v>333333.33333333331</v>
      </c>
      <c r="H96" s="53">
        <f t="shared" si="118"/>
        <v>1.3131337340234623</v>
      </c>
      <c r="I96" s="10">
        <f>SUMIFS(MainData!F:F,MainData!$A:$A,$A96)</f>
        <v>242</v>
      </c>
      <c r="J96" s="10">
        <f t="shared" si="192"/>
        <v>400</v>
      </c>
      <c r="K96" s="53">
        <f t="shared" si="119"/>
        <v>0.60499999999999998</v>
      </c>
      <c r="L96" s="11">
        <f>SUMIFS(MainData!K:K,MainData!$A:$A,$A96)</f>
        <v>15909.090909090908</v>
      </c>
      <c r="M96" s="11">
        <f t="shared" si="151"/>
        <v>56818.18</v>
      </c>
      <c r="N96" s="53">
        <f t="shared" si="120"/>
        <v>0.28000000896000027</v>
      </c>
      <c r="O96" s="256">
        <f>SUMIFS(MainData!J:J,MainData!$A:$A,$A96)</f>
        <v>5</v>
      </c>
      <c r="P96" s="10">
        <f>IF($B96=$B$4,0,IF($B96=$B$1,VLOOKUP(D96,Target_Entry!$A$8:$AF$23,5,0),IF(LO!B96=LO!$B$2,VLOOKUP(LO!D96,Target_Entry!$A$8:$AF$23,25,0),IF(LO!B96=LO!$B$3,VLOOKUP(LO!D96,Target_Entry!$A$8:$AF$23,15,0)))))</f>
        <v>15</v>
      </c>
      <c r="Q96" s="53">
        <f t="shared" si="121"/>
        <v>0.33333333333333331</v>
      </c>
      <c r="R96" s="10">
        <f>SUMIFS(MainData!J:J,MainData!$A:$A,$A96)</f>
        <v>5</v>
      </c>
      <c r="S96" s="10">
        <f>SUMIFS(MainData!M:M,MainData!$A:$A,$A96)</f>
        <v>1</v>
      </c>
      <c r="T96" s="53">
        <f t="shared" si="122"/>
        <v>0.2</v>
      </c>
      <c r="U96" s="10">
        <f>SUMIFS(MainData!L:L,MainData!$A:$A,$A96)</f>
        <v>4</v>
      </c>
      <c r="V96" s="12">
        <f t="shared" si="123"/>
        <v>0.8</v>
      </c>
      <c r="W96" s="10">
        <f>SUMIFS(MainData!F:F,MainData!$A:$A,$A96)</f>
        <v>242</v>
      </c>
      <c r="X96" s="12">
        <f t="shared" si="124"/>
        <v>0.96799999999999997</v>
      </c>
      <c r="Y96" s="11">
        <f>SUMIFS(MainData!H:H,MainData!$A:$A,$A96)</f>
        <v>10606.183548892692</v>
      </c>
      <c r="Z96" s="12">
        <f t="shared" si="125"/>
        <v>2.4231005435513063E-2</v>
      </c>
      <c r="AA96" s="11">
        <f>SUMIFS(MainData!I:I,MainData!$A:$A,$A96)</f>
        <v>8044.0271742424256</v>
      </c>
      <c r="AB96" s="12">
        <f t="shared" si="126"/>
        <v>1.8377474355781118E-2</v>
      </c>
      <c r="AC96" s="182"/>
      <c r="AD96" s="18">
        <f t="shared" si="127"/>
        <v>10</v>
      </c>
      <c r="AE96" s="18">
        <f t="shared" si="128"/>
        <v>0</v>
      </c>
      <c r="AF96" s="18">
        <f t="shared" si="129"/>
        <v>0</v>
      </c>
      <c r="AG96" s="18">
        <f t="shared" si="130"/>
        <v>0</v>
      </c>
      <c r="AH96" s="18">
        <f t="shared" si="131"/>
        <v>7.7306983693460811</v>
      </c>
      <c r="AI96" s="18">
        <f t="shared" si="132"/>
        <v>32.905631411054721</v>
      </c>
      <c r="AJ96" s="18">
        <f t="shared" si="133"/>
        <v>4.68</v>
      </c>
      <c r="AK96" s="18">
        <f t="shared" si="134"/>
        <v>0</v>
      </c>
      <c r="AL96" s="18">
        <f t="shared" si="135"/>
        <v>5</v>
      </c>
      <c r="AM96" s="36">
        <f t="shared" si="136"/>
        <v>60</v>
      </c>
      <c r="AN96" s="36">
        <f t="shared" si="137"/>
        <v>0</v>
      </c>
      <c r="AO96" s="183">
        <v>648</v>
      </c>
      <c r="AP96" s="187"/>
      <c r="AQ96" s="187"/>
      <c r="AR96" s="28">
        <f t="shared" si="216"/>
        <v>648</v>
      </c>
      <c r="AS96" s="28">
        <f t="shared" si="217"/>
        <v>519</v>
      </c>
      <c r="AT96" s="163">
        <f t="shared" si="218"/>
        <v>129</v>
      </c>
      <c r="AU96" s="28">
        <f t="shared" si="219"/>
        <v>0</v>
      </c>
      <c r="AV96" s="147">
        <f t="shared" si="220"/>
        <v>519</v>
      </c>
      <c r="AW96" s="147">
        <f t="shared" si="221"/>
        <v>-129</v>
      </c>
      <c r="AX96" s="148">
        <f t="shared" si="222"/>
        <v>0.80092592592592593</v>
      </c>
      <c r="AY96" s="167">
        <f t="shared" si="223"/>
        <v>0</v>
      </c>
      <c r="AZ96" s="167">
        <f t="shared" si="224"/>
        <v>90</v>
      </c>
      <c r="BB96" s="170">
        <f t="shared" si="235"/>
        <v>0</v>
      </c>
      <c r="BC96" s="202">
        <f>VLOOKUP(A96,ImportDataWA!A$14:AG$112,33,0)</f>
        <v>98.337355322037354</v>
      </c>
      <c r="BD96" s="170">
        <f t="shared" si="225"/>
        <v>0</v>
      </c>
    </row>
    <row r="97" spans="1:56" hidden="1" x14ac:dyDescent="0.25">
      <c r="A97" s="195" t="s">
        <v>110</v>
      </c>
      <c r="B97" s="9" t="str">
        <f>VLOOKUP($A97,MainData!$A$4:$E$1967,2,FALSE)</f>
        <v>Micro</v>
      </c>
      <c r="C97" s="9" t="str">
        <f>VLOOKUP($A97,MainData!$A$4:$E$1967,3,FALSE)</f>
        <v>Ali Kareem Hadhil</v>
      </c>
      <c r="D97" s="9" t="str">
        <f>VLOOKUP($A97,MainData!$A$4:$E$1967,4,FALSE)</f>
        <v>Kut</v>
      </c>
      <c r="E97" s="9" t="str">
        <f>VLOOKUP($A97,MainData!$A$4:$E$1967,5,FALSE)</f>
        <v>Hayder Hashim Mohammed</v>
      </c>
      <c r="F97" s="11">
        <f>SUMIFS(MainData!G:G,MainData!$A:$A,$A97)</f>
        <v>669471.94401297998</v>
      </c>
      <c r="G97" s="11">
        <f t="shared" si="148"/>
        <v>333333.33333333331</v>
      </c>
      <c r="H97" s="53">
        <f t="shared" si="118"/>
        <v>2.0084158320389403</v>
      </c>
      <c r="I97" s="10">
        <f>SUMIFS(MainData!F:F,MainData!$A:$A,$A97)</f>
        <v>328</v>
      </c>
      <c r="J97" s="10">
        <f t="shared" si="192"/>
        <v>400</v>
      </c>
      <c r="K97" s="53">
        <f t="shared" si="119"/>
        <v>0.82</v>
      </c>
      <c r="L97" s="11">
        <f>SUMIFS(MainData!K:K,MainData!$A:$A,$A97)</f>
        <v>50757.575757575774</v>
      </c>
      <c r="M97" s="11">
        <f t="shared" si="151"/>
        <v>56818.18</v>
      </c>
      <c r="N97" s="53">
        <f t="shared" si="120"/>
        <v>0.89333336192000123</v>
      </c>
      <c r="O97" s="256">
        <f>SUMIFS(MainData!J:J,MainData!$A:$A,$A97)</f>
        <v>16</v>
      </c>
      <c r="P97" s="10">
        <f>IF($B97=$B$4,0,IF($B97=$B$1,VLOOKUP(D97,Target_Entry!$A$8:$AF$23,5,0),IF(LO!B97=LO!$B$2,VLOOKUP(LO!D97,Target_Entry!$A$8:$AF$23,25,0),IF(LO!B97=LO!$B$3,VLOOKUP(LO!D97,Target_Entry!$A$8:$AF$23,15,0)))))</f>
        <v>15</v>
      </c>
      <c r="Q97" s="53">
        <f t="shared" si="121"/>
        <v>1.0666666666666667</v>
      </c>
      <c r="R97" s="10">
        <f>SUMIFS(MainData!J:J,MainData!$A:$A,$A97)</f>
        <v>16</v>
      </c>
      <c r="S97" s="10">
        <f>SUMIFS(MainData!M:M,MainData!$A:$A,$A97)</f>
        <v>9</v>
      </c>
      <c r="T97" s="53">
        <f t="shared" si="122"/>
        <v>0.5625</v>
      </c>
      <c r="U97" s="10">
        <f>SUMIFS(MainData!L:L,MainData!$A:$A,$A97)</f>
        <v>12</v>
      </c>
      <c r="V97" s="12">
        <f t="shared" si="123"/>
        <v>0.75</v>
      </c>
      <c r="W97" s="10">
        <f>SUMIFS(MainData!F:F,MainData!$A:$A,$A97)</f>
        <v>328</v>
      </c>
      <c r="X97" s="12">
        <f t="shared" si="124"/>
        <v>1.3120000000000001</v>
      </c>
      <c r="Y97" s="11">
        <f>SUMIFS(MainData!H:H,MainData!$A:$A,$A97)</f>
        <v>18539.823396089225</v>
      </c>
      <c r="Z97" s="12">
        <f t="shared" si="125"/>
        <v>2.7693204415642797E-2</v>
      </c>
      <c r="AA97" s="11">
        <f>SUMIFS(MainData!I:I,MainData!$A:$A,$A97)</f>
        <v>17950.651515151512</v>
      </c>
      <c r="AB97" s="231">
        <f t="shared" si="126"/>
        <v>2.681314979019267E-2</v>
      </c>
      <c r="AC97" s="182"/>
      <c r="AD97" s="18">
        <f t="shared" si="127"/>
        <v>10</v>
      </c>
      <c r="AE97" s="18">
        <f t="shared" si="128"/>
        <v>0</v>
      </c>
      <c r="AF97" s="18">
        <f t="shared" si="129"/>
        <v>19.333336192000115</v>
      </c>
      <c r="AG97" s="18">
        <f t="shared" si="130"/>
        <v>0</v>
      </c>
      <c r="AH97" s="18">
        <f t="shared" si="131"/>
        <v>6.6920386753071615</v>
      </c>
      <c r="AI97" s="18">
        <f t="shared" si="132"/>
        <v>30.796712552451833</v>
      </c>
      <c r="AJ97" s="18">
        <f t="shared" si="133"/>
        <v>5</v>
      </c>
      <c r="AK97" s="18">
        <f t="shared" si="134"/>
        <v>3.6250000000000004</v>
      </c>
      <c r="AL97" s="18">
        <f t="shared" si="135"/>
        <v>5</v>
      </c>
      <c r="AM97" s="36">
        <f t="shared" si="136"/>
        <v>80</v>
      </c>
      <c r="AN97" s="36">
        <f t="shared" si="137"/>
        <v>80</v>
      </c>
      <c r="AO97" s="183">
        <v>1096</v>
      </c>
      <c r="AP97" s="184">
        <v>82</v>
      </c>
      <c r="AQ97" s="184">
        <v>0</v>
      </c>
      <c r="AR97" s="28">
        <f t="shared" si="216"/>
        <v>1178</v>
      </c>
      <c r="AS97" s="28">
        <f t="shared" si="217"/>
        <v>877</v>
      </c>
      <c r="AT97" s="163">
        <f t="shared" si="218"/>
        <v>301</v>
      </c>
      <c r="AU97" s="28">
        <f t="shared" si="219"/>
        <v>520</v>
      </c>
      <c r="AV97" s="147">
        <f t="shared" si="220"/>
        <v>1397</v>
      </c>
      <c r="AW97" s="147">
        <f t="shared" si="221"/>
        <v>219</v>
      </c>
      <c r="AX97" s="148">
        <f t="shared" si="222"/>
        <v>1.1859083191850595</v>
      </c>
      <c r="AY97" s="167">
        <f t="shared" si="223"/>
        <v>520</v>
      </c>
      <c r="AZ97" s="167">
        <f t="shared" si="224"/>
        <v>90</v>
      </c>
      <c r="BB97" s="170">
        <f t="shared" si="235"/>
        <v>0</v>
      </c>
      <c r="BC97" s="202" t="e">
        <f>VLOOKUP(A97,ImportDataWA!A$14:AG$112,33,0)</f>
        <v>#N/A</v>
      </c>
      <c r="BD97" s="170">
        <f t="shared" si="225"/>
        <v>0</v>
      </c>
    </row>
    <row r="98" spans="1:56" hidden="1" x14ac:dyDescent="0.25">
      <c r="A98" s="196" t="s">
        <v>390</v>
      </c>
      <c r="B98" s="189" t="str">
        <f>VLOOKUP($A98,MainData!$A$4:$E$1967,2,FALSE)</f>
        <v>Inactive</v>
      </c>
      <c r="C98" s="189" t="str">
        <f>VLOOKUP($A98,MainData!$A$4:$E$1967,3,FALSE)</f>
        <v>Inactive</v>
      </c>
      <c r="D98" s="189" t="str">
        <f>VLOOKUP($A98,MainData!$A$4:$E$1967,4,FALSE)</f>
        <v>Mansour</v>
      </c>
      <c r="E98" s="189" t="str">
        <f>VLOOKUP($A98,MainData!$A$4:$E$1967,5,FALSE)</f>
        <v>Inactive</v>
      </c>
      <c r="F98" s="11">
        <f>SUMIFS(MainData!G:G,MainData!$A:$A,$A98)</f>
        <v>0</v>
      </c>
      <c r="G98" s="11">
        <f t="shared" si="148"/>
        <v>0</v>
      </c>
      <c r="H98" s="53">
        <f t="shared" si="118"/>
        <v>0</v>
      </c>
      <c r="I98" s="10">
        <f>SUMIFS(MainData!F:F,MainData!$A:$A,$A98)</f>
        <v>0</v>
      </c>
      <c r="J98" s="10">
        <f t="shared" si="192"/>
        <v>0</v>
      </c>
      <c r="K98" s="53">
        <f t="shared" si="119"/>
        <v>0</v>
      </c>
      <c r="L98" s="11">
        <f>SUMIFS(MainData!K:K,MainData!$A:$A,$A98)</f>
        <v>0</v>
      </c>
      <c r="M98" s="11">
        <f t="shared" si="151"/>
        <v>0</v>
      </c>
      <c r="N98" s="53">
        <f t="shared" si="120"/>
        <v>0</v>
      </c>
      <c r="O98" s="256">
        <f>SUMIFS(MainData!J:J,MainData!$A:$A,$A98)</f>
        <v>0</v>
      </c>
      <c r="P98" s="10">
        <f>IF($B98=$B$4,0,IF($B98=$B$1,VLOOKUP(D98,Target_Entry!$A$8:$AF$23,5,0),IF(LO!B98=LO!$B$2,VLOOKUP(LO!D98,Target_Entry!$A$8:$AF$23,25,0),IF(LO!B98=LO!$B$3,VLOOKUP(LO!D98,Target_Entry!$A$8:$AF$23,15,0)))))</f>
        <v>0</v>
      </c>
      <c r="Q98" s="53">
        <f t="shared" si="121"/>
        <v>0</v>
      </c>
      <c r="R98" s="10">
        <f>SUMIFS(MainData!J:J,MainData!$A:$A,$A98)</f>
        <v>0</v>
      </c>
      <c r="S98" s="10">
        <f>SUMIFS(MainData!M:M,MainData!$A:$A,$A98)</f>
        <v>0</v>
      </c>
      <c r="T98" s="53">
        <f t="shared" si="122"/>
        <v>0</v>
      </c>
      <c r="U98" s="10">
        <f>SUMIFS(MainData!L:L,MainData!$A:$A,$A98)</f>
        <v>0</v>
      </c>
      <c r="V98" s="12">
        <f t="shared" si="123"/>
        <v>0</v>
      </c>
      <c r="W98" s="10">
        <f>SUMIFS(MainData!F:F,MainData!$A:$A,$A98)</f>
        <v>0</v>
      </c>
      <c r="X98" s="12">
        <f t="shared" si="124"/>
        <v>0</v>
      </c>
      <c r="Y98" s="11">
        <f>SUMIFS(MainData!H:H,MainData!$A:$A,$A98)</f>
        <v>0</v>
      </c>
      <c r="Z98" s="12">
        <f t="shared" si="125"/>
        <v>0</v>
      </c>
      <c r="AA98" s="11">
        <f>SUMIFS(MainData!I:I,MainData!$A:$A,$A98)</f>
        <v>0</v>
      </c>
      <c r="AB98" s="12">
        <f t="shared" si="126"/>
        <v>0</v>
      </c>
      <c r="AC98" s="182"/>
      <c r="AD98" s="18">
        <f t="shared" si="127"/>
        <v>0</v>
      </c>
      <c r="AE98" s="18">
        <f t="shared" si="128"/>
        <v>0</v>
      </c>
      <c r="AF98" s="18">
        <f t="shared" si="129"/>
        <v>0</v>
      </c>
      <c r="AG98" s="18">
        <f t="shared" si="130"/>
        <v>0</v>
      </c>
      <c r="AH98" s="18">
        <f t="shared" si="131"/>
        <v>15</v>
      </c>
      <c r="AI98" s="18">
        <f t="shared" si="132"/>
        <v>37.5</v>
      </c>
      <c r="AJ98" s="18">
        <f t="shared" si="133"/>
        <v>0</v>
      </c>
      <c r="AK98" s="18">
        <f t="shared" si="134"/>
        <v>0</v>
      </c>
      <c r="AL98" s="18">
        <f t="shared" si="135"/>
        <v>0</v>
      </c>
      <c r="AM98" s="36">
        <f t="shared" si="136"/>
        <v>53</v>
      </c>
      <c r="AN98" s="36">
        <f t="shared" si="137"/>
        <v>0</v>
      </c>
      <c r="AO98" s="183"/>
      <c r="AP98" s="184"/>
      <c r="AQ98" s="184"/>
      <c r="AR98" s="28"/>
      <c r="AS98" s="28"/>
      <c r="AT98" s="28"/>
      <c r="AU98" s="28"/>
      <c r="AV98" s="147"/>
      <c r="AW98" s="147"/>
      <c r="AX98" s="148"/>
      <c r="AY98" s="167"/>
      <c r="AZ98" s="167"/>
      <c r="BA98" t="e">
        <f>IF(BC98&gt;=99,200,0)</f>
        <v>#N/A</v>
      </c>
      <c r="BB98" s="170">
        <f t="shared" si="235"/>
        <v>0</v>
      </c>
      <c r="BC98" s="202" t="e">
        <f>VLOOKUP(A98,ImportDataWA!A$14:AG$112,33,0)</f>
        <v>#N/A</v>
      </c>
    </row>
    <row r="99" spans="1:56" hidden="1" x14ac:dyDescent="0.25">
      <c r="A99" s="195" t="s">
        <v>10</v>
      </c>
      <c r="B99" s="9" t="str">
        <f>VLOOKUP($A99,MainData!$A$4:$E$1967,2,FALSE)</f>
        <v>SE</v>
      </c>
      <c r="C99" s="9" t="str">
        <f>VLOOKUP($A99,MainData!$A$4:$E$1967,3,FALSE)</f>
        <v>Mohamad  Morshid Kadhum</v>
      </c>
      <c r="D99" s="9" t="s">
        <v>155</v>
      </c>
      <c r="E99" s="9" t="str">
        <f>VLOOKUP($A99,MainData!$A$4:$E$1967,5,FALSE)</f>
        <v>Ammar Jawad hasan</v>
      </c>
      <c r="F99" s="11">
        <f>SUMIFS(MainData!G:G,MainData!$A:$A,$A99)</f>
        <v>923439.90920002246</v>
      </c>
      <c r="G99" s="11">
        <f t="shared" si="148"/>
        <v>2111111.111111111</v>
      </c>
      <c r="H99" s="53">
        <f t="shared" si="118"/>
        <v>0.43741890435790542</v>
      </c>
      <c r="I99" s="10">
        <f>SUMIFS(MainData!F:F,MainData!$A:$A,$A99)</f>
        <v>51</v>
      </c>
      <c r="J99" s="10">
        <f t="shared" si="192"/>
        <v>222</v>
      </c>
      <c r="K99" s="53">
        <f t="shared" si="119"/>
        <v>0.22972972972972974</v>
      </c>
      <c r="L99" s="11">
        <f>SUMIFS(MainData!K:K,MainData!$A:$A,$A99)</f>
        <v>34090.909090909088</v>
      </c>
      <c r="M99" s="11">
        <f t="shared" si="151"/>
        <v>94696.97</v>
      </c>
      <c r="N99" s="53">
        <f t="shared" si="120"/>
        <v>0.35999999884799999</v>
      </c>
      <c r="O99" s="256">
        <f>SUMIFS(MainData!J:J,MainData!$A:$A,$A99)</f>
        <v>1</v>
      </c>
      <c r="P99" s="10">
        <f>IF($B99=$B$4,0,IF($B99=$B$1,VLOOKUP(D99,Target_Entry!$A$8:$AF$23,5,0),IF(LO!B99=LO!$B$2,VLOOKUP(LO!D99,Target_Entry!$A$8:$AF$23,25,0),IF(LO!B99=LO!$B$3,VLOOKUP(LO!D99,Target_Entry!$A$8:$AF$23,15,0)))))</f>
        <v>3</v>
      </c>
      <c r="Q99" s="53">
        <f t="shared" si="121"/>
        <v>0.33333333333333331</v>
      </c>
      <c r="R99" s="10">
        <f>SUMIFS(MainData!J:J,MainData!$A:$A,$A99)</f>
        <v>1</v>
      </c>
      <c r="S99" s="10">
        <f>SUMIFS(MainData!M:M,MainData!$A:$A,$A99)</f>
        <v>1</v>
      </c>
      <c r="T99" s="53">
        <f t="shared" si="122"/>
        <v>1</v>
      </c>
      <c r="U99" s="10">
        <f>SUMIFS(MainData!L:L,MainData!$A:$A,$A99)</f>
        <v>0</v>
      </c>
      <c r="V99" s="12">
        <f t="shared" si="123"/>
        <v>0</v>
      </c>
      <c r="W99" s="10">
        <f>SUMIFS(MainData!F:F,MainData!$A:$A,$A99)</f>
        <v>51</v>
      </c>
      <c r="X99" s="12">
        <f t="shared" si="124"/>
        <v>0.51</v>
      </c>
      <c r="Y99" s="11">
        <f>SUMIFS(MainData!H:H,MainData!$A:$A,$A99)</f>
        <v>16154.038310606054</v>
      </c>
      <c r="Z99" s="12">
        <f t="shared" si="125"/>
        <v>1.7493329181105379E-2</v>
      </c>
      <c r="AA99" s="11">
        <f>SUMIFS(MainData!I:I,MainData!$A:$A,$A99)</f>
        <v>14652.727553030307</v>
      </c>
      <c r="AB99" s="12">
        <f t="shared" si="126"/>
        <v>1.5867548507540668E-2</v>
      </c>
      <c r="AC99" s="182"/>
      <c r="AD99" s="18">
        <f t="shared" si="127"/>
        <v>0</v>
      </c>
      <c r="AE99" s="18">
        <f t="shared" si="128"/>
        <v>0</v>
      </c>
      <c r="AF99" s="18">
        <f t="shared" si="129"/>
        <v>0</v>
      </c>
      <c r="AG99" s="18">
        <f t="shared" si="130"/>
        <v>0</v>
      </c>
      <c r="AH99" s="18">
        <f t="shared" si="131"/>
        <v>9.7520012456683869</v>
      </c>
      <c r="AI99" s="18">
        <f t="shared" si="132"/>
        <v>33.533112873114831</v>
      </c>
      <c r="AJ99" s="18">
        <f t="shared" si="133"/>
        <v>0.10000000000000009</v>
      </c>
      <c r="AK99" s="18">
        <f t="shared" si="134"/>
        <v>5</v>
      </c>
      <c r="AL99" s="18">
        <f t="shared" si="135"/>
        <v>0</v>
      </c>
      <c r="AM99" s="36">
        <f t="shared" si="136"/>
        <v>48</v>
      </c>
      <c r="AN99" s="36">
        <f t="shared" si="137"/>
        <v>0</v>
      </c>
      <c r="AO99" s="183"/>
      <c r="AP99" s="184"/>
      <c r="AQ99" s="184"/>
      <c r="AR99" s="28">
        <f t="shared" ref="AR99:AR102" si="236">SUM(AO99:AQ99)</f>
        <v>0</v>
      </c>
      <c r="AS99" s="28">
        <f>IF(AO99&gt;0,ROUNDUP($AO99*AS$3,0),0)</f>
        <v>0</v>
      </c>
      <c r="AT99" s="28">
        <f t="shared" ref="AT99:AT102" si="237">AR99-AS99</f>
        <v>0</v>
      </c>
      <c r="AU99" s="28">
        <f>IF(AO99&gt;0,ROUND(AN99/$AN$1*AU$3,0),0)</f>
        <v>0</v>
      </c>
      <c r="AV99" s="147">
        <f t="shared" ref="AV99:AV102" si="238">AU99+AS99</f>
        <v>0</v>
      </c>
      <c r="AW99" s="147">
        <f t="shared" ref="AW99:AW102" si="239">AV99-AR99</f>
        <v>0</v>
      </c>
      <c r="AX99" s="148">
        <f t="shared" ref="AX99:AX102" si="240">IFERROR(AV99/AR99,0)</f>
        <v>0</v>
      </c>
      <c r="AY99" s="167">
        <f>IF(O99&lt;3,0,0)+IF(O99=3,300,0)+IF(O99=4,400,0)+IF(O99=5,500,0)+IF(O99=6,600,0)</f>
        <v>0</v>
      </c>
      <c r="AZ99" s="167">
        <f>IF(O99&lt;3,75)+IF(O99=3,150)+IF(O99=4,150)+IF(O99=5,150)+IF(O99&gt;=6,200)</f>
        <v>75</v>
      </c>
      <c r="BB99" s="170">
        <f t="shared" si="235"/>
        <v>0</v>
      </c>
      <c r="BC99" s="202">
        <f>VLOOKUP(A99,ImportDataWA!A$14:AG$112,33,0)</f>
        <v>98.062205883323628</v>
      </c>
      <c r="BD99" s="170">
        <f t="shared" ref="BD99:BD102" si="241">AU99-AY99</f>
        <v>0</v>
      </c>
    </row>
    <row r="100" spans="1:56" hidden="1" x14ac:dyDescent="0.25">
      <c r="A100" s="195" t="s">
        <v>11</v>
      </c>
      <c r="B100" s="9" t="str">
        <f>VLOOKUP($A100,MainData!$A$4:$E$1967,2,FALSE)</f>
        <v>VSE</v>
      </c>
      <c r="C100" s="9" t="str">
        <f>VLOOKUP($A100,MainData!$A$4:$E$1967,3,FALSE)</f>
        <v>Mohamad  Morshid Kadhum</v>
      </c>
      <c r="D100" s="9" t="str">
        <f>VLOOKUP($A100,MainData!$A$4:$E$1967,4,FALSE)</f>
        <v>Mansour</v>
      </c>
      <c r="E100" s="9" t="str">
        <f>VLOOKUP($A100,MainData!$A$4:$E$1967,5,FALSE)</f>
        <v>Alaa Kamil Qassim</v>
      </c>
      <c r="F100" s="11">
        <f>SUMIFS(MainData!G:G,MainData!$A:$A,$A100)</f>
        <v>697313.97486840864</v>
      </c>
      <c r="G100" s="11">
        <f t="shared" si="148"/>
        <v>777777.77777777775</v>
      </c>
      <c r="H100" s="53">
        <f t="shared" si="118"/>
        <v>0.89654653911652538</v>
      </c>
      <c r="I100" s="10">
        <f>SUMIFS(MainData!F:F,MainData!$A:$A,$A100)</f>
        <v>222</v>
      </c>
      <c r="J100" s="10">
        <f t="shared" si="192"/>
        <v>889</v>
      </c>
      <c r="K100" s="53">
        <f t="shared" si="119"/>
        <v>0.24971878515185603</v>
      </c>
      <c r="L100" s="11">
        <f>SUMIFS(MainData!K:K,MainData!$A:$A,$A100)</f>
        <v>43181.818181818177</v>
      </c>
      <c r="M100" s="11">
        <f t="shared" si="151"/>
        <v>79545.45</v>
      </c>
      <c r="N100" s="53">
        <f t="shared" si="120"/>
        <v>0.54285717387755272</v>
      </c>
      <c r="O100" s="256">
        <f>SUMIFS(MainData!J:J,MainData!$A:$A,$A100)</f>
        <v>10</v>
      </c>
      <c r="P100" s="10">
        <f>IF($B100=$B$4,0,IF($B100=$B$1,VLOOKUP(D100,Target_Entry!$A$8:$AF$23,5,0),IF(LO!B100=LO!$B$2,VLOOKUP(LO!D100,Target_Entry!$A$8:$AF$23,25,0),IF(LO!B100=LO!$B$3,VLOOKUP(LO!D100,Target_Entry!$A$8:$AF$23,15,0)))))</f>
        <v>8</v>
      </c>
      <c r="Q100" s="53">
        <f t="shared" si="121"/>
        <v>1.25</v>
      </c>
      <c r="R100" s="10">
        <f>SUMIFS(MainData!J:J,MainData!$A:$A,$A100)</f>
        <v>10</v>
      </c>
      <c r="S100" s="10">
        <f>SUMIFS(MainData!M:M,MainData!$A:$A,$A100)</f>
        <v>8</v>
      </c>
      <c r="T100" s="53">
        <f t="shared" si="122"/>
        <v>0.8</v>
      </c>
      <c r="U100" s="10">
        <f>SUMIFS(MainData!L:L,MainData!$A:$A,$A100)</f>
        <v>1</v>
      </c>
      <c r="V100" s="12">
        <f t="shared" si="123"/>
        <v>0.1</v>
      </c>
      <c r="W100" s="10">
        <f>SUMIFS(MainData!F:F,MainData!$A:$A,$A100)</f>
        <v>222</v>
      </c>
      <c r="X100" s="12">
        <f t="shared" si="124"/>
        <v>0.88800000000000001</v>
      </c>
      <c r="Y100" s="11">
        <f>SUMIFS(MainData!H:H,MainData!$A:$A,$A100)</f>
        <v>38395.734327766579</v>
      </c>
      <c r="Z100" s="12">
        <f t="shared" si="125"/>
        <v>5.5062333054507195E-2</v>
      </c>
      <c r="AA100" s="11">
        <f>SUMIFS(MainData!I:I,MainData!$A:$A,$A100)</f>
        <v>13939.951290641697</v>
      </c>
      <c r="AB100" s="231">
        <f t="shared" si="126"/>
        <v>1.9990924881825765E-2</v>
      </c>
      <c r="AC100" s="182"/>
      <c r="AD100" s="18">
        <f t="shared" si="127"/>
        <v>6.5515513038841799</v>
      </c>
      <c r="AE100" s="18">
        <f t="shared" si="128"/>
        <v>0</v>
      </c>
      <c r="AF100" s="18">
        <f t="shared" si="129"/>
        <v>0</v>
      </c>
      <c r="AG100" s="18">
        <f t="shared" si="130"/>
        <v>0</v>
      </c>
      <c r="AH100" s="18">
        <f t="shared" si="131"/>
        <v>0</v>
      </c>
      <c r="AI100" s="18">
        <f t="shared" si="132"/>
        <v>32.502268779543556</v>
      </c>
      <c r="AJ100" s="18">
        <f t="shared" si="133"/>
        <v>3.88</v>
      </c>
      <c r="AK100" s="18">
        <f t="shared" si="134"/>
        <v>5</v>
      </c>
      <c r="AL100" s="18">
        <f t="shared" si="135"/>
        <v>1.666666666666667</v>
      </c>
      <c r="AM100" s="36">
        <f t="shared" si="136"/>
        <v>50</v>
      </c>
      <c r="AN100" s="36">
        <f t="shared" si="137"/>
        <v>0</v>
      </c>
      <c r="AO100" s="183">
        <v>1030</v>
      </c>
      <c r="AP100" s="184">
        <v>0</v>
      </c>
      <c r="AQ100" s="184">
        <v>33</v>
      </c>
      <c r="AR100" s="28">
        <f t="shared" si="236"/>
        <v>1063</v>
      </c>
      <c r="AS100" s="28">
        <f>IF(AO100&gt;0,ROUNDUP($AO100*AS$3,0),0)</f>
        <v>824</v>
      </c>
      <c r="AT100" s="163">
        <f t="shared" si="237"/>
        <v>239</v>
      </c>
      <c r="AU100" s="28">
        <f>IF(AO100&gt;0,ROUND(AN100/$AN$1*AU$3,0),0)</f>
        <v>0</v>
      </c>
      <c r="AV100" s="147">
        <f t="shared" si="238"/>
        <v>824</v>
      </c>
      <c r="AW100" s="147">
        <f t="shared" si="239"/>
        <v>-239</v>
      </c>
      <c r="AX100" s="148">
        <f t="shared" si="240"/>
        <v>0.77516462841015987</v>
      </c>
      <c r="AY100" s="167">
        <f t="shared" ref="AY100:AY101" si="242">AU100</f>
        <v>0</v>
      </c>
      <c r="AZ100" s="167">
        <f>IF(O100&lt;18,IF(AND(I100&gt;0,I100&lt;=60),60,IF(AND(I100&gt;60,I100&lt;=120),70,IF(AND(I100&gt;120,I100&lt;200),80,IF(I100&gt;=200,140,0)))),IF(O100&gt;=18,IF(AND(OR(D100="Mansour",D100="Wehda",D100="Alsadar",D100="Kadhimiya"),I100&gt;0,I100&lt;=60),100,IF(AND(OR(D100="Mansour",D100="Wehda",D100="Alsadar",D100&lt;&gt;"Kadhimiya"),I100&gt;60,I100&lt;=120),110,IF(AND(OR(D100="Mansour",D100="Wehda",D100="Alsadar",D100="Kadhimiya"),I100&gt;120,I100&lt;200),120,IF(AND(OR(D100="Mansour",D100="Wehda",D100&lt;&gt;"Alsadar",D100="Kadhimiya"),I100&gt;=200),180))))))</f>
        <v>140</v>
      </c>
      <c r="BB100" s="170">
        <f t="shared" si="235"/>
        <v>0</v>
      </c>
      <c r="BC100" s="202">
        <f>VLOOKUP(A100,ImportDataWA!A$14:AG$112,33,0)</f>
        <v>98.127841174580766</v>
      </c>
      <c r="BD100" s="170">
        <f t="shared" si="241"/>
        <v>0</v>
      </c>
    </row>
    <row r="101" spans="1:56" hidden="1" x14ac:dyDescent="0.25">
      <c r="A101" s="197" t="s">
        <v>350</v>
      </c>
      <c r="B101" s="9" t="str">
        <f>VLOOKUP($A101,MainData!$A$4:$E$1967,2,FALSE)</f>
        <v>Micro</v>
      </c>
      <c r="C101" s="9" t="str">
        <f>VLOOKUP($A101,MainData!$A$4:$E$1967,3,FALSE)</f>
        <v>Mohamad  Morshid Kadhum</v>
      </c>
      <c r="D101" s="9" t="str">
        <f>VLOOKUP($A101,MainData!$A$4:$E$1967,4,FALSE)</f>
        <v>Mansour</v>
      </c>
      <c r="E101" s="9" t="str">
        <f>VLOOKUP($A101,MainData!$A$4:$E$1967,5,FALSE)</f>
        <v>Alaa Kamil Qassim</v>
      </c>
      <c r="F101" s="11">
        <f>SUMIFS(MainData!G:G,MainData!$A:$A,$A101)</f>
        <v>135723.81889851336</v>
      </c>
      <c r="G101" s="11">
        <f t="shared" si="148"/>
        <v>333333.33333333331</v>
      </c>
      <c r="H101" s="53">
        <f t="shared" si="118"/>
        <v>0.40717145669554011</v>
      </c>
      <c r="I101" s="10">
        <f>SUMIFS(MainData!F:F,MainData!$A:$A,$A101)</f>
        <v>50</v>
      </c>
      <c r="J101" s="10">
        <f t="shared" si="192"/>
        <v>400</v>
      </c>
      <c r="K101" s="53">
        <f t="shared" si="119"/>
        <v>0.125</v>
      </c>
      <c r="L101" s="11">
        <f>SUMIFS(MainData!K:K,MainData!$A:$A,$A101)</f>
        <v>0</v>
      </c>
      <c r="M101" s="11">
        <f t="shared" si="151"/>
        <v>56818.18</v>
      </c>
      <c r="N101" s="53">
        <f t="shared" si="120"/>
        <v>0</v>
      </c>
      <c r="O101" s="256">
        <f>SUMIFS(MainData!J:J,MainData!$A:$A,$A101)</f>
        <v>0</v>
      </c>
      <c r="P101" s="10">
        <f>IF($B101=$B$4,0,IF($B101=$B$1,VLOOKUP(D101,Target_Entry!$A$8:$AF$23,5,0),IF(LO!B101=LO!$B$2,VLOOKUP(LO!D101,Target_Entry!$A$8:$AF$23,25,0),IF(LO!B101=LO!$B$3,VLOOKUP(LO!D101,Target_Entry!$A$8:$AF$23,15,0)))))</f>
        <v>15</v>
      </c>
      <c r="Q101" s="53">
        <f t="shared" si="121"/>
        <v>0</v>
      </c>
      <c r="R101" s="10">
        <f>SUMIFS(MainData!J:J,MainData!$A:$A,$A101)</f>
        <v>0</v>
      </c>
      <c r="S101" s="10">
        <f>SUMIFS(MainData!M:M,MainData!$A:$A,$A101)</f>
        <v>0</v>
      </c>
      <c r="T101" s="53">
        <f t="shared" si="122"/>
        <v>0</v>
      </c>
      <c r="U101" s="10">
        <f>SUMIFS(MainData!L:L,MainData!$A:$A,$A101)</f>
        <v>0</v>
      </c>
      <c r="V101" s="12">
        <f t="shared" si="123"/>
        <v>0</v>
      </c>
      <c r="W101" s="10">
        <f>SUMIFS(MainData!F:F,MainData!$A:$A,$A101)</f>
        <v>50</v>
      </c>
      <c r="X101" s="12">
        <f t="shared" si="124"/>
        <v>0.2</v>
      </c>
      <c r="Y101" s="11">
        <f>SUMIFS(MainData!H:H,MainData!$A:$A,$A101)</f>
        <v>6785.4916287878787</v>
      </c>
      <c r="Z101" s="12">
        <f t="shared" si="125"/>
        <v>4.9994847506182299E-2</v>
      </c>
      <c r="AA101" s="11">
        <f>SUMIFS(MainData!I:I,MainData!$A:$A,$A101)</f>
        <v>19624.264072755795</v>
      </c>
      <c r="AB101" s="12">
        <f t="shared" si="126"/>
        <v>0.14458968390382324</v>
      </c>
      <c r="AC101" s="182"/>
      <c r="AD101" s="18">
        <f t="shared" si="127"/>
        <v>0</v>
      </c>
      <c r="AE101" s="18">
        <f t="shared" si="128"/>
        <v>0</v>
      </c>
      <c r="AF101" s="18">
        <f t="shared" si="129"/>
        <v>0</v>
      </c>
      <c r="AG101" s="18">
        <f t="shared" si="130"/>
        <v>0</v>
      </c>
      <c r="AH101" s="18">
        <f t="shared" si="131"/>
        <v>1.5457481453111654E-3</v>
      </c>
      <c r="AI101" s="18">
        <f t="shared" si="132"/>
        <v>1.3525790240441893</v>
      </c>
      <c r="AJ101" s="18">
        <f t="shared" si="133"/>
        <v>0</v>
      </c>
      <c r="AK101" s="18">
        <f t="shared" si="134"/>
        <v>0</v>
      </c>
      <c r="AL101" s="18">
        <f t="shared" si="135"/>
        <v>0</v>
      </c>
      <c r="AM101" s="36">
        <f t="shared" si="136"/>
        <v>1</v>
      </c>
      <c r="AN101" s="36">
        <f t="shared" si="137"/>
        <v>0</v>
      </c>
      <c r="AO101" s="183">
        <v>600</v>
      </c>
      <c r="AP101" s="184">
        <v>0</v>
      </c>
      <c r="AQ101" s="184">
        <v>0</v>
      </c>
      <c r="AR101" s="28">
        <f t="shared" si="236"/>
        <v>600</v>
      </c>
      <c r="AS101" s="28">
        <f>IF(AO101&gt;0,ROUNDUP($AO101*AS$3,0),0)</f>
        <v>480</v>
      </c>
      <c r="AT101" s="163">
        <f t="shared" si="237"/>
        <v>120</v>
      </c>
      <c r="AU101" s="28">
        <f>IF(AO101&gt;0,ROUND(AN101/$AN$1*AU$3,0),0)</f>
        <v>0</v>
      </c>
      <c r="AV101" s="147">
        <f t="shared" si="238"/>
        <v>480</v>
      </c>
      <c r="AW101" s="147">
        <f t="shared" si="239"/>
        <v>-120</v>
      </c>
      <c r="AX101" s="148">
        <f t="shared" si="240"/>
        <v>0.8</v>
      </c>
      <c r="AY101" s="167">
        <f t="shared" si="242"/>
        <v>0</v>
      </c>
      <c r="AZ101" s="167">
        <f>IF(O101&lt;18,IF(AND(I101&gt;0,I101&lt;=60),60,IF(AND(I101&gt;60,I101&lt;=120),70,IF(AND(I101&gt;120,I101&lt;200),80,IF(I101&gt;=200,140,0)))),IF(O101&gt;=18,IF(AND(OR(D101="Mansour",D101="Wehda",D101="Alsadar",D101="Kadhimiya"),I101&gt;0,I101&lt;=60),100,IF(AND(OR(D101="Mansour",D101="Wehda",D101="Alsadar",D101&lt;&gt;"Kadhimiya"),I101&gt;60,I101&lt;=120),110,IF(AND(OR(D101="Mansour",D101="Wehda",D101="Alsadar",D101="Kadhimiya"),I101&gt;120,I101&lt;200),120,IF(AND(OR(D101="Mansour",D101="Wehda",D101&lt;&gt;"Alsadar",D101="Kadhimiya"),I101&gt;=200),180))))))</f>
        <v>60</v>
      </c>
      <c r="BB101" s="170">
        <f t="shared" si="235"/>
        <v>0</v>
      </c>
      <c r="BC101" s="202">
        <f>VLOOKUP(A101,ImportDataWA!A$14:AG$112,33,0)</f>
        <v>89.953868665821105</v>
      </c>
      <c r="BD101" s="170">
        <f t="shared" si="241"/>
        <v>0</v>
      </c>
    </row>
    <row r="102" spans="1:56" hidden="1" x14ac:dyDescent="0.25">
      <c r="A102" s="197" t="s">
        <v>26</v>
      </c>
      <c r="B102" s="9" t="str">
        <f>VLOOKUP($A102,MainData!$A$4:$E$1967,2,FALSE)</f>
        <v>SE</v>
      </c>
      <c r="C102" s="9" t="str">
        <f>VLOOKUP($A102,MainData!$A$4:$E$1967,3,FALSE)</f>
        <v>Hussain Taher Fezaa</v>
      </c>
      <c r="D102" s="9" t="str">
        <f>VLOOKUP($A102,MainData!$A$4:$E$1967,4,FALSE)</f>
        <v>Mansour</v>
      </c>
      <c r="E102" s="9" t="str">
        <f>VLOOKUP($A102,MainData!$A$4:$E$1967,5,FALSE)</f>
        <v>Ammar Jawad hasan</v>
      </c>
      <c r="F102" s="11">
        <f>SUMIFS(MainData!G:G,MainData!$A:$A,$A102)</f>
        <v>932109.98977164284</v>
      </c>
      <c r="G102" s="11">
        <f t="shared" si="148"/>
        <v>2111111.111111111</v>
      </c>
      <c r="H102" s="53">
        <f t="shared" si="118"/>
        <v>0.44152578462867292</v>
      </c>
      <c r="I102" s="10">
        <f>SUMIFS(MainData!F:F,MainData!$A:$A,$A102)</f>
        <v>69</v>
      </c>
      <c r="J102" s="10">
        <f t="shared" si="192"/>
        <v>222</v>
      </c>
      <c r="K102" s="53">
        <f t="shared" si="119"/>
        <v>0.3108108108108108</v>
      </c>
      <c r="L102" s="11">
        <f>SUMIFS(MainData!K:K,MainData!$A:$A,$A102)</f>
        <v>100378.78787878787</v>
      </c>
      <c r="M102" s="11">
        <f t="shared" si="151"/>
        <v>94696.97</v>
      </c>
      <c r="N102" s="53">
        <f t="shared" si="120"/>
        <v>1.059999996608</v>
      </c>
      <c r="O102" s="256">
        <f>SUMIFS(MainData!J:J,MainData!$A:$A,$A102)</f>
        <v>4</v>
      </c>
      <c r="P102" s="10">
        <f>IF($B102=$B$4,0,IF($B102=$B$1,VLOOKUP(D102,Target_Entry!$A$8:$AF$23,5,0),IF(LO!B102=LO!$B$2,VLOOKUP(LO!D102,Target_Entry!$A$8:$AF$23,25,0),IF(LO!B102=LO!$B$3,VLOOKUP(LO!D102,Target_Entry!$A$8:$AF$23,15,0)))))</f>
        <v>3</v>
      </c>
      <c r="Q102" s="53">
        <f t="shared" si="121"/>
        <v>1.3333333333333333</v>
      </c>
      <c r="R102" s="10">
        <f>SUMIFS(MainData!J:J,MainData!$A:$A,$A102)</f>
        <v>4</v>
      </c>
      <c r="S102" s="10">
        <f>SUMIFS(MainData!M:M,MainData!$A:$A,$A102)</f>
        <v>4</v>
      </c>
      <c r="T102" s="53">
        <f t="shared" si="122"/>
        <v>1</v>
      </c>
      <c r="U102" s="10">
        <f>SUMIFS(MainData!L:L,MainData!$A:$A,$A102)</f>
        <v>1</v>
      </c>
      <c r="V102" s="12">
        <f t="shared" si="123"/>
        <v>0.25</v>
      </c>
      <c r="W102" s="10">
        <f>SUMIFS(MainData!F:F,MainData!$A:$A,$A102)</f>
        <v>69</v>
      </c>
      <c r="X102" s="12">
        <f t="shared" si="124"/>
        <v>0.69</v>
      </c>
      <c r="Y102" s="11">
        <f>SUMIFS(MainData!H:H,MainData!$A:$A,$A102)</f>
        <v>6506.0606060606051</v>
      </c>
      <c r="Z102" s="12">
        <f t="shared" si="125"/>
        <v>6.9799279885998447E-3</v>
      </c>
      <c r="AA102" s="11">
        <f>SUMIFS(MainData!I:I,MainData!$A:$A,$A102)</f>
        <v>19819.469280303034</v>
      </c>
      <c r="AB102" s="12">
        <f t="shared" si="126"/>
        <v>2.1263015628830022E-2</v>
      </c>
      <c r="AC102" s="182"/>
      <c r="AD102" s="18">
        <f t="shared" si="127"/>
        <v>0</v>
      </c>
      <c r="AE102" s="18">
        <f t="shared" si="128"/>
        <v>0</v>
      </c>
      <c r="AF102" s="18">
        <f t="shared" si="129"/>
        <v>35.999999660799993</v>
      </c>
      <c r="AG102" s="18">
        <f t="shared" si="130"/>
        <v>0</v>
      </c>
      <c r="AH102" s="18">
        <f t="shared" si="131"/>
        <v>12.906021603420047</v>
      </c>
      <c r="AI102" s="18">
        <f t="shared" si="132"/>
        <v>32.184246092792492</v>
      </c>
      <c r="AJ102" s="18">
        <f t="shared" si="133"/>
        <v>1.8999999999999995</v>
      </c>
      <c r="AK102" s="18">
        <f t="shared" si="134"/>
        <v>5</v>
      </c>
      <c r="AL102" s="18">
        <f t="shared" si="135"/>
        <v>4.166666666666667</v>
      </c>
      <c r="AM102" s="36">
        <f t="shared" si="136"/>
        <v>92</v>
      </c>
      <c r="AN102" s="36">
        <f t="shared" si="137"/>
        <v>0</v>
      </c>
      <c r="AO102" s="183"/>
      <c r="AP102" s="184"/>
      <c r="AQ102" s="184"/>
      <c r="AR102" s="28">
        <f t="shared" si="236"/>
        <v>0</v>
      </c>
      <c r="AS102" s="28">
        <f>IF(AO102&gt;0,ROUNDUP($AO102*AS$3,0),0)</f>
        <v>0</v>
      </c>
      <c r="AT102" s="28">
        <f t="shared" si="237"/>
        <v>0</v>
      </c>
      <c r="AU102" s="28">
        <f>IF(AO102&gt;0,ROUND(AN102/$AN$1*AU$3,0),0)</f>
        <v>0</v>
      </c>
      <c r="AV102" s="147">
        <f t="shared" si="238"/>
        <v>0</v>
      </c>
      <c r="AW102" s="147">
        <f t="shared" si="239"/>
        <v>0</v>
      </c>
      <c r="AX102" s="148">
        <f t="shared" si="240"/>
        <v>0</v>
      </c>
      <c r="AY102" s="167">
        <f>IF(O102&lt;3,0,0)+IF(O102=3,300,0)+IF(O102=4,400,0)+IF(O102=5,500,0)+IF(O102=6,600,0)</f>
        <v>400</v>
      </c>
      <c r="AZ102" s="167">
        <f>IF(O102&lt;3,75)+IF(O102=3,150)+IF(O102=4,150)+IF(O102=5,150)+IF(O102&gt;=6,200)</f>
        <v>150</v>
      </c>
      <c r="BA102">
        <v>11</v>
      </c>
      <c r="BB102" s="170">
        <f t="shared" si="235"/>
        <v>-400</v>
      </c>
      <c r="BC102" s="202">
        <f>VLOOKUP(A102,ImportDataWA!A$14:AG$112,33,0)</f>
        <v>98.667616327330293</v>
      </c>
      <c r="BD102" s="170">
        <f t="shared" si="241"/>
        <v>-400</v>
      </c>
    </row>
    <row r="103" spans="1:56" hidden="1" x14ac:dyDescent="0.25">
      <c r="A103" s="204" t="s">
        <v>407</v>
      </c>
      <c r="B103" s="189" t="str">
        <f>VLOOKUP($A103,MainData!$A$4:$E$1967,2,FALSE)</f>
        <v>Inactive</v>
      </c>
      <c r="C103" s="189" t="str">
        <f>VLOOKUP($A103,MainData!$A$4:$E$1967,3,FALSE)</f>
        <v>Inactive</v>
      </c>
      <c r="D103" s="189" t="str">
        <f>VLOOKUP($A103,MainData!$A$4:$E$1967,4,FALSE)</f>
        <v>Mansour</v>
      </c>
      <c r="E103" s="189" t="str">
        <f>VLOOKUP($A103,MainData!$A$4:$E$1967,5,FALSE)</f>
        <v>Inactive</v>
      </c>
      <c r="F103" s="11">
        <f>SUMIFS(MainData!G:G,MainData!$A:$A,$A103)</f>
        <v>0</v>
      </c>
      <c r="G103" s="11">
        <f t="shared" si="148"/>
        <v>0</v>
      </c>
      <c r="H103" s="53">
        <f t="shared" si="118"/>
        <v>0</v>
      </c>
      <c r="I103" s="10">
        <f>SUMIFS(MainData!F:F,MainData!$A:$A,$A103)</f>
        <v>0</v>
      </c>
      <c r="J103" s="10">
        <f t="shared" si="192"/>
        <v>0</v>
      </c>
      <c r="K103" s="53">
        <f t="shared" si="119"/>
        <v>0</v>
      </c>
      <c r="L103" s="11">
        <f>SUMIFS(MainData!K:K,MainData!$A:$A,$A103)</f>
        <v>0</v>
      </c>
      <c r="M103" s="11">
        <f t="shared" si="151"/>
        <v>0</v>
      </c>
      <c r="N103" s="53">
        <f t="shared" si="120"/>
        <v>0</v>
      </c>
      <c r="O103" s="256">
        <f>SUMIFS(MainData!J:J,MainData!$A:$A,$A103)</f>
        <v>0</v>
      </c>
      <c r="P103" s="10">
        <f>IF($B103=$B$4,0,IF($B103=$B$1,VLOOKUP(D103,Target_Entry!$A$8:$AF$23,5,0),IF(LO!B103=LO!$B$2,VLOOKUP(LO!D103,Target_Entry!$A$8:$AF$23,25,0),IF(LO!B103=LO!$B$3,VLOOKUP(LO!D103,Target_Entry!$A$8:$AF$23,15,0)))))</f>
        <v>0</v>
      </c>
      <c r="Q103" s="53">
        <f t="shared" si="121"/>
        <v>0</v>
      </c>
      <c r="R103" s="10">
        <f>SUMIFS(MainData!J:J,MainData!$A:$A,$A103)</f>
        <v>0</v>
      </c>
      <c r="S103" s="10">
        <f>SUMIFS(MainData!M:M,MainData!$A:$A,$A103)</f>
        <v>0</v>
      </c>
      <c r="T103" s="53">
        <f t="shared" si="122"/>
        <v>0</v>
      </c>
      <c r="U103" s="10">
        <f>SUMIFS(MainData!L:L,MainData!$A:$A,$A103)</f>
        <v>0</v>
      </c>
      <c r="V103" s="12">
        <f t="shared" si="123"/>
        <v>0</v>
      </c>
      <c r="W103" s="10">
        <f>SUMIFS(MainData!F:F,MainData!$A:$A,$A103)</f>
        <v>0</v>
      </c>
      <c r="X103" s="12">
        <f t="shared" si="124"/>
        <v>0</v>
      </c>
      <c r="Y103" s="11">
        <f>SUMIFS(MainData!H:H,MainData!$A:$A,$A103)</f>
        <v>0</v>
      </c>
      <c r="Z103" s="12">
        <f t="shared" si="125"/>
        <v>0</v>
      </c>
      <c r="AA103" s="11">
        <f>SUMIFS(MainData!I:I,MainData!$A:$A,$A103)</f>
        <v>0</v>
      </c>
      <c r="AB103" s="12">
        <f t="shared" si="126"/>
        <v>0</v>
      </c>
      <c r="AC103" s="182"/>
      <c r="AD103" s="18">
        <f t="shared" si="127"/>
        <v>0</v>
      </c>
      <c r="AE103" s="18">
        <f t="shared" si="128"/>
        <v>0</v>
      </c>
      <c r="AF103" s="18">
        <f t="shared" si="129"/>
        <v>0</v>
      </c>
      <c r="AG103" s="18">
        <f t="shared" si="130"/>
        <v>0</v>
      </c>
      <c r="AH103" s="18">
        <f t="shared" si="131"/>
        <v>15</v>
      </c>
      <c r="AI103" s="18">
        <f t="shared" si="132"/>
        <v>37.5</v>
      </c>
      <c r="AJ103" s="18">
        <f t="shared" si="133"/>
        <v>0</v>
      </c>
      <c r="AK103" s="18">
        <f t="shared" si="134"/>
        <v>0</v>
      </c>
      <c r="AL103" s="18">
        <f t="shared" si="135"/>
        <v>0</v>
      </c>
      <c r="AM103" s="36">
        <f t="shared" si="136"/>
        <v>53</v>
      </c>
      <c r="AN103" s="36">
        <f t="shared" si="137"/>
        <v>0</v>
      </c>
      <c r="AO103" s="183"/>
      <c r="AP103" s="184"/>
      <c r="AQ103" s="184"/>
      <c r="AR103" s="28"/>
      <c r="AS103" s="28"/>
      <c r="AT103" s="163"/>
      <c r="AU103" s="28"/>
      <c r="AV103" s="147"/>
      <c r="AW103" s="147"/>
      <c r="AX103" s="148"/>
      <c r="AY103" s="167"/>
      <c r="AZ103" s="167"/>
      <c r="BB103" s="170"/>
      <c r="BC103" s="202" t="e">
        <f>VLOOKUP(A103,ImportDataWA!A$14:AG$112,33,0)</f>
        <v>#N/A</v>
      </c>
    </row>
    <row r="104" spans="1:56" hidden="1" x14ac:dyDescent="0.25">
      <c r="A104" s="192" t="s">
        <v>408</v>
      </c>
      <c r="B104" s="189" t="str">
        <f>VLOOKUP($A104,MainData!$A$4:$E$1967,2,FALSE)</f>
        <v>Inactive</v>
      </c>
      <c r="C104" s="189" t="str">
        <f>VLOOKUP($A104,MainData!$A$4:$E$1967,3,FALSE)</f>
        <v>Inactive</v>
      </c>
      <c r="D104" s="189" t="s">
        <v>155</v>
      </c>
      <c r="E104" s="189" t="str">
        <f>VLOOKUP($A104,MainData!$A$4:$E$1967,5,FALSE)</f>
        <v>Inactive</v>
      </c>
      <c r="F104" s="11">
        <f>SUMIFS(MainData!G:G,MainData!$A:$A,$A104)</f>
        <v>0</v>
      </c>
      <c r="G104" s="11">
        <f t="shared" si="148"/>
        <v>0</v>
      </c>
      <c r="H104" s="53">
        <f t="shared" si="118"/>
        <v>0</v>
      </c>
      <c r="I104" s="10">
        <f>SUMIFS(MainData!F:F,MainData!$A:$A,$A104)</f>
        <v>0</v>
      </c>
      <c r="J104" s="10">
        <f t="shared" si="192"/>
        <v>0</v>
      </c>
      <c r="K104" s="53">
        <f t="shared" si="119"/>
        <v>0</v>
      </c>
      <c r="L104" s="11">
        <f>SUMIFS(MainData!K:K,MainData!$A:$A,$A104)</f>
        <v>0</v>
      </c>
      <c r="M104" s="11">
        <f t="shared" si="151"/>
        <v>0</v>
      </c>
      <c r="N104" s="53">
        <f t="shared" si="120"/>
        <v>0</v>
      </c>
      <c r="O104" s="256">
        <f>SUMIFS(MainData!J:J,MainData!$A:$A,$A104)</f>
        <v>0</v>
      </c>
      <c r="P104" s="10">
        <f>IF($B104=$B$4,0,IF($B104=$B$1,VLOOKUP(D104,Target_Entry!$A$8:$AF$23,5,0),IF(LO!B104=LO!$B$2,VLOOKUP(LO!D104,Target_Entry!$A$8:$AF$23,25,0),IF(LO!B104=LO!$B$3,VLOOKUP(LO!D104,Target_Entry!$A$8:$AF$23,15,0)))))</f>
        <v>0</v>
      </c>
      <c r="Q104" s="53">
        <f t="shared" si="121"/>
        <v>0</v>
      </c>
      <c r="R104" s="10">
        <f>SUMIFS(MainData!J:J,MainData!$A:$A,$A104)</f>
        <v>0</v>
      </c>
      <c r="S104" s="10">
        <f>SUMIFS(MainData!M:M,MainData!$A:$A,$A104)</f>
        <v>0</v>
      </c>
      <c r="T104" s="53">
        <f t="shared" si="122"/>
        <v>0</v>
      </c>
      <c r="U104" s="10">
        <f>SUMIFS(MainData!L:L,MainData!$A:$A,$A104)</f>
        <v>0</v>
      </c>
      <c r="V104" s="12">
        <f t="shared" si="123"/>
        <v>0</v>
      </c>
      <c r="W104" s="10">
        <f>SUMIFS(MainData!F:F,MainData!$A:$A,$A104)</f>
        <v>0</v>
      </c>
      <c r="X104" s="12">
        <f t="shared" si="124"/>
        <v>0</v>
      </c>
      <c r="Y104" s="11">
        <f>SUMIFS(MainData!H:H,MainData!$A:$A,$A104)</f>
        <v>0</v>
      </c>
      <c r="Z104" s="12">
        <f t="shared" si="125"/>
        <v>0</v>
      </c>
      <c r="AA104" s="11">
        <f>SUMIFS(MainData!I:I,MainData!$A:$A,$A104)</f>
        <v>0</v>
      </c>
      <c r="AB104" s="12">
        <f t="shared" si="126"/>
        <v>0</v>
      </c>
      <c r="AC104" s="182"/>
      <c r="AD104" s="18">
        <f t="shared" si="127"/>
        <v>0</v>
      </c>
      <c r="AE104" s="18">
        <f t="shared" si="128"/>
        <v>0</v>
      </c>
      <c r="AF104" s="18">
        <f t="shared" si="129"/>
        <v>0</v>
      </c>
      <c r="AG104" s="18">
        <f t="shared" si="130"/>
        <v>0</v>
      </c>
      <c r="AH104" s="18">
        <f t="shared" si="131"/>
        <v>15</v>
      </c>
      <c r="AI104" s="18">
        <f t="shared" si="132"/>
        <v>37.5</v>
      </c>
      <c r="AJ104" s="18">
        <f t="shared" si="133"/>
        <v>0</v>
      </c>
      <c r="AK104" s="18">
        <f t="shared" si="134"/>
        <v>0</v>
      </c>
      <c r="AL104" s="18">
        <f t="shared" si="135"/>
        <v>0</v>
      </c>
      <c r="AM104" s="36">
        <f t="shared" si="136"/>
        <v>53</v>
      </c>
      <c r="AN104" s="36">
        <f t="shared" si="137"/>
        <v>0</v>
      </c>
      <c r="AO104" s="183"/>
      <c r="AP104" s="184"/>
      <c r="AQ104" s="184"/>
      <c r="AR104" s="28"/>
      <c r="AS104" s="28"/>
      <c r="AT104" s="163"/>
      <c r="AU104" s="28"/>
      <c r="AV104" s="147"/>
      <c r="AW104" s="147"/>
      <c r="AX104" s="148"/>
      <c r="AY104" s="167"/>
      <c r="AZ104" s="167"/>
      <c r="BB104" s="170"/>
      <c r="BC104" s="202"/>
    </row>
    <row r="105" spans="1:56" hidden="1" x14ac:dyDescent="0.25">
      <c r="A105" s="196" t="s">
        <v>410</v>
      </c>
      <c r="B105" s="189" t="str">
        <f>VLOOKUP($A105,MainData!$A$4:$E$1967,2,FALSE)</f>
        <v>Inactive</v>
      </c>
      <c r="C105" s="189" t="str">
        <f>VLOOKUP($A105,MainData!$A$4:$E$1967,3,FALSE)</f>
        <v>Inactive</v>
      </c>
      <c r="D105" s="189" t="str">
        <f>VLOOKUP($A105,MainData!$A$4:$E$1967,4,FALSE)</f>
        <v>Mansour</v>
      </c>
      <c r="E105" s="189" t="str">
        <f>VLOOKUP($A105,MainData!$A$4:$E$1967,5,FALSE)</f>
        <v>Inactive</v>
      </c>
      <c r="F105" s="11">
        <f>SUMIFS(MainData!G:G,MainData!$A:$A,$A105)</f>
        <v>0</v>
      </c>
      <c r="G105" s="11">
        <f t="shared" si="148"/>
        <v>0</v>
      </c>
      <c r="H105" s="53">
        <f t="shared" si="118"/>
        <v>0</v>
      </c>
      <c r="I105" s="10">
        <f>SUMIFS(MainData!F:F,MainData!$A:$A,$A105)</f>
        <v>0</v>
      </c>
      <c r="J105" s="10">
        <f t="shared" si="192"/>
        <v>0</v>
      </c>
      <c r="K105" s="53">
        <f t="shared" si="119"/>
        <v>0</v>
      </c>
      <c r="L105" s="11">
        <f>SUMIFS(MainData!K:K,MainData!$A:$A,$A105)</f>
        <v>0</v>
      </c>
      <c r="M105" s="11">
        <f t="shared" si="151"/>
        <v>0</v>
      </c>
      <c r="N105" s="53">
        <f t="shared" si="120"/>
        <v>0</v>
      </c>
      <c r="O105" s="256">
        <f>SUMIFS(MainData!J:J,MainData!$A:$A,$A105)</f>
        <v>0</v>
      </c>
      <c r="P105" s="10">
        <f>IF($B105=$B$4,0,IF($B105=$B$1,VLOOKUP(D105,Target_Entry!$A$8:$AF$23,5,0),IF(LO!B105=LO!$B$2,VLOOKUP(LO!D105,Target_Entry!$A$8:$AF$23,25,0),IF(LO!B105=LO!$B$3,VLOOKUP(LO!D105,Target_Entry!$A$8:$AF$23,15,0)))))</f>
        <v>0</v>
      </c>
      <c r="Q105" s="53">
        <f t="shared" si="121"/>
        <v>0</v>
      </c>
      <c r="R105" s="10">
        <f>SUMIFS(MainData!J:J,MainData!$A:$A,$A105)</f>
        <v>0</v>
      </c>
      <c r="S105" s="10">
        <f>SUMIFS(MainData!M:M,MainData!$A:$A,$A105)</f>
        <v>0</v>
      </c>
      <c r="T105" s="53">
        <f t="shared" si="122"/>
        <v>0</v>
      </c>
      <c r="U105" s="10">
        <f>SUMIFS(MainData!L:L,MainData!$A:$A,$A105)</f>
        <v>0</v>
      </c>
      <c r="V105" s="12">
        <f t="shared" si="123"/>
        <v>0</v>
      </c>
      <c r="W105" s="10">
        <f>SUMIFS(MainData!F:F,MainData!$A:$A,$A105)</f>
        <v>0</v>
      </c>
      <c r="X105" s="12">
        <f t="shared" si="124"/>
        <v>0</v>
      </c>
      <c r="Y105" s="11">
        <f>SUMIFS(MainData!H:H,MainData!$A:$A,$A105)</f>
        <v>0</v>
      </c>
      <c r="Z105" s="12">
        <f t="shared" si="125"/>
        <v>0</v>
      </c>
      <c r="AA105" s="11">
        <f>SUMIFS(MainData!I:I,MainData!$A:$A,$A105)</f>
        <v>0</v>
      </c>
      <c r="AB105" s="12">
        <f t="shared" si="126"/>
        <v>0</v>
      </c>
      <c r="AC105" s="182"/>
      <c r="AD105" s="18">
        <f t="shared" si="127"/>
        <v>0</v>
      </c>
      <c r="AE105" s="18">
        <f t="shared" si="128"/>
        <v>0</v>
      </c>
      <c r="AF105" s="18">
        <f t="shared" si="129"/>
        <v>0</v>
      </c>
      <c r="AG105" s="18">
        <f t="shared" si="130"/>
        <v>0</v>
      </c>
      <c r="AH105" s="18">
        <f t="shared" si="131"/>
        <v>15</v>
      </c>
      <c r="AI105" s="18">
        <f t="shared" si="132"/>
        <v>37.5</v>
      </c>
      <c r="AJ105" s="18">
        <f t="shared" si="133"/>
        <v>0</v>
      </c>
      <c r="AK105" s="18">
        <f t="shared" si="134"/>
        <v>0</v>
      </c>
      <c r="AL105" s="18">
        <f t="shared" si="135"/>
        <v>0</v>
      </c>
      <c r="AM105" s="36">
        <f t="shared" si="136"/>
        <v>53</v>
      </c>
      <c r="AN105" s="36">
        <f t="shared" si="137"/>
        <v>0</v>
      </c>
      <c r="AO105" s="183"/>
      <c r="AP105" s="184"/>
      <c r="AQ105" s="184"/>
      <c r="AR105" s="28"/>
      <c r="AS105" s="28"/>
      <c r="AT105" s="28"/>
      <c r="AU105" s="28"/>
      <c r="AV105" s="147"/>
      <c r="AW105" s="147"/>
      <c r="AX105" s="148"/>
      <c r="AY105" s="167"/>
      <c r="AZ105" s="167"/>
      <c r="BB105" s="170"/>
      <c r="BC105" s="202" t="e">
        <f>VLOOKUP(A105,ImportDataWA!A$14:AG$112,33,0)</f>
        <v>#N/A</v>
      </c>
    </row>
    <row r="106" spans="1:56" hidden="1" x14ac:dyDescent="0.25">
      <c r="A106" s="195" t="s">
        <v>89</v>
      </c>
      <c r="B106" s="9" t="str">
        <f>VLOOKUP($A106,MainData!$A$4:$E$1967,2,FALSE)</f>
        <v>VSE</v>
      </c>
      <c r="C106" s="9" t="str">
        <f>VLOOKUP($A106,MainData!$A$4:$E$1967,3,FALSE)</f>
        <v>Hussain Taher Fezaa</v>
      </c>
      <c r="D106" s="9" t="str">
        <f>VLOOKUP($A106,MainData!$A$4:$E$1967,4,FALSE)</f>
        <v>Mansour</v>
      </c>
      <c r="E106" s="9" t="str">
        <f>VLOOKUP($A106,MainData!$A$4:$E$1967,5,FALSE)</f>
        <v>Alaa Kamil Qassim</v>
      </c>
      <c r="F106" s="11">
        <f>SUMIFS(MainData!G:G,MainData!$A:$A,$A106)</f>
        <v>625178.30662011995</v>
      </c>
      <c r="G106" s="11">
        <f t="shared" si="148"/>
        <v>777777.77777777775</v>
      </c>
      <c r="H106" s="53">
        <f t="shared" si="118"/>
        <v>0.80380067994015425</v>
      </c>
      <c r="I106" s="10">
        <f>SUMIFS(MainData!F:F,MainData!$A:$A,$A106)</f>
        <v>159</v>
      </c>
      <c r="J106" s="10">
        <f t="shared" si="192"/>
        <v>889</v>
      </c>
      <c r="K106" s="53">
        <f t="shared" si="119"/>
        <v>0.17885264341957255</v>
      </c>
      <c r="L106" s="11">
        <f>SUMIFS(MainData!K:K,MainData!$A:$A,$A106)</f>
        <v>27651.515151515152</v>
      </c>
      <c r="M106" s="11">
        <f t="shared" si="151"/>
        <v>79545.45</v>
      </c>
      <c r="N106" s="53">
        <f t="shared" si="120"/>
        <v>0.34761906748299437</v>
      </c>
      <c r="O106" s="256">
        <f>SUMIFS(MainData!J:J,MainData!$A:$A,$A106)</f>
        <v>2</v>
      </c>
      <c r="P106" s="10">
        <f>IF($B106=$B$4,0,IF($B106=$B$1,VLOOKUP(D106,Target_Entry!$A$8:$AF$23,5,0),IF(LO!B106=LO!$B$2,VLOOKUP(LO!D106,Target_Entry!$A$8:$AF$23,25,0),IF(LO!B106=LO!$B$3,VLOOKUP(LO!D106,Target_Entry!$A$8:$AF$23,15,0)))))</f>
        <v>8</v>
      </c>
      <c r="Q106" s="53">
        <f t="shared" si="121"/>
        <v>0.25</v>
      </c>
      <c r="R106" s="10">
        <f>SUMIFS(MainData!J:J,MainData!$A:$A,$A106)</f>
        <v>2</v>
      </c>
      <c r="S106" s="10">
        <f>SUMIFS(MainData!M:M,MainData!$A:$A,$A106)</f>
        <v>2</v>
      </c>
      <c r="T106" s="53">
        <f t="shared" si="122"/>
        <v>1</v>
      </c>
      <c r="U106" s="10">
        <f>SUMIFS(MainData!L:L,MainData!$A:$A,$A106)</f>
        <v>0</v>
      </c>
      <c r="V106" s="12">
        <f t="shared" si="123"/>
        <v>0</v>
      </c>
      <c r="W106" s="10">
        <f>SUMIFS(MainData!F:F,MainData!$A:$A,$A106)</f>
        <v>159</v>
      </c>
      <c r="X106" s="12">
        <f t="shared" si="124"/>
        <v>0.63600000000000001</v>
      </c>
      <c r="Y106" s="11">
        <f>SUMIFS(MainData!H:H,MainData!$A:$A,$A106)</f>
        <v>14407.577176525527</v>
      </c>
      <c r="Z106" s="12">
        <f t="shared" si="125"/>
        <v>2.3045548804175111E-2</v>
      </c>
      <c r="AA106" s="11">
        <f>SUMIFS(MainData!I:I,MainData!$A:$A,$A106)</f>
        <v>5854.5704930193642</v>
      </c>
      <c r="AB106" s="231">
        <f t="shared" si="126"/>
        <v>9.3646411448131146E-3</v>
      </c>
      <c r="AC106" s="182"/>
      <c r="AD106" s="18">
        <f t="shared" si="127"/>
        <v>3.4600226646718069</v>
      </c>
      <c r="AE106" s="18">
        <f t="shared" si="128"/>
        <v>0</v>
      </c>
      <c r="AF106" s="18">
        <f t="shared" si="129"/>
        <v>0</v>
      </c>
      <c r="AG106" s="18">
        <f t="shared" si="130"/>
        <v>0</v>
      </c>
      <c r="AH106" s="18">
        <f t="shared" si="131"/>
        <v>8.0863353587474673</v>
      </c>
      <c r="AI106" s="18">
        <f t="shared" si="132"/>
        <v>35.158839713796723</v>
      </c>
      <c r="AJ106" s="18">
        <f t="shared" si="133"/>
        <v>1.36</v>
      </c>
      <c r="AK106" s="18">
        <f t="shared" si="134"/>
        <v>5</v>
      </c>
      <c r="AL106" s="18">
        <f t="shared" si="135"/>
        <v>0</v>
      </c>
      <c r="AM106" s="36">
        <f t="shared" si="136"/>
        <v>53</v>
      </c>
      <c r="AN106" s="36">
        <f t="shared" si="137"/>
        <v>0</v>
      </c>
      <c r="AO106" s="183">
        <v>735</v>
      </c>
      <c r="AP106" s="184">
        <v>0</v>
      </c>
      <c r="AQ106" s="184">
        <v>0</v>
      </c>
      <c r="AR106" s="28">
        <f>SUM(AO106:AQ106)</f>
        <v>735</v>
      </c>
      <c r="AS106" s="28">
        <f>IF(AO106&gt;0,ROUNDUP($AO106*AS$3,0),0)</f>
        <v>588</v>
      </c>
      <c r="AT106" s="163">
        <f>AR106-AS106</f>
        <v>147</v>
      </c>
      <c r="AU106" s="28">
        <f>IF(AO106&gt;0,ROUND(AN106/$AN$1*AU$3,0),0)</f>
        <v>0</v>
      </c>
      <c r="AV106" s="147">
        <f>AU106+AS106</f>
        <v>588</v>
      </c>
      <c r="AW106" s="147">
        <f>AV106-AR106</f>
        <v>-147</v>
      </c>
      <c r="AX106" s="148">
        <f>IFERROR(AV106/AR106,0)</f>
        <v>0.8</v>
      </c>
      <c r="AY106" s="167">
        <f t="shared" ref="AY106:AY110" si="243">AU106</f>
        <v>0</v>
      </c>
      <c r="AZ106" s="167">
        <f>IF(O106&lt;18,IF(AND(I106&gt;0,I106&lt;=60),60,IF(AND(I106&gt;60,I106&lt;=120),70,IF(AND(I106&gt;120,I106&lt;200),80,IF(I106&gt;=200,140,0)))),IF(O106&gt;=18,IF(AND(OR(D106="Mansour",D106="Wehda",D106="Alsadar",D106="Kadhimiya"),I106&gt;0,I106&lt;=60),100,IF(AND(OR(D106="Mansour",D106="Wehda",D106="Alsadar",D106&lt;&gt;"Kadhimiya"),I106&gt;60,I106&lt;=120),110,IF(AND(OR(D106="Mansour",D106="Wehda",D106="Alsadar",D106="Kadhimiya"),I106&gt;120,I106&lt;200),120,IF(AND(OR(D106="Mansour",D106="Wehda",D106&lt;&gt;"Alsadar",D106="Kadhimiya"),I106&gt;=200),180))))))</f>
        <v>80</v>
      </c>
      <c r="BB106" s="170">
        <f t="shared" ref="BB106:BB114" si="244">AU106-AY106</f>
        <v>0</v>
      </c>
      <c r="BC106" s="202">
        <f>VLOOKUP(A106,ImportDataWA!A$14:AG$112,33,0)</f>
        <v>98.088092410986562</v>
      </c>
      <c r="BD106" s="170">
        <f t="shared" ref="BD106:BD110" si="245">AU106-AY106</f>
        <v>0</v>
      </c>
    </row>
    <row r="107" spans="1:56" hidden="1" x14ac:dyDescent="0.25">
      <c r="A107" s="230" t="s">
        <v>92</v>
      </c>
      <c r="B107" s="9" t="str">
        <f>VLOOKUP($A107,MainData!$A$4:$E$1967,2,FALSE)</f>
        <v>Micro</v>
      </c>
      <c r="C107" s="9" t="str">
        <f>VLOOKUP($A107,MainData!$A$4:$E$1967,3,FALSE)</f>
        <v>Hussain Taher Fezaa</v>
      </c>
      <c r="D107" s="9" t="str">
        <f>VLOOKUP($A107,MainData!$A$4:$E$1967,4,FALSE)</f>
        <v>Mansour</v>
      </c>
      <c r="E107" s="9" t="str">
        <f>VLOOKUP($A107,MainData!$A$4:$E$1967,5,FALSE)</f>
        <v>Alaa Kamil Qassim</v>
      </c>
      <c r="F107" s="11">
        <f>SUMIFS(MainData!G:G,MainData!$A:$A,$A107)</f>
        <v>721507.50067340443</v>
      </c>
      <c r="G107" s="11">
        <f t="shared" si="148"/>
        <v>333333.33333333331</v>
      </c>
      <c r="H107" s="53">
        <f t="shared" si="118"/>
        <v>2.1645225020202132</v>
      </c>
      <c r="I107" s="10">
        <f>SUMIFS(MainData!F:F,MainData!$A:$A,$A107)</f>
        <v>182</v>
      </c>
      <c r="J107" s="10">
        <f t="shared" si="192"/>
        <v>400</v>
      </c>
      <c r="K107" s="53">
        <f t="shared" si="119"/>
        <v>0.45500000000000002</v>
      </c>
      <c r="L107" s="11">
        <f>SUMIFS(MainData!K:K,MainData!$A:$A,$A107)</f>
        <v>62878.787878787887</v>
      </c>
      <c r="M107" s="11">
        <f t="shared" si="151"/>
        <v>56818.18</v>
      </c>
      <c r="N107" s="53">
        <f t="shared" si="120"/>
        <v>1.1066667020800012</v>
      </c>
      <c r="O107" s="256">
        <f>SUMIFS(MainData!J:J,MainData!$A:$A,$A107)</f>
        <v>12</v>
      </c>
      <c r="P107" s="10">
        <f>IF($B107=$B$4,0,IF($B107=$B$1,VLOOKUP(D107,Target_Entry!$A$8:$AF$23,5,0),IF(LO!B107=LO!$B$2,VLOOKUP(LO!D107,Target_Entry!$A$8:$AF$23,25,0),IF(LO!B107=LO!$B$3,VLOOKUP(LO!D107,Target_Entry!$A$8:$AF$23,15,0)))))</f>
        <v>15</v>
      </c>
      <c r="Q107" s="53">
        <f t="shared" si="121"/>
        <v>0.8</v>
      </c>
      <c r="R107" s="10">
        <f>SUMIFS(MainData!J:J,MainData!$A:$A,$A107)</f>
        <v>12</v>
      </c>
      <c r="S107" s="10">
        <f>SUMIFS(MainData!M:M,MainData!$A:$A,$A107)</f>
        <v>7</v>
      </c>
      <c r="T107" s="53">
        <f t="shared" si="122"/>
        <v>0.58333333333333337</v>
      </c>
      <c r="U107" s="10">
        <f>SUMIFS(MainData!L:L,MainData!$A:$A,$A107)</f>
        <v>1</v>
      </c>
      <c r="V107" s="12">
        <f t="shared" si="123"/>
        <v>8.3333333333333329E-2</v>
      </c>
      <c r="W107" s="10">
        <f>SUMIFS(MainData!F:F,MainData!$A:$A,$A107)</f>
        <v>182</v>
      </c>
      <c r="X107" s="12">
        <f t="shared" si="124"/>
        <v>0.72799999999999998</v>
      </c>
      <c r="Y107" s="11">
        <f>SUMIFS(MainData!H:H,MainData!$A:$A,$A107)</f>
        <v>3517.9434621212117</v>
      </c>
      <c r="Z107" s="12">
        <f t="shared" si="125"/>
        <v>4.8758238255843635E-3</v>
      </c>
      <c r="AA107" s="11">
        <f>SUMIFS(MainData!I:I,MainData!$A:$A,$A107)</f>
        <v>9238.3709293142383</v>
      </c>
      <c r="AB107" s="231">
        <f t="shared" si="126"/>
        <v>1.2804261800039213E-2</v>
      </c>
      <c r="AC107" s="182"/>
      <c r="AD107" s="18">
        <f t="shared" si="127"/>
        <v>10</v>
      </c>
      <c r="AE107" s="18">
        <f t="shared" si="128"/>
        <v>0</v>
      </c>
      <c r="AF107" s="18">
        <f t="shared" si="129"/>
        <v>40.666670208000106</v>
      </c>
      <c r="AG107" s="18">
        <f t="shared" si="130"/>
        <v>0</v>
      </c>
      <c r="AH107" s="18">
        <f t="shared" si="131"/>
        <v>13.537252852324691</v>
      </c>
      <c r="AI107" s="18">
        <f t="shared" si="132"/>
        <v>34.298934549990193</v>
      </c>
      <c r="AJ107" s="18">
        <f t="shared" si="133"/>
        <v>2.2799999999999998</v>
      </c>
      <c r="AK107" s="18">
        <f t="shared" si="134"/>
        <v>3.8333333333333339</v>
      </c>
      <c r="AL107" s="18">
        <f t="shared" si="135"/>
        <v>1.3888888888888888</v>
      </c>
      <c r="AM107" s="36">
        <f t="shared" si="136"/>
        <v>106</v>
      </c>
      <c r="AN107" s="36">
        <f t="shared" si="137"/>
        <v>0</v>
      </c>
      <c r="AO107" s="183">
        <v>987</v>
      </c>
      <c r="AP107" s="184">
        <v>0</v>
      </c>
      <c r="AQ107" s="184">
        <v>0</v>
      </c>
      <c r="AR107" s="28">
        <f>SUM(AO107:AQ107)</f>
        <v>987</v>
      </c>
      <c r="AS107" s="28">
        <f>IF(AO107&gt;0,ROUNDUP($AO107*AS$3,0),0)</f>
        <v>790</v>
      </c>
      <c r="AT107" s="163">
        <f>AR107-AS107</f>
        <v>197</v>
      </c>
      <c r="AU107" s="28">
        <f>IF(AO107&gt;0,ROUND(AN107/$AN$1*AU$3,0),0)</f>
        <v>0</v>
      </c>
      <c r="AV107" s="147">
        <f>AU107+AS107</f>
        <v>790</v>
      </c>
      <c r="AW107" s="147">
        <f>AV107-AR107</f>
        <v>-197</v>
      </c>
      <c r="AX107" s="148">
        <f>IFERROR(AV107/AR107,0)</f>
        <v>0.80040526849037485</v>
      </c>
      <c r="AY107" s="167">
        <f t="shared" si="243"/>
        <v>0</v>
      </c>
      <c r="AZ107" s="167">
        <f>IF(O107&lt;18,IF(AND(I107&gt;0,I107&lt;=60),60,IF(AND(I107&gt;60,I107&lt;=120),70,IF(AND(I107&gt;120,I107&lt;200),80,IF(I107&gt;=200,140,0)))),IF(O107&gt;=18,IF(AND(OR(D107="Mansour",D107="Wehda",D107="Alsadar",D107="Kadhimiya"),I107&gt;0,I107&lt;=60),100,IF(AND(OR(D107="Mansour",D107="Wehda",D107="Alsadar",D107&lt;&gt;"Kadhimiya"),I107&gt;60,I107&lt;=120),110,IF(AND(OR(D107="Mansour",D107="Wehda",D107="Alsadar",D107="Kadhimiya"),I107&gt;120,I107&lt;200),120,IF(AND(OR(D107="Mansour",D107="Wehda",D107&lt;&gt;"Alsadar",D107="Kadhimiya"),I107&gt;=200),180))))))</f>
        <v>80</v>
      </c>
      <c r="BB107" s="170">
        <f t="shared" si="244"/>
        <v>0</v>
      </c>
      <c r="BC107" s="202">
        <f>VLOOKUP(A107,ImportDataWA!A$14:AG$112,33,0)</f>
        <v>98.65045940819374</v>
      </c>
      <c r="BD107" s="170">
        <f t="shared" si="245"/>
        <v>0</v>
      </c>
    </row>
    <row r="108" spans="1:56" hidden="1" x14ac:dyDescent="0.25">
      <c r="A108" s="77" t="s">
        <v>388</v>
      </c>
      <c r="B108" s="9" t="str">
        <f>VLOOKUP($A108,MainData!$A$4:$E$1967,2,FALSE)</f>
        <v>Micro</v>
      </c>
      <c r="C108" s="9" t="str">
        <f>VLOOKUP($A108,MainData!$A$4:$E$1967,3,FALSE)</f>
        <v>Mohamad  Morshid Kadhum</v>
      </c>
      <c r="D108" s="9" t="str">
        <f>VLOOKUP($A108,MainData!$A$4:$E$1967,4,FALSE)</f>
        <v>Mansour</v>
      </c>
      <c r="E108" s="9" t="str">
        <f>VLOOKUP($A108,MainData!$A$4:$E$1967,5,FALSE)</f>
        <v>Alaa Kamil Qassim</v>
      </c>
      <c r="F108" s="11">
        <f>SUMIFS(MainData!G:G,MainData!$A:$A,$A108)</f>
        <v>635744.60198799649</v>
      </c>
      <c r="G108" s="11">
        <f t="shared" si="148"/>
        <v>333333.33333333331</v>
      </c>
      <c r="H108" s="53">
        <f t="shared" ref="H108" si="246">IFERROR(F108/G108,0)</f>
        <v>1.9072338059639895</v>
      </c>
      <c r="I108" s="10">
        <f>SUMIFS(MainData!F:F,MainData!$A:$A,$A108)</f>
        <v>202</v>
      </c>
      <c r="J108" s="10">
        <f t="shared" si="192"/>
        <v>400</v>
      </c>
      <c r="K108" s="53">
        <f t="shared" ref="K108" si="247">IFERROR(I108/J108,0)</f>
        <v>0.505</v>
      </c>
      <c r="L108" s="11">
        <f>SUMIFS(MainData!K:K,MainData!$A:$A,$A108)</f>
        <v>49242.42424242424</v>
      </c>
      <c r="M108" s="11">
        <f t="shared" si="151"/>
        <v>56818.18</v>
      </c>
      <c r="N108" s="53">
        <f t="shared" ref="N108" si="248">IFERROR(L108/M108,0)</f>
        <v>0.86666669440000088</v>
      </c>
      <c r="O108" s="256">
        <f>SUMIFS(MainData!J:J,MainData!$A:$A,$A108)</f>
        <v>13</v>
      </c>
      <c r="P108" s="10">
        <f>IF($B108=$B$4,0,IF($B108=$B$1,VLOOKUP(D108,Target_Entry!$A$8:$AF$23,5,0),IF(LO!B108=LO!$B$2,VLOOKUP(LO!D108,Target_Entry!$A$8:$AF$23,25,0),IF(LO!B108=LO!$B$3,VLOOKUP(LO!D108,Target_Entry!$A$8:$AF$23,15,0)))))</f>
        <v>15</v>
      </c>
      <c r="Q108" s="53">
        <f t="shared" ref="Q108" si="249">IFERROR(O108/P108,0)</f>
        <v>0.8666666666666667</v>
      </c>
      <c r="R108" s="10">
        <f>SUMIFS(MainData!J:J,MainData!$A:$A,$A108)</f>
        <v>13</v>
      </c>
      <c r="S108" s="10">
        <f>SUMIFS(MainData!M:M,MainData!$A:$A,$A108)</f>
        <v>4</v>
      </c>
      <c r="T108" s="53">
        <f t="shared" ref="T108" si="250">IFERROR(S108/R108,0)</f>
        <v>0.30769230769230771</v>
      </c>
      <c r="U108" s="10">
        <f>SUMIFS(MainData!L:L,MainData!$A:$A,$A108)</f>
        <v>1</v>
      </c>
      <c r="V108" s="12">
        <f t="shared" ref="V108" si="251">IFERROR(U108/R108,0)</f>
        <v>7.6923076923076927E-2</v>
      </c>
      <c r="W108" s="10">
        <f>SUMIFS(MainData!F:F,MainData!$A:$A,$A108)</f>
        <v>202</v>
      </c>
      <c r="X108" s="12">
        <f t="shared" ref="X108" si="252">IF($B108=$B$2,W108/X$3,W108/X$2)</f>
        <v>0.80800000000000005</v>
      </c>
      <c r="Y108" s="11">
        <f>SUMIFS(MainData!H:H,MainData!$A:$A,$A108)</f>
        <v>2686.9647424242426</v>
      </c>
      <c r="Z108" s="12">
        <f t="shared" ref="Z108" si="253">IFERROR(Y108/$F108,0)</f>
        <v>4.2264845568833866E-3</v>
      </c>
      <c r="AA108" s="11">
        <f>SUMIFS(MainData!I:I,MainData!$A:$A,$A108)</f>
        <v>2653.9694545454545</v>
      </c>
      <c r="AB108" s="231">
        <f t="shared" ref="AB108" si="254">IFERROR(AA108/$F108,0)</f>
        <v>4.1745843318942788E-3</v>
      </c>
      <c r="AC108" s="182"/>
      <c r="AD108" s="18"/>
      <c r="AE108" s="18"/>
      <c r="AF108" s="18"/>
      <c r="AG108" s="18"/>
      <c r="AH108" s="18"/>
      <c r="AI108" s="18"/>
      <c r="AJ108" s="18"/>
      <c r="AK108" s="18"/>
      <c r="AL108" s="18"/>
      <c r="AM108" s="36"/>
      <c r="AN108" s="36"/>
      <c r="AO108" s="183"/>
      <c r="AP108" s="184"/>
      <c r="AQ108" s="184"/>
      <c r="AR108" s="28"/>
      <c r="AS108" s="28"/>
      <c r="AT108" s="163"/>
      <c r="AU108" s="28"/>
      <c r="AV108" s="147"/>
      <c r="AW108" s="147"/>
      <c r="AX108" s="148"/>
      <c r="AY108" s="167"/>
      <c r="AZ108" s="167"/>
      <c r="BB108" s="170"/>
      <c r="BC108" s="202"/>
      <c r="BD108" s="170"/>
    </row>
    <row r="109" spans="1:56" hidden="1" x14ac:dyDescent="0.25">
      <c r="A109" s="197" t="s">
        <v>351</v>
      </c>
      <c r="B109" s="9" t="str">
        <f>VLOOKUP($A109,MainData!$A$4:$E$1967,2,FALSE)</f>
        <v>Micro</v>
      </c>
      <c r="C109" s="9" t="str">
        <f>VLOOKUP($A109,MainData!$A$4:$E$1967,3,FALSE)</f>
        <v>Hussain Taher Fezaa</v>
      </c>
      <c r="D109" s="9" t="str">
        <f>VLOOKUP($A109,MainData!$A$4:$E$1967,4,FALSE)</f>
        <v>Mansour</v>
      </c>
      <c r="E109" s="9" t="str">
        <f>VLOOKUP($A109,MainData!$A$4:$E$1967,5,FALSE)</f>
        <v>Alaa Kamil Qassim</v>
      </c>
      <c r="F109" s="11">
        <f>SUMIFS(MainData!G:G,MainData!$A:$A,$A109)</f>
        <v>695638.74932069099</v>
      </c>
      <c r="G109" s="11">
        <f t="shared" si="148"/>
        <v>333333.33333333331</v>
      </c>
      <c r="H109" s="53">
        <f t="shared" si="118"/>
        <v>2.0869162479620731</v>
      </c>
      <c r="I109" s="10">
        <f>SUMIFS(MainData!F:F,MainData!$A:$A,$A109)</f>
        <v>207</v>
      </c>
      <c r="J109" s="10">
        <f t="shared" si="192"/>
        <v>400</v>
      </c>
      <c r="K109" s="53">
        <f t="shared" si="119"/>
        <v>0.51749999999999996</v>
      </c>
      <c r="L109" s="11">
        <f>SUMIFS(MainData!K:K,MainData!$A:$A,$A109)</f>
        <v>68560.606060606064</v>
      </c>
      <c r="M109" s="11">
        <f t="shared" si="151"/>
        <v>56818.18</v>
      </c>
      <c r="N109" s="53">
        <f t="shared" si="120"/>
        <v>1.2066667052800013</v>
      </c>
      <c r="O109" s="256">
        <f>SUMIFS(MainData!J:J,MainData!$A:$A,$A109)</f>
        <v>10</v>
      </c>
      <c r="P109" s="10">
        <f>IF($B109=$B$4,0,IF($B109=$B$1,VLOOKUP(D109,Target_Entry!$A$8:$AF$23,5,0),IF(LO!B109=LO!$B$2,VLOOKUP(LO!D109,Target_Entry!$A$8:$AF$23,25,0),IF(LO!B109=LO!$B$3,VLOOKUP(LO!D109,Target_Entry!$A$8:$AF$23,15,0)))))</f>
        <v>15</v>
      </c>
      <c r="Q109" s="53">
        <f t="shared" si="121"/>
        <v>0.66666666666666663</v>
      </c>
      <c r="R109" s="10">
        <f>SUMIFS(MainData!J:J,MainData!$A:$A,$A109)</f>
        <v>10</v>
      </c>
      <c r="S109" s="10">
        <f>SUMIFS(MainData!M:M,MainData!$A:$A,$A109)</f>
        <v>4</v>
      </c>
      <c r="T109" s="53">
        <f t="shared" si="122"/>
        <v>0.4</v>
      </c>
      <c r="U109" s="10">
        <f>SUMIFS(MainData!L:L,MainData!$A:$A,$A109)</f>
        <v>3</v>
      </c>
      <c r="V109" s="12">
        <f t="shared" si="123"/>
        <v>0.3</v>
      </c>
      <c r="W109" s="10">
        <f>SUMIFS(MainData!F:F,MainData!$A:$A,$A109)</f>
        <v>207</v>
      </c>
      <c r="X109" s="12">
        <f t="shared" si="124"/>
        <v>0.82799999999999996</v>
      </c>
      <c r="Y109" s="11">
        <f>SUMIFS(MainData!H:H,MainData!$A:$A,$A109)</f>
        <v>1839.5334043535381</v>
      </c>
      <c r="Z109" s="12">
        <f t="shared" si="125"/>
        <v>2.6443802996165603E-3</v>
      </c>
      <c r="AA109" s="11">
        <f>SUMIFS(MainData!I:I,MainData!$A:$A,$A109)</f>
        <v>8173.2235757575754</v>
      </c>
      <c r="AB109" s="12">
        <f t="shared" si="126"/>
        <v>1.1749235625155926E-2</v>
      </c>
      <c r="AC109" s="182"/>
      <c r="AD109" s="18">
        <f t="shared" si="127"/>
        <v>10</v>
      </c>
      <c r="AE109" s="18">
        <f t="shared" si="128"/>
        <v>0</v>
      </c>
      <c r="AF109" s="18">
        <f t="shared" si="129"/>
        <v>45</v>
      </c>
      <c r="AG109" s="18">
        <f t="shared" si="130"/>
        <v>0</v>
      </c>
      <c r="AH109" s="18">
        <f t="shared" si="131"/>
        <v>14.206685910115032</v>
      </c>
      <c r="AI109" s="18">
        <f t="shared" si="132"/>
        <v>34.562691093711017</v>
      </c>
      <c r="AJ109" s="18">
        <f t="shared" si="133"/>
        <v>3.2799999999999994</v>
      </c>
      <c r="AK109" s="18">
        <f t="shared" si="134"/>
        <v>2.0000000000000004</v>
      </c>
      <c r="AL109" s="18">
        <f t="shared" si="135"/>
        <v>5</v>
      </c>
      <c r="AM109" s="36">
        <f t="shared" si="136"/>
        <v>114</v>
      </c>
      <c r="AN109" s="36">
        <f t="shared" si="137"/>
        <v>0</v>
      </c>
      <c r="AO109" s="183">
        <v>600</v>
      </c>
      <c r="AP109" s="184">
        <v>0</v>
      </c>
      <c r="AQ109" s="184">
        <v>0</v>
      </c>
      <c r="AR109" s="28">
        <f>SUM(AO109:AQ109)</f>
        <v>600</v>
      </c>
      <c r="AS109" s="28">
        <f>IF(AO109&gt;0,ROUNDUP($AO109*AS$3,0),0)</f>
        <v>480</v>
      </c>
      <c r="AT109" s="163">
        <f>AR109-AS109</f>
        <v>120</v>
      </c>
      <c r="AU109" s="28">
        <f>IF(AO109&gt;0,ROUND(AN109/$AN$1*AU$3,0),0)</f>
        <v>0</v>
      </c>
      <c r="AV109" s="147">
        <f>AU109+AS109</f>
        <v>480</v>
      </c>
      <c r="AW109" s="147">
        <f>AV109-AR109</f>
        <v>-120</v>
      </c>
      <c r="AX109" s="148">
        <f>IFERROR(AV109/AR109,0)</f>
        <v>0.8</v>
      </c>
      <c r="AY109" s="167">
        <f t="shared" si="243"/>
        <v>0</v>
      </c>
      <c r="AZ109" s="167">
        <f>IF(O109&lt;18,IF(AND(I109&gt;0,I109&lt;=60),60,IF(AND(I109&gt;60,I109&lt;=120),70,IF(AND(I109&gt;120,I109&lt;200),80,IF(I109&gt;=200,140,0)))),IF(O109&gt;=18,IF(AND(OR(D109="Mansour",D109="Wehda",D109="Alsadar",D109="Kadhimiya"),I109&gt;0,I109&lt;=60),100,IF(AND(OR(D109="Mansour",D109="Wehda",D109="Alsadar",D109&lt;&gt;"Kadhimiya"),I109&gt;60,I109&lt;=120),110,IF(AND(OR(D109="Mansour",D109="Wehda",D109="Alsadar",D109="Kadhimiya"),I109&gt;120,I109&lt;200),120,IF(AND(OR(D109="Mansour",D109="Wehda",D109&lt;&gt;"Alsadar",D109="Kadhimiya"),I109&gt;=200),180))))))</f>
        <v>140</v>
      </c>
      <c r="BB109" s="170">
        <f t="shared" si="244"/>
        <v>0</v>
      </c>
      <c r="BC109" s="202">
        <f>VLOOKUP(A109,ImportDataWA!A$14:AG$112,33,0)</f>
        <v>99.048188408444418</v>
      </c>
      <c r="BD109" s="170">
        <f t="shared" si="245"/>
        <v>0</v>
      </c>
    </row>
    <row r="110" spans="1:56" hidden="1" x14ac:dyDescent="0.25">
      <c r="A110" s="195" t="s">
        <v>345</v>
      </c>
      <c r="B110" s="9" t="str">
        <f>VLOOKUP($A110,MainData!$A$4:$E$1967,2,FALSE)</f>
        <v>Micro</v>
      </c>
      <c r="C110" s="9" t="str">
        <f>VLOOKUP($A110,MainData!$A$4:$E$1967,3,FALSE)</f>
        <v>Mohamad  Morshid Kadhum</v>
      </c>
      <c r="D110" s="9" t="str">
        <f>VLOOKUP($A110,MainData!$A$4:$E$1967,4,FALSE)</f>
        <v>Mansour</v>
      </c>
      <c r="E110" s="9" t="str">
        <f>VLOOKUP($A110,MainData!$A$4:$E$1967,5,FALSE)</f>
        <v>Alaa Kamil Qassim</v>
      </c>
      <c r="F110" s="11">
        <f>SUMIFS(MainData!G:G,MainData!$A:$A,$A110)</f>
        <v>573797.51471936889</v>
      </c>
      <c r="G110" s="11">
        <f t="shared" si="148"/>
        <v>333333.33333333331</v>
      </c>
      <c r="H110" s="53">
        <f t="shared" si="118"/>
        <v>1.7213925441581068</v>
      </c>
      <c r="I110" s="10">
        <f>SUMIFS(MainData!F:F,MainData!$A:$A,$A110)</f>
        <v>180</v>
      </c>
      <c r="J110" s="10">
        <f t="shared" si="192"/>
        <v>400</v>
      </c>
      <c r="K110" s="53">
        <f t="shared" si="119"/>
        <v>0.45</v>
      </c>
      <c r="L110" s="11">
        <f>SUMIFS(MainData!K:K,MainData!$A:$A,$A110)</f>
        <v>49242.424242424226</v>
      </c>
      <c r="M110" s="11">
        <f t="shared" si="151"/>
        <v>56818.18</v>
      </c>
      <c r="N110" s="53">
        <f t="shared" si="120"/>
        <v>0.86666669440000055</v>
      </c>
      <c r="O110" s="256">
        <f>SUMIFS(MainData!J:J,MainData!$A:$A,$A110)</f>
        <v>12</v>
      </c>
      <c r="P110" s="10">
        <f>IF($B110=$B$4,0,IF($B110=$B$1,VLOOKUP(D110,Target_Entry!$A$8:$AF$23,5,0),IF(LO!B110=LO!$B$2,VLOOKUP(LO!D110,Target_Entry!$A$8:$AF$23,25,0),IF(LO!B110=LO!$B$3,VLOOKUP(LO!D110,Target_Entry!$A$8:$AF$23,15,0)))))</f>
        <v>15</v>
      </c>
      <c r="Q110" s="53">
        <f t="shared" si="121"/>
        <v>0.8</v>
      </c>
      <c r="R110" s="10">
        <f>SUMIFS(MainData!J:J,MainData!$A:$A,$A110)</f>
        <v>12</v>
      </c>
      <c r="S110" s="10">
        <f>SUMIFS(MainData!M:M,MainData!$A:$A,$A110)</f>
        <v>9</v>
      </c>
      <c r="T110" s="53">
        <f t="shared" si="122"/>
        <v>0.75</v>
      </c>
      <c r="U110" s="10">
        <f>SUMIFS(MainData!L:L,MainData!$A:$A,$A110)</f>
        <v>1</v>
      </c>
      <c r="V110" s="12">
        <f t="shared" si="123"/>
        <v>8.3333333333333329E-2</v>
      </c>
      <c r="W110" s="10">
        <f>SUMIFS(MainData!F:F,MainData!$A:$A,$A110)</f>
        <v>180</v>
      </c>
      <c r="X110" s="12">
        <f t="shared" si="124"/>
        <v>0.72</v>
      </c>
      <c r="Y110" s="11">
        <f>SUMIFS(MainData!H:H,MainData!$A:$A,$A110)</f>
        <v>16231.823901515148</v>
      </c>
      <c r="Z110" s="12">
        <f t="shared" si="125"/>
        <v>2.8288417926406947E-2</v>
      </c>
      <c r="AA110" s="11">
        <f>SUMIFS(MainData!I:I,MainData!$A:$A,$A110)</f>
        <v>9670.6832597557077</v>
      </c>
      <c r="AB110" s="231">
        <f t="shared" si="126"/>
        <v>1.6853825629561007E-2</v>
      </c>
      <c r="AC110" s="182"/>
      <c r="AD110" s="18">
        <f t="shared" si="127"/>
        <v>10</v>
      </c>
      <c r="AE110" s="18">
        <f t="shared" si="128"/>
        <v>0</v>
      </c>
      <c r="AF110" s="18">
        <f t="shared" si="129"/>
        <v>16.666669440000049</v>
      </c>
      <c r="AG110" s="18">
        <f t="shared" si="130"/>
        <v>0</v>
      </c>
      <c r="AH110" s="18">
        <f t="shared" si="131"/>
        <v>6.5134746220779167</v>
      </c>
      <c r="AI110" s="18">
        <f t="shared" si="132"/>
        <v>33.286543592609746</v>
      </c>
      <c r="AJ110" s="18">
        <f t="shared" si="133"/>
        <v>2.1999999999999997</v>
      </c>
      <c r="AK110" s="18">
        <f t="shared" si="134"/>
        <v>5</v>
      </c>
      <c r="AL110" s="18">
        <f t="shared" si="135"/>
        <v>1.3888888888888888</v>
      </c>
      <c r="AM110" s="36">
        <f t="shared" si="136"/>
        <v>75</v>
      </c>
      <c r="AN110" s="36">
        <f t="shared" si="137"/>
        <v>0</v>
      </c>
      <c r="AO110" s="183">
        <v>731</v>
      </c>
      <c r="AP110" s="184"/>
      <c r="AQ110" s="184"/>
      <c r="AR110" s="28">
        <f>SUM(AO110:AQ110)</f>
        <v>731</v>
      </c>
      <c r="AS110" s="28">
        <f>IF(AO110&gt;0,ROUNDUP($AO110*AS$3,0),0)</f>
        <v>585</v>
      </c>
      <c r="AT110" s="163">
        <f>AR110-AS110</f>
        <v>146</v>
      </c>
      <c r="AU110" s="28">
        <f>IF(AO110&gt;0,ROUND(AN110/$AN$1*AU$3,0),0)</f>
        <v>0</v>
      </c>
      <c r="AV110" s="147">
        <f>AU110+AS110</f>
        <v>585</v>
      </c>
      <c r="AW110" s="147">
        <f>AV110-AR110</f>
        <v>-146</v>
      </c>
      <c r="AX110" s="148">
        <f>IFERROR(AV110/AR110,0)</f>
        <v>0.80027359781121754</v>
      </c>
      <c r="AY110" s="167">
        <f t="shared" si="243"/>
        <v>0</v>
      </c>
      <c r="AZ110" s="167">
        <f>IF(O110&lt;18,IF(AND(I110&gt;0,I110&lt;=60),60,IF(AND(I110&gt;60,I110&lt;=120),70,IF(AND(I110&gt;120,I110&lt;200),80,IF(I110&gt;=200,140,0)))),IF(O110&gt;=18,IF(AND(OR(D110="Mansour",D110="Wehda",D110="Alsadar",D110="Kadhimiya"),I110&gt;0,I110&lt;=60),100,IF(AND(OR(D110="Mansour",D110="Wehda",D110="Alsadar",D110&lt;&gt;"Kadhimiya"),I110&gt;60,I110&lt;=120),110,IF(AND(OR(D110="Mansour",D110="Wehda",D110="Alsadar",D110="Kadhimiya"),I110&gt;120,I110&lt;200),120,IF(AND(OR(D110="Mansour",D110="Wehda",D110&lt;&gt;"Alsadar",D110="Kadhimiya"),I110&gt;=200),180))))))</f>
        <v>80</v>
      </c>
      <c r="BB110" s="170">
        <f t="shared" si="244"/>
        <v>0</v>
      </c>
      <c r="BC110" s="202">
        <f>VLOOKUP(A110,ImportDataWA!A$14:AG$112,33,0)</f>
        <v>98.570461281709228</v>
      </c>
      <c r="BD110" s="170">
        <f t="shared" si="245"/>
        <v>0</v>
      </c>
    </row>
    <row r="111" spans="1:56" hidden="1" x14ac:dyDescent="0.25">
      <c r="A111" s="197" t="s">
        <v>357</v>
      </c>
      <c r="B111" s="9" t="str">
        <f>VLOOKUP($A111,MainData!$A$4:$E$1967,2,FALSE)</f>
        <v>Micro</v>
      </c>
      <c r="C111" s="9" t="str">
        <f>VLOOKUP($A111,MainData!$A$4:$E$1967,3,FALSE)</f>
        <v>Hussain Taher Fezaa</v>
      </c>
      <c r="D111" s="9" t="s">
        <v>155</v>
      </c>
      <c r="E111" s="9" t="str">
        <f>VLOOKUP($A111,MainData!$A$4:$E$1967,5,FALSE)</f>
        <v>Alaa Kamil Qassim</v>
      </c>
      <c r="F111" s="11">
        <f>SUMIFS(MainData!G:G,MainData!$A:$A,$A111)</f>
        <v>456818.22117322008</v>
      </c>
      <c r="G111" s="11">
        <f t="shared" si="148"/>
        <v>333333.33333333331</v>
      </c>
      <c r="H111" s="53">
        <f t="shared" si="118"/>
        <v>1.3704546635196604</v>
      </c>
      <c r="I111" s="10">
        <f>SUMIFS(MainData!F:F,MainData!$A:$A,$A111)</f>
        <v>149</v>
      </c>
      <c r="J111" s="10">
        <f t="shared" si="192"/>
        <v>400</v>
      </c>
      <c r="K111" s="53">
        <f t="shared" si="119"/>
        <v>0.3725</v>
      </c>
      <c r="L111" s="11">
        <f>SUMIFS(MainData!K:K,MainData!$A:$A,$A111)</f>
        <v>22727.272727272728</v>
      </c>
      <c r="M111" s="11">
        <f t="shared" si="151"/>
        <v>56818.18</v>
      </c>
      <c r="N111" s="53">
        <f t="shared" si="120"/>
        <v>0.40000001280000042</v>
      </c>
      <c r="O111" s="256">
        <f>SUMIFS(MainData!J:J,MainData!$A:$A,$A111)</f>
        <v>4</v>
      </c>
      <c r="P111" s="10">
        <f>IF($B111=$B$4,0,IF($B111=$B$1,VLOOKUP(D111,Target_Entry!$A$8:$AF$23,5,0),IF(LO!B111=LO!$B$2,VLOOKUP(LO!D111,Target_Entry!$A$8:$AF$23,25,0),IF(LO!B111=LO!$B$3,VLOOKUP(LO!D111,Target_Entry!$A$8:$AF$23,15,0)))))</f>
        <v>15</v>
      </c>
      <c r="Q111" s="53">
        <f t="shared" si="121"/>
        <v>0.26666666666666666</v>
      </c>
      <c r="R111" s="10">
        <f>SUMIFS(MainData!J:J,MainData!$A:$A,$A111)</f>
        <v>4</v>
      </c>
      <c r="S111" s="10">
        <f>SUMIFS(MainData!M:M,MainData!$A:$A,$A111)</f>
        <v>3</v>
      </c>
      <c r="T111" s="53">
        <f t="shared" si="122"/>
        <v>0.75</v>
      </c>
      <c r="U111" s="10">
        <f>SUMIFS(MainData!L:L,MainData!$A:$A,$A111)</f>
        <v>2</v>
      </c>
      <c r="V111" s="12">
        <f t="shared" si="123"/>
        <v>0.5</v>
      </c>
      <c r="W111" s="10">
        <f>SUMIFS(MainData!F:F,MainData!$A:$A,$A111)</f>
        <v>149</v>
      </c>
      <c r="X111" s="12">
        <f t="shared" si="124"/>
        <v>0.59599999999999997</v>
      </c>
      <c r="Y111" s="11">
        <f>SUMIFS(MainData!H:H,MainData!$A:$A,$A111)</f>
        <v>5218.345159090909</v>
      </c>
      <c r="Z111" s="12">
        <f t="shared" si="125"/>
        <v>1.1423242150212249E-2</v>
      </c>
      <c r="AA111" s="11">
        <f>SUMIFS(MainData!I:I,MainData!$A:$A,$A111)</f>
        <v>27879.641416666669</v>
      </c>
      <c r="AB111" s="12">
        <f t="shared" si="126"/>
        <v>6.1030055554844073E-2</v>
      </c>
      <c r="AC111" s="182"/>
      <c r="AD111" s="18">
        <f t="shared" si="127"/>
        <v>10</v>
      </c>
      <c r="AE111" s="18">
        <f t="shared" si="128"/>
        <v>0</v>
      </c>
      <c r="AF111" s="18">
        <f t="shared" si="129"/>
        <v>0</v>
      </c>
      <c r="AG111" s="18">
        <f t="shared" si="130"/>
        <v>0</v>
      </c>
      <c r="AH111" s="18">
        <f t="shared" si="131"/>
        <v>11.573027354936325</v>
      </c>
      <c r="AI111" s="18">
        <f t="shared" si="132"/>
        <v>22.242486111288979</v>
      </c>
      <c r="AJ111" s="18">
        <f t="shared" si="133"/>
        <v>0.95999999999999974</v>
      </c>
      <c r="AK111" s="18">
        <f t="shared" si="134"/>
        <v>5</v>
      </c>
      <c r="AL111" s="18">
        <f t="shared" si="135"/>
        <v>5</v>
      </c>
      <c r="AM111" s="36">
        <f t="shared" si="136"/>
        <v>55</v>
      </c>
      <c r="AN111" s="36">
        <f t="shared" si="137"/>
        <v>0</v>
      </c>
      <c r="AO111" s="183"/>
      <c r="AP111" s="187"/>
      <c r="AQ111" s="187"/>
      <c r="AR111" s="28"/>
      <c r="AS111" s="28"/>
      <c r="AT111" s="163"/>
      <c r="AU111" s="28"/>
      <c r="AV111" s="147"/>
      <c r="AW111" s="147"/>
      <c r="AX111" s="148"/>
      <c r="AY111" s="167"/>
      <c r="AZ111" s="167"/>
      <c r="BB111" s="170">
        <f t="shared" si="244"/>
        <v>0</v>
      </c>
      <c r="BC111" s="202" t="e">
        <f>VLOOKUP(A111,ImportDataWA!A$14:AG$112,33,0)</f>
        <v>#N/A</v>
      </c>
    </row>
    <row r="112" spans="1:56" hidden="1" x14ac:dyDescent="0.25">
      <c r="A112" s="198" t="s">
        <v>32</v>
      </c>
      <c r="B112" s="9" t="str">
        <f>VLOOKUP($A112,MainData!$A$4:$E$1967,2,FALSE)</f>
        <v>Micro</v>
      </c>
      <c r="C112" s="9" t="str">
        <f>VLOOKUP($A112,MainData!$A$4:$E$1967,3,FALSE)</f>
        <v>Methaq Abdul Amir Jasim</v>
      </c>
      <c r="D112" s="9" t="str">
        <f>VLOOKUP($A112,MainData!$A$4:$E$1967,4,FALSE)</f>
        <v>Mudaina</v>
      </c>
      <c r="E112" s="9" t="str">
        <f>VLOOKUP($A112,MainData!$A$4:$E$1967,5,FALSE)</f>
        <v>Adel Abdul Ameer Farhod   </v>
      </c>
      <c r="F112" s="11">
        <f>SUMIFS(MainData!G:G,MainData!$A:$A,$A112)</f>
        <v>612246.39999050274</v>
      </c>
      <c r="G112" s="11">
        <f t="shared" si="148"/>
        <v>333333.33333333331</v>
      </c>
      <c r="H112" s="53">
        <f t="shared" ref="H112:H161" si="255">IFERROR(F112/G112,0)</f>
        <v>1.8367391999715084</v>
      </c>
      <c r="I112" s="10">
        <f>SUMIFS(MainData!F:F,MainData!$A:$A,$A112)</f>
        <v>238</v>
      </c>
      <c r="J112" s="10">
        <f t="shared" si="192"/>
        <v>400</v>
      </c>
      <c r="K112" s="53">
        <f t="shared" ref="K112:K161" si="256">IFERROR(I112/J112,0)</f>
        <v>0.59499999999999997</v>
      </c>
      <c r="L112" s="11">
        <f>SUMIFS(MainData!K:K,MainData!$A:$A,$A112)</f>
        <v>72424.242424242417</v>
      </c>
      <c r="M112" s="11">
        <f t="shared" si="151"/>
        <v>56818.18</v>
      </c>
      <c r="N112" s="53">
        <f t="shared" ref="N112:N161" si="257">IFERROR(L112/M112,0)</f>
        <v>1.2746667074560012</v>
      </c>
      <c r="O112" s="256">
        <f>SUMIFS(MainData!J:J,MainData!$A:$A,$A112)</f>
        <v>17</v>
      </c>
      <c r="P112" s="10">
        <f>IF($B112=$B$4,0,IF($B112=$B$1,VLOOKUP(D112,Target_Entry!$A$8:$AF$23,5,0),IF(LO!B112=LO!$B$2,VLOOKUP(LO!D112,Target_Entry!$A$8:$AF$23,25,0),IF(LO!B112=LO!$B$3,VLOOKUP(LO!D112,Target_Entry!$A$8:$AF$23,15,0)))))</f>
        <v>15</v>
      </c>
      <c r="Q112" s="53">
        <f t="shared" ref="Q112:Q161" si="258">IFERROR(O112/P112,0)</f>
        <v>1.1333333333333333</v>
      </c>
      <c r="R112" s="10">
        <f>SUMIFS(MainData!J:J,MainData!$A:$A,$A112)</f>
        <v>17</v>
      </c>
      <c r="S112" s="10">
        <f>SUMIFS(MainData!M:M,MainData!$A:$A,$A112)</f>
        <v>9</v>
      </c>
      <c r="T112" s="53">
        <f t="shared" ref="T112:T161" si="259">IFERROR(S112/R112,0)</f>
        <v>0.52941176470588236</v>
      </c>
      <c r="U112" s="10">
        <f>SUMIFS(MainData!L:L,MainData!$A:$A,$A112)</f>
        <v>7</v>
      </c>
      <c r="V112" s="12">
        <f t="shared" ref="V112:V161" si="260">IFERROR(U112/R112,0)</f>
        <v>0.41176470588235292</v>
      </c>
      <c r="W112" s="10">
        <f>SUMIFS(MainData!F:F,MainData!$A:$A,$A112)</f>
        <v>238</v>
      </c>
      <c r="X112" s="12">
        <f t="shared" ref="X112:X161" si="261">IF($B112=$B$2,W112/X$3,W112/X$2)</f>
        <v>0.95199999999999996</v>
      </c>
      <c r="Y112" s="11">
        <f>SUMIFS(MainData!H:H,MainData!$A:$A,$A112)</f>
        <v>0</v>
      </c>
      <c r="Z112" s="12">
        <f t="shared" ref="Z112:Z161" si="262">IFERROR(Y112/$F112,0)</f>
        <v>0</v>
      </c>
      <c r="AA112" s="11">
        <f>SUMIFS(MainData!I:I,MainData!$A:$A,$A112)</f>
        <v>0</v>
      </c>
      <c r="AB112" s="231">
        <f t="shared" ref="AB112:AB161" si="263">IFERROR(AA112/$F112,0)</f>
        <v>0</v>
      </c>
      <c r="AC112" s="182"/>
      <c r="AD112" s="18">
        <f t="shared" ref="AD112:AD161" si="264">MAX(AD$5,MIN(AD$4,AD$1*(H112/(AD$2-AD$3)-(AD$3/(AD$2-AD$3)))))</f>
        <v>10</v>
      </c>
      <c r="AE112" s="18">
        <f t="shared" ref="AE112:AE161" si="265">MAX(AE$5,MIN(AE$4,AE$1*(K112/(AE$2-AE$3)-(AE$3/(AE$2-AE$3)))))</f>
        <v>0</v>
      </c>
      <c r="AF112" s="18">
        <f t="shared" ref="AF112:AF161" si="266">MAX(AF$5,MIN(AF$4,AF$1*(N112/(AF$2-AF$3)-(AF$3/(AF$2-AF$3)))))</f>
        <v>45</v>
      </c>
      <c r="AG112" s="18">
        <f t="shared" ref="AG112:AG161" si="267">MAX(AG$5,MIN(AG$4,AG$1*(Q112/(AG$2-AG$3)-(AG$3/(AG$2-AG$3)))))</f>
        <v>0</v>
      </c>
      <c r="AH112" s="18">
        <f t="shared" ref="AH112:AH161" si="268">MIN(AH$4,MAX(AH$5,AH$1-AH$1*(Z112/(AH$3-AH$2)-(AH$2/(AH$3-AH$2)))))</f>
        <v>15</v>
      </c>
      <c r="AI112" s="18">
        <f t="shared" ref="AI112:AI161" si="269">MIN(AI$4,MAX(AI$5,AI$1-AI$1*(AB112/(AI$3-AI$2)-(AI$2/(AI$3-AI$2)))))</f>
        <v>37.5</v>
      </c>
      <c r="AJ112" s="18">
        <f t="shared" ref="AJ112:AJ161" si="270">MAX(AJ$5,MIN(AJ$4,AJ$1*(X112/(AJ$2-AJ$3)-(AJ$3/(AJ$2-AJ$3)))))</f>
        <v>4.5199999999999996</v>
      </c>
      <c r="AK112" s="18">
        <f t="shared" ref="AK112:AK161" si="271">MAX(AK$5,MIN(AK$4,AK$1*(T112/(AK$2-AK$3)-(AK$3/(AK$2-AK$3)))))</f>
        <v>3.2941176470588243</v>
      </c>
      <c r="AL112" s="18">
        <f t="shared" ref="AL112:AL161" si="272">MAX(AL$5,MIN(AL$4,AL$1*(V112/(AL$2-AL$3)-(AL$3/(AL$2-AL$3)))))</f>
        <v>5</v>
      </c>
      <c r="AM112" s="36">
        <f t="shared" ref="AM112:AM161" si="273">ROUND(SUM(AD112:AL112),0)</f>
        <v>120</v>
      </c>
      <c r="AN112" s="36">
        <f t="shared" ref="AN112:AN161" si="274">IF(AND(AB112&lt;=AN$2,OR(AND(O112&gt;=AO$3,L112&gt;=AN$3),AND(O112&gt;=AO$4,L112&gt;=AN$4))),AM112,0)</f>
        <v>120</v>
      </c>
      <c r="AO112" s="183">
        <v>888</v>
      </c>
      <c r="AP112" s="184">
        <v>197</v>
      </c>
      <c r="AQ112" s="184">
        <v>375</v>
      </c>
      <c r="AR112" s="28">
        <f>SUM(AO112:AQ112)</f>
        <v>1460</v>
      </c>
      <c r="AS112" s="28">
        <f>IF(AO112&gt;0,ROUNDUP($AO112*AS$3,0),0)</f>
        <v>711</v>
      </c>
      <c r="AT112" s="163">
        <f>AR112-AS112</f>
        <v>749</v>
      </c>
      <c r="AU112" s="28">
        <f>IF(AO112&gt;0,ROUND(AN112/$AN$1*AU$3,0),0)</f>
        <v>780</v>
      </c>
      <c r="AV112" s="147">
        <f>AU112+AS112</f>
        <v>1491</v>
      </c>
      <c r="AW112" s="147">
        <f>AV112-AR112</f>
        <v>31</v>
      </c>
      <c r="AX112" s="148">
        <f>IFERROR(AV112/AR112,0)</f>
        <v>1.0212328767123289</v>
      </c>
      <c r="AY112" s="167">
        <f t="shared" ref="AY112:AY113" si="275">AU112</f>
        <v>780</v>
      </c>
      <c r="AZ112" s="167">
        <f>IF(O112&lt;18,IF(AND(I112&gt;0,I112&lt;=60),60,IF(AND(I112&gt;60,I112&lt;=120),70,IF(AND(I112&gt;120,I112&lt;=200),80,IF(I112&gt;200,90,0)))),IF(O112&gt;=18,IF(AND(I112&gt;0,I112&lt;=60),70,IF(AND(I112&gt;60,I112&lt;=120),80,IF(AND(I112&gt;120,I112&lt;=200),90,100)))))</f>
        <v>90</v>
      </c>
      <c r="BB112" s="170">
        <f t="shared" si="244"/>
        <v>0</v>
      </c>
      <c r="BC112" s="202">
        <f>VLOOKUP(A112,ImportDataWA!A$14:AG$112,33,0)</f>
        <v>99.999999999999957</v>
      </c>
      <c r="BD112" s="170">
        <f t="shared" ref="BD112:BD114" si="276">AU112-AY112</f>
        <v>0</v>
      </c>
    </row>
    <row r="113" spans="1:56" hidden="1" x14ac:dyDescent="0.25">
      <c r="A113" s="198" t="s">
        <v>46</v>
      </c>
      <c r="B113" s="9" t="str">
        <f>VLOOKUP($A113,MainData!$A$4:$E$1967,2,FALSE)</f>
        <v>Micro</v>
      </c>
      <c r="C113" s="9" t="str">
        <f>VLOOKUP($A113,MainData!$A$4:$E$1967,3,FALSE)</f>
        <v>Methaq Abdul Amir Jasim</v>
      </c>
      <c r="D113" s="9" t="str">
        <f>VLOOKUP($A113,MainData!$A$4:$E$1967,4,FALSE)</f>
        <v>Mudaina</v>
      </c>
      <c r="E113" s="9" t="str">
        <f>VLOOKUP($A113,MainData!$A$4:$E$1967,5,FALSE)</f>
        <v>Adel Abdul Ameer Farhod   </v>
      </c>
      <c r="F113" s="11">
        <f>SUMIFS(MainData!G:G,MainData!$A:$A,$A113)</f>
        <v>534911.50862857024</v>
      </c>
      <c r="G113" s="11">
        <f t="shared" si="148"/>
        <v>333333.33333333331</v>
      </c>
      <c r="H113" s="53">
        <f t="shared" si="255"/>
        <v>1.6047345258857109</v>
      </c>
      <c r="I113" s="10">
        <f>SUMIFS(MainData!F:F,MainData!$A:$A,$A113)</f>
        <v>183</v>
      </c>
      <c r="J113" s="10">
        <f t="shared" si="192"/>
        <v>400</v>
      </c>
      <c r="K113" s="53">
        <f t="shared" si="256"/>
        <v>0.45750000000000002</v>
      </c>
      <c r="L113" s="11">
        <f>SUMIFS(MainData!K:K,MainData!$A:$A,$A113)</f>
        <v>72727.272727272721</v>
      </c>
      <c r="M113" s="11">
        <f t="shared" si="151"/>
        <v>56818.18</v>
      </c>
      <c r="N113" s="53">
        <f t="shared" si="257"/>
        <v>1.2800000409600012</v>
      </c>
      <c r="O113" s="256">
        <f>SUMIFS(MainData!J:J,MainData!$A:$A,$A113)</f>
        <v>15</v>
      </c>
      <c r="P113" s="10">
        <f>IF($B113=$B$4,0,IF($B113=$B$1,VLOOKUP(D113,Target_Entry!$A$8:$AF$23,5,0),IF(LO!B113=LO!$B$2,VLOOKUP(LO!D113,Target_Entry!$A$8:$AF$23,25,0),IF(LO!B113=LO!$B$3,VLOOKUP(LO!D113,Target_Entry!$A$8:$AF$23,15,0)))))</f>
        <v>15</v>
      </c>
      <c r="Q113" s="53">
        <f t="shared" si="258"/>
        <v>1</v>
      </c>
      <c r="R113" s="10">
        <f>SUMIFS(MainData!J:J,MainData!$A:$A,$A113)</f>
        <v>15</v>
      </c>
      <c r="S113" s="10">
        <f>SUMIFS(MainData!M:M,MainData!$A:$A,$A113)</f>
        <v>6</v>
      </c>
      <c r="T113" s="53">
        <f t="shared" si="259"/>
        <v>0.4</v>
      </c>
      <c r="U113" s="10">
        <f>SUMIFS(MainData!L:L,MainData!$A:$A,$A113)</f>
        <v>7</v>
      </c>
      <c r="V113" s="12">
        <f t="shared" si="260"/>
        <v>0.46666666666666667</v>
      </c>
      <c r="W113" s="10">
        <f>SUMIFS(MainData!F:F,MainData!$A:$A,$A113)</f>
        <v>183</v>
      </c>
      <c r="X113" s="12">
        <f t="shared" si="261"/>
        <v>0.73199999999999998</v>
      </c>
      <c r="Y113" s="11">
        <f>SUMIFS(MainData!H:H,MainData!$A:$A,$A113)</f>
        <v>750.75757575757564</v>
      </c>
      <c r="Z113" s="12">
        <f t="shared" si="262"/>
        <v>1.403517336320546E-3</v>
      </c>
      <c r="AA113" s="11">
        <f>SUMIFS(MainData!I:I,MainData!$A:$A,$A113)</f>
        <v>7029.8673711481415</v>
      </c>
      <c r="AB113" s="231">
        <f t="shared" si="263"/>
        <v>1.3142112775198325E-2</v>
      </c>
      <c r="AC113" s="182"/>
      <c r="AD113" s="18">
        <f t="shared" si="264"/>
        <v>10</v>
      </c>
      <c r="AE113" s="18">
        <f t="shared" si="265"/>
        <v>0</v>
      </c>
      <c r="AF113" s="18">
        <f t="shared" si="266"/>
        <v>45</v>
      </c>
      <c r="AG113" s="18">
        <f t="shared" si="267"/>
        <v>0</v>
      </c>
      <c r="AH113" s="18">
        <f t="shared" si="268"/>
        <v>14.578944799103835</v>
      </c>
      <c r="AI113" s="18">
        <f t="shared" si="269"/>
        <v>34.214471806200422</v>
      </c>
      <c r="AJ113" s="18">
        <f t="shared" si="270"/>
        <v>2.3199999999999998</v>
      </c>
      <c r="AK113" s="18">
        <f t="shared" si="271"/>
        <v>2.0000000000000004</v>
      </c>
      <c r="AL113" s="18">
        <f t="shared" si="272"/>
        <v>5</v>
      </c>
      <c r="AM113" s="36">
        <f t="shared" si="273"/>
        <v>113</v>
      </c>
      <c r="AN113" s="36">
        <f t="shared" si="274"/>
        <v>113</v>
      </c>
      <c r="AO113" s="183">
        <v>715</v>
      </c>
      <c r="AP113" s="184">
        <v>0</v>
      </c>
      <c r="AQ113" s="184">
        <v>0</v>
      </c>
      <c r="AR113" s="28">
        <f>SUM(AO113:AQ113)</f>
        <v>715</v>
      </c>
      <c r="AS113" s="28">
        <f>IF(AO113&gt;0,ROUNDUP($AO113*AS$3,0),0)</f>
        <v>572</v>
      </c>
      <c r="AT113" s="163">
        <f>AR113-AS113</f>
        <v>143</v>
      </c>
      <c r="AU113" s="28">
        <f>IF(AO113&gt;0,ROUND(AN113/$AN$1*AU$3,0),0)</f>
        <v>735</v>
      </c>
      <c r="AV113" s="147">
        <f>AU113+AS113</f>
        <v>1307</v>
      </c>
      <c r="AW113" s="147">
        <f>AV113-AR113</f>
        <v>592</v>
      </c>
      <c r="AX113" s="148">
        <f>IFERROR(AV113/AR113,0)</f>
        <v>1.827972027972028</v>
      </c>
      <c r="AY113" s="167">
        <f t="shared" si="275"/>
        <v>735</v>
      </c>
      <c r="AZ113" s="167">
        <f>IF(O113&lt;18,IF(AND(I113&gt;0,I113&lt;=60),60,IF(AND(I113&gt;60,I113&lt;=120),70,IF(AND(I113&gt;120,I113&lt;=200),80,IF(I113&gt;200,90,0)))),IF(O113&gt;=18,IF(AND(I113&gt;0,I113&lt;=60),70,IF(AND(I113&gt;60,I113&lt;=120),80,IF(AND(I113&gt;120,I113&lt;=200),90,100)))))</f>
        <v>80</v>
      </c>
      <c r="BB113" s="170">
        <f t="shared" si="244"/>
        <v>0</v>
      </c>
      <c r="BC113" s="202">
        <f>VLOOKUP(A113,ImportDataWA!A$14:AG$112,33,0)</f>
        <v>98.118294291351674</v>
      </c>
      <c r="BD113" s="170">
        <f t="shared" si="276"/>
        <v>0</v>
      </c>
    </row>
    <row r="114" spans="1:56" hidden="1" x14ac:dyDescent="0.25">
      <c r="A114" s="197" t="s">
        <v>51</v>
      </c>
      <c r="B114" s="9" t="str">
        <f>VLOOKUP($A114,MainData!$A$4:$E$1967,2,FALSE)</f>
        <v>Micro</v>
      </c>
      <c r="C114" s="9" t="str">
        <f>VLOOKUP($A114,MainData!$A$4:$E$1967,3,FALSE)</f>
        <v>Methaq Abdul Amir Jasim</v>
      </c>
      <c r="D114" s="9" t="str">
        <f>VLOOKUP($A114,MainData!$A$4:$E$1967,4,FALSE)</f>
        <v>Mudaina</v>
      </c>
      <c r="E114" s="9" t="str">
        <f>VLOOKUP($A114,MainData!$A$4:$E$1967,5,FALSE)</f>
        <v>Adel Abdul Ameer Farhod   </v>
      </c>
      <c r="F114" s="11">
        <f>SUMIFS(MainData!G:G,MainData!$A:$A,$A114)</f>
        <v>556762.97115748317</v>
      </c>
      <c r="G114" s="11">
        <f t="shared" si="148"/>
        <v>333333.33333333331</v>
      </c>
      <c r="H114" s="53">
        <f t="shared" si="255"/>
        <v>1.6702889134724497</v>
      </c>
      <c r="I114" s="10">
        <f>SUMIFS(MainData!F:F,MainData!$A:$A,$A114)</f>
        <v>48</v>
      </c>
      <c r="J114" s="10">
        <f t="shared" si="192"/>
        <v>400</v>
      </c>
      <c r="K114" s="53">
        <f t="shared" si="256"/>
        <v>0.12</v>
      </c>
      <c r="L114" s="11">
        <f>SUMIFS(MainData!K:K,MainData!$A:$A,$A114)</f>
        <v>0</v>
      </c>
      <c r="M114" s="11">
        <f t="shared" si="151"/>
        <v>56818.18</v>
      </c>
      <c r="N114" s="53">
        <f t="shared" si="257"/>
        <v>0</v>
      </c>
      <c r="O114" s="256">
        <f>SUMIFS(MainData!J:J,MainData!$A:$A,$A114)</f>
        <v>0</v>
      </c>
      <c r="P114" s="10">
        <f>IF($B114=$B$4,0,IF($B114=$B$1,VLOOKUP(D114,Target_Entry!$A$8:$AF$23,5,0),IF(LO!B114=LO!$B$2,VLOOKUP(LO!D114,Target_Entry!$A$8:$AF$23,25,0),IF(LO!B114=LO!$B$3,VLOOKUP(LO!D114,Target_Entry!$A$8:$AF$23,15,0)))))</f>
        <v>15</v>
      </c>
      <c r="Q114" s="53">
        <f t="shared" si="258"/>
        <v>0</v>
      </c>
      <c r="R114" s="10">
        <f>SUMIFS(MainData!J:J,MainData!$A:$A,$A114)</f>
        <v>0</v>
      </c>
      <c r="S114" s="10">
        <f>SUMIFS(MainData!M:M,MainData!$A:$A,$A114)</f>
        <v>0</v>
      </c>
      <c r="T114" s="53">
        <f t="shared" si="259"/>
        <v>0</v>
      </c>
      <c r="U114" s="10">
        <f>SUMIFS(MainData!L:L,MainData!$A:$A,$A114)</f>
        <v>0</v>
      </c>
      <c r="V114" s="12">
        <f t="shared" si="260"/>
        <v>0</v>
      </c>
      <c r="W114" s="10">
        <f>SUMIFS(MainData!F:F,MainData!$A:$A,$A114)</f>
        <v>48</v>
      </c>
      <c r="X114" s="12">
        <f t="shared" si="261"/>
        <v>0.192</v>
      </c>
      <c r="Y114" s="11">
        <f>SUMIFS(MainData!H:H,MainData!$A:$A,$A114)</f>
        <v>0</v>
      </c>
      <c r="Z114" s="12">
        <f t="shared" si="262"/>
        <v>0</v>
      </c>
      <c r="AA114" s="11">
        <f>SUMIFS(MainData!I:I,MainData!$A:$A,$A114)</f>
        <v>55595.255753093326</v>
      </c>
      <c r="AB114" s="12">
        <f t="shared" si="263"/>
        <v>9.9854441895648141E-2</v>
      </c>
      <c r="AC114" s="182"/>
      <c r="AD114" s="18">
        <f t="shared" si="264"/>
        <v>10</v>
      </c>
      <c r="AE114" s="18">
        <f t="shared" si="265"/>
        <v>0</v>
      </c>
      <c r="AF114" s="18">
        <f t="shared" si="266"/>
        <v>0</v>
      </c>
      <c r="AG114" s="18">
        <f t="shared" si="267"/>
        <v>0</v>
      </c>
      <c r="AH114" s="18">
        <f t="shared" si="268"/>
        <v>15</v>
      </c>
      <c r="AI114" s="18">
        <f t="shared" si="269"/>
        <v>12.536389526087962</v>
      </c>
      <c r="AJ114" s="18">
        <f t="shared" si="270"/>
        <v>0</v>
      </c>
      <c r="AK114" s="18">
        <f t="shared" si="271"/>
        <v>0</v>
      </c>
      <c r="AL114" s="18">
        <f t="shared" si="272"/>
        <v>0</v>
      </c>
      <c r="AM114" s="36">
        <f t="shared" si="273"/>
        <v>38</v>
      </c>
      <c r="AN114" s="36">
        <f t="shared" si="274"/>
        <v>0</v>
      </c>
      <c r="AO114" s="183"/>
      <c r="AP114" s="184"/>
      <c r="AQ114" s="184"/>
      <c r="AR114" s="28">
        <f>SUM(AO114:AQ114)</f>
        <v>0</v>
      </c>
      <c r="AS114" s="28">
        <f>IF(AO114&gt;0,ROUNDUP($AO114*AS$3,0),0)</f>
        <v>0</v>
      </c>
      <c r="AT114" s="163">
        <f>AR114-AS114</f>
        <v>0</v>
      </c>
      <c r="AU114" s="28">
        <f>IF(AO114&gt;0,ROUND(AN114/$AN$1*AU$3,0),0)</f>
        <v>0</v>
      </c>
      <c r="AV114" s="147">
        <f>AU114+AS114</f>
        <v>0</v>
      </c>
      <c r="AW114" s="147">
        <f>AV114-AR114</f>
        <v>0</v>
      </c>
      <c r="AX114" s="148">
        <f>IFERROR(AV114/AR114,0)</f>
        <v>0</v>
      </c>
      <c r="AY114" s="167">
        <f>IF(O114&lt;3,0,0)+IF(O114=3,300,0)+IF(O114=4,400,0)+IF(O114=5,500,0)+IF(O114=6,600,0)</f>
        <v>0</v>
      </c>
      <c r="AZ114" s="167">
        <f>IF(O114&lt;3,75)+IF(O114=3,150)+IF(O114=4,150)+IF(O114=5,150)+IF(O114&gt;=6,200)</f>
        <v>75</v>
      </c>
      <c r="BA114">
        <v>20</v>
      </c>
      <c r="BB114" s="170">
        <f t="shared" si="244"/>
        <v>0</v>
      </c>
      <c r="BC114" s="202">
        <f>VLOOKUP(A114,ImportDataWA!A$14:AG$112,33,0)</f>
        <v>94.052963172561391</v>
      </c>
      <c r="BD114" s="170">
        <f t="shared" si="276"/>
        <v>0</v>
      </c>
    </row>
    <row r="115" spans="1:56" hidden="1" x14ac:dyDescent="0.25">
      <c r="A115" s="232" t="s">
        <v>409</v>
      </c>
      <c r="B115" s="189" t="str">
        <f>VLOOKUP($A115,MainData!$A$4:$E$1967,2,FALSE)</f>
        <v>Inactive</v>
      </c>
      <c r="C115" s="189" t="str">
        <f>VLOOKUP($A115,MainData!$A$4:$E$1967,3,FALSE)</f>
        <v>Inactive</v>
      </c>
      <c r="D115" s="189" t="str">
        <f>VLOOKUP($A115,MainData!$A$4:$E$1967,4,FALSE)</f>
        <v>Mudaina</v>
      </c>
      <c r="E115" s="189" t="str">
        <f>VLOOKUP($A115,MainData!$A$4:$E$1967,5,FALSE)</f>
        <v>Inactive</v>
      </c>
      <c r="F115" s="11">
        <f>SUMIFS(MainData!G:G,MainData!$A:$A,$A115)</f>
        <v>0</v>
      </c>
      <c r="G115" s="11">
        <f t="shared" si="148"/>
        <v>0</v>
      </c>
      <c r="H115" s="53">
        <f t="shared" si="255"/>
        <v>0</v>
      </c>
      <c r="I115" s="10">
        <f>SUMIFS(MainData!F:F,MainData!$A:$A,$A115)</f>
        <v>0</v>
      </c>
      <c r="J115" s="10">
        <f t="shared" si="192"/>
        <v>0</v>
      </c>
      <c r="K115" s="53">
        <f t="shared" si="256"/>
        <v>0</v>
      </c>
      <c r="L115" s="11">
        <f>SUMIFS(MainData!K:K,MainData!$A:$A,$A115)</f>
        <v>0</v>
      </c>
      <c r="M115" s="11">
        <f t="shared" si="151"/>
        <v>0</v>
      </c>
      <c r="N115" s="53">
        <f t="shared" si="257"/>
        <v>0</v>
      </c>
      <c r="O115" s="256">
        <f>SUMIFS(MainData!J:J,MainData!$A:$A,$A115)</f>
        <v>0</v>
      </c>
      <c r="P115" s="10">
        <f>IF($B115=$B$4,0,IF($B115=$B$1,VLOOKUP(D115,Target_Entry!$A$8:$AF$23,5,0),IF(LO!B115=LO!$B$2,VLOOKUP(LO!D115,Target_Entry!$A$8:$AF$23,25,0),IF(LO!B115=LO!$B$3,VLOOKUP(LO!D115,Target_Entry!$A$8:$AF$23,15,0)))))</f>
        <v>0</v>
      </c>
      <c r="Q115" s="53">
        <f t="shared" si="258"/>
        <v>0</v>
      </c>
      <c r="R115" s="10">
        <f>SUMIFS(MainData!J:J,MainData!$A:$A,$A115)</f>
        <v>0</v>
      </c>
      <c r="S115" s="10">
        <f>SUMIFS(MainData!M:M,MainData!$A:$A,$A115)</f>
        <v>0</v>
      </c>
      <c r="T115" s="53">
        <f t="shared" si="259"/>
        <v>0</v>
      </c>
      <c r="U115" s="10">
        <f>SUMIFS(MainData!L:L,MainData!$A:$A,$A115)</f>
        <v>0</v>
      </c>
      <c r="V115" s="12">
        <f t="shared" si="260"/>
        <v>0</v>
      </c>
      <c r="W115" s="10">
        <f>SUMIFS(MainData!F:F,MainData!$A:$A,$A115)</f>
        <v>0</v>
      </c>
      <c r="X115" s="12">
        <f t="shared" si="261"/>
        <v>0</v>
      </c>
      <c r="Y115" s="11">
        <f>SUMIFS(MainData!H:H,MainData!$A:$A,$A115)</f>
        <v>0</v>
      </c>
      <c r="Z115" s="12">
        <f t="shared" si="262"/>
        <v>0</v>
      </c>
      <c r="AA115" s="11">
        <f>SUMIFS(MainData!I:I,MainData!$A:$A,$A115)</f>
        <v>0</v>
      </c>
      <c r="AB115" s="12">
        <f t="shared" si="263"/>
        <v>0</v>
      </c>
      <c r="AC115" s="182"/>
      <c r="AD115" s="18">
        <f t="shared" si="264"/>
        <v>0</v>
      </c>
      <c r="AE115" s="18">
        <f t="shared" si="265"/>
        <v>0</v>
      </c>
      <c r="AF115" s="18">
        <f t="shared" si="266"/>
        <v>0</v>
      </c>
      <c r="AG115" s="18">
        <f t="shared" si="267"/>
        <v>0</v>
      </c>
      <c r="AH115" s="18">
        <f t="shared" si="268"/>
        <v>15</v>
      </c>
      <c r="AI115" s="18">
        <f t="shared" si="269"/>
        <v>37.5</v>
      </c>
      <c r="AJ115" s="18">
        <f t="shared" si="270"/>
        <v>0</v>
      </c>
      <c r="AK115" s="18">
        <f t="shared" si="271"/>
        <v>0</v>
      </c>
      <c r="AL115" s="18">
        <f t="shared" si="272"/>
        <v>0</v>
      </c>
      <c r="AM115" s="36">
        <f t="shared" si="273"/>
        <v>53</v>
      </c>
      <c r="AN115" s="36">
        <f t="shared" si="274"/>
        <v>0</v>
      </c>
      <c r="AO115" s="183"/>
      <c r="AP115" s="184"/>
      <c r="AQ115" s="184"/>
      <c r="AR115" s="28"/>
      <c r="AS115" s="28"/>
      <c r="AT115" s="163"/>
      <c r="AU115" s="28"/>
      <c r="AV115" s="147"/>
      <c r="AW115" s="147"/>
      <c r="AX115" s="148"/>
      <c r="AY115" s="167"/>
      <c r="AZ115" s="167"/>
      <c r="BB115" s="170"/>
      <c r="BC115" s="202"/>
    </row>
    <row r="116" spans="1:56" hidden="1" x14ac:dyDescent="0.25">
      <c r="A116" s="230" t="s">
        <v>75</v>
      </c>
      <c r="B116" s="9" t="str">
        <f>VLOOKUP($A116,MainData!$A$4:$E$1967,2,FALSE)</f>
        <v>Micro</v>
      </c>
      <c r="C116" s="9" t="str">
        <f>VLOOKUP($A116,MainData!$A$4:$E$1967,3,FALSE)</f>
        <v>Methaq Abdul Amir Jasim</v>
      </c>
      <c r="D116" s="9" t="str">
        <f>VLOOKUP($A116,MainData!$A$4:$E$1967,4,FALSE)</f>
        <v>Mudaina</v>
      </c>
      <c r="E116" s="9" t="str">
        <f>VLOOKUP($A116,MainData!$A$4:$E$1967,5,FALSE)</f>
        <v>Adel Abdul Ameer Farhod   </v>
      </c>
      <c r="F116" s="11">
        <f>SUMIFS(MainData!G:G,MainData!$A:$A,$A116)</f>
        <v>671091.73018172442</v>
      </c>
      <c r="G116" s="11">
        <f t="shared" si="148"/>
        <v>333333.33333333331</v>
      </c>
      <c r="H116" s="53">
        <f t="shared" si="255"/>
        <v>2.0132751905451736</v>
      </c>
      <c r="I116" s="10">
        <f>SUMIFS(MainData!F:F,MainData!$A:$A,$A116)</f>
        <v>254</v>
      </c>
      <c r="J116" s="10">
        <f t="shared" si="192"/>
        <v>400</v>
      </c>
      <c r="K116" s="53">
        <f t="shared" si="256"/>
        <v>0.63500000000000001</v>
      </c>
      <c r="L116" s="11">
        <f>SUMIFS(MainData!K:K,MainData!$A:$A,$A116)</f>
        <v>70454.545454545456</v>
      </c>
      <c r="M116" s="11">
        <f t="shared" si="151"/>
        <v>56818.18</v>
      </c>
      <c r="N116" s="53">
        <f t="shared" si="257"/>
        <v>1.2400000396800013</v>
      </c>
      <c r="O116" s="256">
        <f>SUMIFS(MainData!J:J,MainData!$A:$A,$A116)</f>
        <v>16</v>
      </c>
      <c r="P116" s="10">
        <f>IF($B116=$B$4,0,IF($B116=$B$1,VLOOKUP(D116,Target_Entry!$A$8:$AF$23,5,0),IF(LO!B116=LO!$B$2,VLOOKUP(LO!D116,Target_Entry!$A$8:$AF$23,25,0),IF(LO!B116=LO!$B$3,VLOOKUP(LO!D116,Target_Entry!$A$8:$AF$23,15,0)))))</f>
        <v>15</v>
      </c>
      <c r="Q116" s="53">
        <f t="shared" si="258"/>
        <v>1.0666666666666667</v>
      </c>
      <c r="R116" s="10">
        <f>SUMIFS(MainData!J:J,MainData!$A:$A,$A116)</f>
        <v>16</v>
      </c>
      <c r="S116" s="10">
        <f>SUMIFS(MainData!M:M,MainData!$A:$A,$A116)</f>
        <v>10</v>
      </c>
      <c r="T116" s="53">
        <f t="shared" si="259"/>
        <v>0.625</v>
      </c>
      <c r="U116" s="10">
        <f>SUMIFS(MainData!L:L,MainData!$A:$A,$A116)</f>
        <v>6</v>
      </c>
      <c r="V116" s="12">
        <f t="shared" si="260"/>
        <v>0.375</v>
      </c>
      <c r="W116" s="10">
        <f>SUMIFS(MainData!F:F,MainData!$A:$A,$A116)</f>
        <v>254</v>
      </c>
      <c r="X116" s="12">
        <f t="shared" si="261"/>
        <v>1.016</v>
      </c>
      <c r="Y116" s="11">
        <f>SUMIFS(MainData!H:H,MainData!$A:$A,$A116)</f>
        <v>0</v>
      </c>
      <c r="Z116" s="12">
        <f t="shared" si="262"/>
        <v>0</v>
      </c>
      <c r="AA116" s="11">
        <f>SUMIFS(MainData!I:I,MainData!$A:$A,$A116)</f>
        <v>3797.412102113658</v>
      </c>
      <c r="AB116" s="231">
        <f t="shared" si="263"/>
        <v>5.6585589291725585E-3</v>
      </c>
      <c r="AC116" s="182"/>
      <c r="AD116" s="18">
        <f t="shared" si="264"/>
        <v>10</v>
      </c>
      <c r="AE116" s="18">
        <f t="shared" si="265"/>
        <v>0</v>
      </c>
      <c r="AF116" s="18">
        <f t="shared" si="266"/>
        <v>45</v>
      </c>
      <c r="AG116" s="18">
        <f t="shared" si="267"/>
        <v>0</v>
      </c>
      <c r="AH116" s="18">
        <f t="shared" si="268"/>
        <v>15</v>
      </c>
      <c r="AI116" s="18">
        <f t="shared" si="269"/>
        <v>36.085360267706861</v>
      </c>
      <c r="AJ116" s="18">
        <f t="shared" si="270"/>
        <v>5</v>
      </c>
      <c r="AK116" s="18">
        <f t="shared" si="271"/>
        <v>4.25</v>
      </c>
      <c r="AL116" s="18">
        <f t="shared" si="272"/>
        <v>5</v>
      </c>
      <c r="AM116" s="36">
        <f t="shared" si="273"/>
        <v>120</v>
      </c>
      <c r="AN116" s="36">
        <f t="shared" si="274"/>
        <v>120</v>
      </c>
      <c r="AO116" s="183">
        <v>715</v>
      </c>
      <c r="AP116" s="184">
        <v>63</v>
      </c>
      <c r="AQ116" s="184">
        <v>269</v>
      </c>
      <c r="AR116" s="28">
        <f>SUM(AO116:AQ116)</f>
        <v>1047</v>
      </c>
      <c r="AS116" s="28">
        <f>IF(AO116&gt;0,ROUNDUP($AO116*AS$3,0),0)</f>
        <v>572</v>
      </c>
      <c r="AT116" s="163">
        <f>AR116-AS116</f>
        <v>475</v>
      </c>
      <c r="AU116" s="28">
        <f>IF(AO116&gt;0,ROUND(AN116/$AN$1*AU$3,0),0)</f>
        <v>780</v>
      </c>
      <c r="AV116" s="147">
        <f>AU116+AS116</f>
        <v>1352</v>
      </c>
      <c r="AW116" s="147">
        <f>AV116-AR116</f>
        <v>305</v>
      </c>
      <c r="AX116" s="148">
        <f>IFERROR(AV116/AR116,0)</f>
        <v>1.2913085004775549</v>
      </c>
      <c r="AY116" s="167">
        <f t="shared" ref="AY116:AY118" si="277">AU116</f>
        <v>780</v>
      </c>
      <c r="AZ116" s="167">
        <f>IF(O116&lt;18,IF(AND(I116&gt;0,I116&lt;=60),60,IF(AND(I116&gt;60,I116&lt;=120),70,IF(AND(I116&gt;120,I116&lt;=200),80,IF(I116&gt;200,90,0)))),IF(O116&gt;=18,IF(AND(I116&gt;0,I116&lt;=60),70,IF(AND(I116&gt;60,I116&lt;=120),80,IF(AND(I116&gt;120,I116&lt;=200),90,100)))))</f>
        <v>90</v>
      </c>
      <c r="BB116" s="170">
        <f>AU116-AY116</f>
        <v>0</v>
      </c>
      <c r="BC116" s="202">
        <f>VLOOKUP(A116,ImportDataWA!A$14:AG$112,33,0)</f>
        <v>99.230423896252617</v>
      </c>
      <c r="BD116" s="170">
        <f t="shared" ref="BD116:BD118" si="278">AU116-AY116</f>
        <v>0</v>
      </c>
    </row>
    <row r="117" spans="1:56" hidden="1" x14ac:dyDescent="0.25">
      <c r="A117" s="197" t="s">
        <v>364</v>
      </c>
      <c r="B117" s="9" t="str">
        <f>VLOOKUP($A117,MainData!$A$4:$E$1967,2,FALSE)</f>
        <v>Micro</v>
      </c>
      <c r="C117" s="9" t="str">
        <f>VLOOKUP($A117,MainData!$A$4:$E$1967,3,FALSE)</f>
        <v>Methaq Abdul Amir Jasim</v>
      </c>
      <c r="D117" s="9" t="str">
        <f>VLOOKUP($A117,MainData!$A$4:$E$1967,4,FALSE)</f>
        <v>Mudaina</v>
      </c>
      <c r="E117" s="9" t="str">
        <f>VLOOKUP($A117,MainData!$A$4:$E$1967,5,FALSE)</f>
        <v>Adel Abdul Ameer Farhod   </v>
      </c>
      <c r="F117" s="11">
        <f>SUMIFS(MainData!G:G,MainData!$A:$A,$A117)</f>
        <v>408747.02575764718</v>
      </c>
      <c r="G117" s="11">
        <f t="shared" ref="G117:G169" si="279">IF($B117=$B$4,0,IF($B117=$B$1,$E$1,IF($B117=$B$2,$E$2,IF($B117=$B$3,$E$3))))</f>
        <v>333333.33333333331</v>
      </c>
      <c r="H117" s="53">
        <f t="shared" si="255"/>
        <v>1.2262410772729415</v>
      </c>
      <c r="I117" s="10">
        <f>SUMIFS(MainData!F:F,MainData!$A:$A,$A117)</f>
        <v>185</v>
      </c>
      <c r="J117" s="10">
        <f t="shared" si="192"/>
        <v>400</v>
      </c>
      <c r="K117" s="53">
        <f t="shared" si="256"/>
        <v>0.46250000000000002</v>
      </c>
      <c r="L117" s="11">
        <f>SUMIFS(MainData!K:K,MainData!$A:$A,$A117)</f>
        <v>3030.3030303030305</v>
      </c>
      <c r="M117" s="11">
        <f t="shared" si="151"/>
        <v>56818.18</v>
      </c>
      <c r="N117" s="53">
        <f t="shared" si="257"/>
        <v>5.3333335040000054E-2</v>
      </c>
      <c r="O117" s="256">
        <f>SUMIFS(MainData!J:J,MainData!$A:$A,$A117)</f>
        <v>1</v>
      </c>
      <c r="P117" s="10">
        <f>IF($B117=$B$4,0,IF($B117=$B$1,VLOOKUP(D117,Target_Entry!$A$8:$AF$23,5,0),IF(LO!B117=LO!$B$2,VLOOKUP(LO!D117,Target_Entry!$A$8:$AF$23,25,0),IF(LO!B117=LO!$B$3,VLOOKUP(LO!D117,Target_Entry!$A$8:$AF$23,15,0)))))</f>
        <v>15</v>
      </c>
      <c r="Q117" s="53">
        <f t="shared" si="258"/>
        <v>6.6666666666666666E-2</v>
      </c>
      <c r="R117" s="10">
        <f>SUMIFS(MainData!J:J,MainData!$A:$A,$A117)</f>
        <v>1</v>
      </c>
      <c r="S117" s="10">
        <f>SUMIFS(MainData!M:M,MainData!$A:$A,$A117)</f>
        <v>0</v>
      </c>
      <c r="T117" s="53">
        <f t="shared" si="259"/>
        <v>0</v>
      </c>
      <c r="U117" s="10">
        <f>SUMIFS(MainData!L:L,MainData!$A:$A,$A117)</f>
        <v>1</v>
      </c>
      <c r="V117" s="12">
        <f t="shared" si="260"/>
        <v>1</v>
      </c>
      <c r="W117" s="10">
        <f>SUMIFS(MainData!F:F,MainData!$A:$A,$A117)</f>
        <v>185</v>
      </c>
      <c r="X117" s="12">
        <f t="shared" si="261"/>
        <v>0.74</v>
      </c>
      <c r="Y117" s="11">
        <f>SUMIFS(MainData!H:H,MainData!$A:$A,$A117)</f>
        <v>4384.7648712121209</v>
      </c>
      <c r="Z117" s="12">
        <f t="shared" si="262"/>
        <v>1.0727331564271541E-2</v>
      </c>
      <c r="AA117" s="11">
        <f>SUMIFS(MainData!I:I,MainData!$A:$A,$A117)</f>
        <v>6799.9006818181824</v>
      </c>
      <c r="AB117" s="12">
        <f t="shared" si="263"/>
        <v>1.6635963697140037E-2</v>
      </c>
      <c r="AC117" s="182"/>
      <c r="AD117" s="18">
        <f t="shared" si="264"/>
        <v>10</v>
      </c>
      <c r="AE117" s="18">
        <f t="shared" si="265"/>
        <v>0</v>
      </c>
      <c r="AF117" s="18">
        <f t="shared" si="266"/>
        <v>0</v>
      </c>
      <c r="AG117" s="18">
        <f t="shared" si="267"/>
        <v>0</v>
      </c>
      <c r="AH117" s="18">
        <f t="shared" si="268"/>
        <v>11.781800530718538</v>
      </c>
      <c r="AI117" s="18">
        <f t="shared" si="269"/>
        <v>33.341009075714993</v>
      </c>
      <c r="AJ117" s="18">
        <f t="shared" si="270"/>
        <v>2.4</v>
      </c>
      <c r="AK117" s="18">
        <f t="shared" si="271"/>
        <v>0</v>
      </c>
      <c r="AL117" s="18">
        <f t="shared" si="272"/>
        <v>5</v>
      </c>
      <c r="AM117" s="36">
        <f t="shared" si="273"/>
        <v>63</v>
      </c>
      <c r="AN117" s="36">
        <f t="shared" si="274"/>
        <v>0</v>
      </c>
      <c r="AO117" s="183">
        <v>888</v>
      </c>
      <c r="AP117" s="184">
        <v>197</v>
      </c>
      <c r="AQ117" s="184">
        <v>375</v>
      </c>
      <c r="AR117" s="28">
        <f>SUM(AO117:AQ117)</f>
        <v>1460</v>
      </c>
      <c r="AS117" s="28">
        <f>IF(AO117&gt;0,ROUNDUP($AO117*AS$3,0),0)</f>
        <v>711</v>
      </c>
      <c r="AT117" s="163">
        <f>AR117-AS117</f>
        <v>749</v>
      </c>
      <c r="AU117" s="28">
        <f>IF(AO117&gt;0,ROUND(AN117/$AN$1*AU$3,0),0)</f>
        <v>0</v>
      </c>
      <c r="AV117" s="147">
        <f>AU117+AS117</f>
        <v>711</v>
      </c>
      <c r="AW117" s="147">
        <f>AV117-AR117</f>
        <v>-749</v>
      </c>
      <c r="AX117" s="148">
        <f>IFERROR(AV117/AR117,0)</f>
        <v>0.48698630136986304</v>
      </c>
      <c r="AY117" s="167">
        <f t="shared" si="277"/>
        <v>0</v>
      </c>
      <c r="AZ117" s="167">
        <f>IF(O117&lt;18,IF(AND(I117&gt;0,I117&lt;=60),60,IF(AND(I117&gt;60,I117&lt;=120),70,IF(AND(I117&gt;120,I117&lt;=200),80,IF(I117&gt;200,90,0)))),IF(O117&gt;=18,IF(AND(I117&gt;0,I117&lt;=60),70,IF(AND(I117&gt;60,I117&lt;=120),80,IF(AND(I117&gt;120,I117&lt;=200),90,100)))))</f>
        <v>80</v>
      </c>
      <c r="BB117" s="170">
        <f>AU117-AY117</f>
        <v>0</v>
      </c>
      <c r="BC117" s="202">
        <f>VLOOKUP(A117,ImportDataWA!A$14:AG$112,33,0)</f>
        <v>98.428215491102222</v>
      </c>
      <c r="BD117" s="170">
        <f t="shared" si="278"/>
        <v>0</v>
      </c>
    </row>
    <row r="118" spans="1:56" hidden="1" x14ac:dyDescent="0.25">
      <c r="A118" s="195" t="s">
        <v>85</v>
      </c>
      <c r="B118" s="9" t="str">
        <f>VLOOKUP($A118,MainData!$A$4:$E$1967,2,FALSE)</f>
        <v>Micro</v>
      </c>
      <c r="C118" s="9" t="str">
        <f>VLOOKUP($A118,MainData!$A$4:$E$1967,3,FALSE)</f>
        <v>Methaq Abdul Amir Jasim</v>
      </c>
      <c r="D118" s="9" t="str">
        <f>VLOOKUP($A118,MainData!$A$4:$E$1967,4,FALSE)</f>
        <v>Mudaina</v>
      </c>
      <c r="E118" s="9" t="str">
        <f>VLOOKUP($A118,MainData!$A$4:$E$1967,5,FALSE)</f>
        <v>Adel Abdul Ameer Farhod   </v>
      </c>
      <c r="F118" s="11">
        <f>SUMIFS(MainData!G:G,MainData!$A:$A,$A118)</f>
        <v>635985.12012878782</v>
      </c>
      <c r="G118" s="11">
        <f t="shared" si="279"/>
        <v>333333.33333333331</v>
      </c>
      <c r="H118" s="53">
        <f t="shared" si="255"/>
        <v>1.9079553603863635</v>
      </c>
      <c r="I118" s="10">
        <f>SUMIFS(MainData!F:F,MainData!$A:$A,$A118)</f>
        <v>172</v>
      </c>
      <c r="J118" s="10">
        <f t="shared" si="192"/>
        <v>400</v>
      </c>
      <c r="K118" s="53">
        <f t="shared" si="256"/>
        <v>0.43</v>
      </c>
      <c r="L118" s="11">
        <f>SUMIFS(MainData!K:K,MainData!$A:$A,$A118)</f>
        <v>75151.515151515152</v>
      </c>
      <c r="M118" s="11">
        <f t="shared" si="151"/>
        <v>56818.18</v>
      </c>
      <c r="N118" s="53">
        <f t="shared" si="257"/>
        <v>1.3226667089920014</v>
      </c>
      <c r="O118" s="256">
        <f>SUMIFS(MainData!J:J,MainData!$A:$A,$A118)</f>
        <v>12</v>
      </c>
      <c r="P118" s="10">
        <f>IF($B118=$B$4,0,IF($B118=$B$1,VLOOKUP(D118,Target_Entry!$A$8:$AF$23,5,0),IF(LO!B118=LO!$B$2,VLOOKUP(LO!D118,Target_Entry!$A$8:$AF$23,25,0),IF(LO!B118=LO!$B$3,VLOOKUP(LO!D118,Target_Entry!$A$8:$AF$23,15,0)))))</f>
        <v>15</v>
      </c>
      <c r="Q118" s="53">
        <f t="shared" si="258"/>
        <v>0.8</v>
      </c>
      <c r="R118" s="10">
        <f>SUMIFS(MainData!J:J,MainData!$A:$A,$A118)</f>
        <v>12</v>
      </c>
      <c r="S118" s="10">
        <f>SUMIFS(MainData!M:M,MainData!$A:$A,$A118)</f>
        <v>11</v>
      </c>
      <c r="T118" s="53">
        <f t="shared" si="259"/>
        <v>0.91666666666666663</v>
      </c>
      <c r="U118" s="10">
        <f>SUMIFS(MainData!L:L,MainData!$A:$A,$A118)</f>
        <v>1</v>
      </c>
      <c r="V118" s="12">
        <f t="shared" si="260"/>
        <v>8.3333333333333329E-2</v>
      </c>
      <c r="W118" s="10">
        <f>SUMIFS(MainData!F:F,MainData!$A:$A,$A118)</f>
        <v>172</v>
      </c>
      <c r="X118" s="12">
        <f t="shared" si="261"/>
        <v>0.68799999999999994</v>
      </c>
      <c r="Y118" s="11">
        <f>SUMIFS(MainData!H:H,MainData!$A:$A,$A118)</f>
        <v>0</v>
      </c>
      <c r="Z118" s="12">
        <f t="shared" si="262"/>
        <v>0</v>
      </c>
      <c r="AA118" s="11">
        <f>SUMIFS(MainData!I:I,MainData!$A:$A,$A118)</f>
        <v>1766.140848484848</v>
      </c>
      <c r="AB118" s="231">
        <f t="shared" si="263"/>
        <v>2.7770159907628063E-3</v>
      </c>
      <c r="AC118" s="182"/>
      <c r="AD118" s="18">
        <f t="shared" si="264"/>
        <v>10</v>
      </c>
      <c r="AE118" s="18">
        <f t="shared" si="265"/>
        <v>0</v>
      </c>
      <c r="AF118" s="18">
        <f t="shared" si="266"/>
        <v>45</v>
      </c>
      <c r="AG118" s="18">
        <f t="shared" si="267"/>
        <v>0</v>
      </c>
      <c r="AH118" s="18">
        <f t="shared" si="268"/>
        <v>15</v>
      </c>
      <c r="AI118" s="18">
        <f t="shared" si="269"/>
        <v>36.805746002309299</v>
      </c>
      <c r="AJ118" s="18">
        <f t="shared" si="270"/>
        <v>1.8799999999999994</v>
      </c>
      <c r="AK118" s="18">
        <f t="shared" si="271"/>
        <v>5</v>
      </c>
      <c r="AL118" s="18">
        <f t="shared" si="272"/>
        <v>1.3888888888888888</v>
      </c>
      <c r="AM118" s="36">
        <f t="shared" si="273"/>
        <v>115</v>
      </c>
      <c r="AN118" s="36">
        <f t="shared" si="274"/>
        <v>115</v>
      </c>
      <c r="AO118" s="183">
        <v>715</v>
      </c>
      <c r="AP118" s="184">
        <v>0</v>
      </c>
      <c r="AQ118" s="184">
        <v>2</v>
      </c>
      <c r="AR118" s="28">
        <f>SUM(AO118:AQ118)</f>
        <v>717</v>
      </c>
      <c r="AS118" s="28">
        <f>IF(AO118&gt;0,ROUNDUP($AO118*AS$3,0),0)</f>
        <v>572</v>
      </c>
      <c r="AT118" s="163">
        <f>AR118-AS118</f>
        <v>145</v>
      </c>
      <c r="AU118" s="28">
        <f>IF(AO118&gt;0,ROUND(AN118/$AN$1*AU$3,0),0)</f>
        <v>748</v>
      </c>
      <c r="AV118" s="147">
        <f>AU118+AS118</f>
        <v>1320</v>
      </c>
      <c r="AW118" s="147">
        <f>AV118-AR118</f>
        <v>603</v>
      </c>
      <c r="AX118" s="148">
        <f>IFERROR(AV118/AR118,0)</f>
        <v>1.8410041841004183</v>
      </c>
      <c r="AY118" s="167">
        <f t="shared" si="277"/>
        <v>748</v>
      </c>
      <c r="AZ118" s="167">
        <f>IF(O118&lt;18,IF(AND(I118&gt;0,I118&lt;=60),60,IF(AND(I118&gt;60,I118&lt;=120),70,IF(AND(I118&gt;120,I118&lt;=200),80,IF(I118&gt;200,90,0)))),IF(O118&gt;=18,IF(AND(I118&gt;0,I118&lt;=60),70,IF(AND(I118&gt;60,I118&lt;=120),80,IF(AND(I118&gt;120,I118&lt;=200),90,100)))))</f>
        <v>80</v>
      </c>
      <c r="BB118" s="170">
        <f>AU118-AY118</f>
        <v>0</v>
      </c>
      <c r="BC118" s="202">
        <f>VLOOKUP(A118,ImportDataWA!A$14:AG$112,33,0)</f>
        <v>99.504746610036563</v>
      </c>
      <c r="BD118" s="170">
        <f t="shared" si="278"/>
        <v>0</v>
      </c>
    </row>
    <row r="119" spans="1:56" hidden="1" x14ac:dyDescent="0.25">
      <c r="A119" s="196" t="s">
        <v>389</v>
      </c>
      <c r="B119" s="189" t="str">
        <f>VLOOKUP($A119,MainData!$A$4:$E$1967,2,FALSE)</f>
        <v>Inactive</v>
      </c>
      <c r="C119" s="189" t="str">
        <f>VLOOKUP($A119,MainData!$A$4:$E$1967,3,FALSE)</f>
        <v>Inactive</v>
      </c>
      <c r="D119" s="189" t="str">
        <f>VLOOKUP($A119,MainData!$A$4:$E$1967,4,FALSE)</f>
        <v>Najaf</v>
      </c>
      <c r="E119" s="189" t="str">
        <f>VLOOKUP($A119,MainData!$A$4:$E$1967,5,FALSE)</f>
        <v>Inactive</v>
      </c>
      <c r="F119" s="11">
        <f>SUMIFS(MainData!G:G,MainData!$A:$A,$A119)</f>
        <v>0</v>
      </c>
      <c r="G119" s="11">
        <f t="shared" si="279"/>
        <v>0</v>
      </c>
      <c r="H119" s="53">
        <f t="shared" si="255"/>
        <v>0</v>
      </c>
      <c r="I119" s="10">
        <f>SUMIFS(MainData!F:F,MainData!$A:$A,$A119)</f>
        <v>0</v>
      </c>
      <c r="J119" s="10">
        <f t="shared" si="192"/>
        <v>0</v>
      </c>
      <c r="K119" s="53">
        <f t="shared" si="256"/>
        <v>0</v>
      </c>
      <c r="L119" s="11">
        <f>SUMIFS(MainData!K:K,MainData!$A:$A,$A119)</f>
        <v>0</v>
      </c>
      <c r="M119" s="11">
        <f t="shared" si="151"/>
        <v>0</v>
      </c>
      <c r="N119" s="53">
        <f t="shared" si="257"/>
        <v>0</v>
      </c>
      <c r="O119" s="256">
        <f>SUMIFS(MainData!J:J,MainData!$A:$A,$A119)</f>
        <v>0</v>
      </c>
      <c r="P119" s="10">
        <f>IF($B119=$B$4,0,IF($B119=$B$1,VLOOKUP(D119,Target_Entry!$A$8:$AF$23,5,0),IF(LO!B119=LO!$B$2,VLOOKUP(LO!D119,Target_Entry!$A$8:$AF$23,25,0),IF(LO!B119=LO!$B$3,VLOOKUP(LO!D119,Target_Entry!$A$8:$AF$23,15,0)))))</f>
        <v>0</v>
      </c>
      <c r="Q119" s="53">
        <f t="shared" si="258"/>
        <v>0</v>
      </c>
      <c r="R119" s="10">
        <f>SUMIFS(MainData!J:J,MainData!$A:$A,$A119)</f>
        <v>0</v>
      </c>
      <c r="S119" s="10">
        <f>SUMIFS(MainData!M:M,MainData!$A:$A,$A119)</f>
        <v>0</v>
      </c>
      <c r="T119" s="53">
        <f t="shared" si="259"/>
        <v>0</v>
      </c>
      <c r="U119" s="10">
        <f>SUMIFS(MainData!L:L,MainData!$A:$A,$A119)</f>
        <v>0</v>
      </c>
      <c r="V119" s="12">
        <f t="shared" si="260"/>
        <v>0</v>
      </c>
      <c r="W119" s="10">
        <f>SUMIFS(MainData!F:F,MainData!$A:$A,$A119)</f>
        <v>0</v>
      </c>
      <c r="X119" s="12">
        <f t="shared" si="261"/>
        <v>0</v>
      </c>
      <c r="Y119" s="11">
        <f>SUMIFS(MainData!H:H,MainData!$A:$A,$A119)</f>
        <v>0</v>
      </c>
      <c r="Z119" s="12">
        <f t="shared" si="262"/>
        <v>0</v>
      </c>
      <c r="AA119" s="11">
        <f>SUMIFS(MainData!I:I,MainData!$A:$A,$A119)</f>
        <v>0</v>
      </c>
      <c r="AB119" s="12">
        <f t="shared" si="263"/>
        <v>0</v>
      </c>
      <c r="AC119" s="182"/>
      <c r="AD119" s="18">
        <f t="shared" si="264"/>
        <v>0</v>
      </c>
      <c r="AE119" s="18">
        <f t="shared" si="265"/>
        <v>0</v>
      </c>
      <c r="AF119" s="18">
        <f t="shared" si="266"/>
        <v>0</v>
      </c>
      <c r="AG119" s="18">
        <f t="shared" si="267"/>
        <v>0</v>
      </c>
      <c r="AH119" s="18">
        <f t="shared" si="268"/>
        <v>15</v>
      </c>
      <c r="AI119" s="18">
        <f t="shared" si="269"/>
        <v>37.5</v>
      </c>
      <c r="AJ119" s="18">
        <f t="shared" si="270"/>
        <v>0</v>
      </c>
      <c r="AK119" s="18">
        <f t="shared" si="271"/>
        <v>0</v>
      </c>
      <c r="AL119" s="18">
        <f t="shared" si="272"/>
        <v>0</v>
      </c>
      <c r="AM119" s="36">
        <f t="shared" si="273"/>
        <v>53</v>
      </c>
      <c r="AN119" s="36">
        <f t="shared" si="274"/>
        <v>0</v>
      </c>
      <c r="AO119" s="183"/>
      <c r="AP119" s="184"/>
      <c r="AQ119" s="184"/>
      <c r="AR119" s="28"/>
      <c r="AS119" s="28"/>
      <c r="AT119" s="163"/>
      <c r="AU119" s="28"/>
      <c r="AV119" s="147"/>
      <c r="AW119" s="147"/>
      <c r="AX119" s="148"/>
      <c r="AY119" s="167"/>
      <c r="AZ119" s="167"/>
      <c r="BB119" s="170"/>
      <c r="BC119" s="202" t="e">
        <f>VLOOKUP(A119,ImportDataWA!A$14:AG$112,33,0)</f>
        <v>#N/A</v>
      </c>
    </row>
    <row r="120" spans="1:56" hidden="1" x14ac:dyDescent="0.25">
      <c r="A120" s="196" t="s">
        <v>393</v>
      </c>
      <c r="B120" s="189" t="str">
        <f>VLOOKUP($A120,MainData!$A$4:$E$1967,2,FALSE)</f>
        <v>Inactive</v>
      </c>
      <c r="C120" s="189" t="str">
        <f>VLOOKUP($A120,MainData!$A$4:$E$1967,3,FALSE)</f>
        <v>Inactive</v>
      </c>
      <c r="D120" s="189" t="str">
        <f>VLOOKUP($A120,MainData!$A$4:$E$1967,4,FALSE)</f>
        <v>Najaf</v>
      </c>
      <c r="E120" s="189" t="str">
        <f>VLOOKUP($A120,MainData!$A$4:$E$1967,5,FALSE)</f>
        <v>Inactive</v>
      </c>
      <c r="F120" s="11">
        <f>SUMIFS(MainData!G:G,MainData!$A:$A,$A120)</f>
        <v>0</v>
      </c>
      <c r="G120" s="11">
        <f t="shared" si="279"/>
        <v>0</v>
      </c>
      <c r="H120" s="53">
        <f t="shared" si="255"/>
        <v>0</v>
      </c>
      <c r="I120" s="10">
        <f>SUMIFS(MainData!F:F,MainData!$A:$A,$A120)</f>
        <v>0</v>
      </c>
      <c r="J120" s="10">
        <f t="shared" si="192"/>
        <v>0</v>
      </c>
      <c r="K120" s="53">
        <f t="shared" si="256"/>
        <v>0</v>
      </c>
      <c r="L120" s="11">
        <f>SUMIFS(MainData!K:K,MainData!$A:$A,$A120)</f>
        <v>0</v>
      </c>
      <c r="M120" s="11">
        <f t="shared" si="151"/>
        <v>0</v>
      </c>
      <c r="N120" s="53">
        <f t="shared" si="257"/>
        <v>0</v>
      </c>
      <c r="O120" s="256">
        <f>SUMIFS(MainData!J:J,MainData!$A:$A,$A120)</f>
        <v>0</v>
      </c>
      <c r="P120" s="10">
        <f>IF($B120=$B$4,0,IF($B120=$B$1,VLOOKUP(D120,Target_Entry!$A$8:$AF$23,5,0),IF(LO!B120=LO!$B$2,VLOOKUP(LO!D120,Target_Entry!$A$8:$AF$23,25,0),IF(LO!B120=LO!$B$3,VLOOKUP(LO!D120,Target_Entry!$A$8:$AF$23,15,0)))))</f>
        <v>0</v>
      </c>
      <c r="Q120" s="53">
        <f t="shared" si="258"/>
        <v>0</v>
      </c>
      <c r="R120" s="10">
        <f>SUMIFS(MainData!J:J,MainData!$A:$A,$A120)</f>
        <v>0</v>
      </c>
      <c r="S120" s="10">
        <f>SUMIFS(MainData!M:M,MainData!$A:$A,$A120)</f>
        <v>0</v>
      </c>
      <c r="T120" s="53">
        <f t="shared" si="259"/>
        <v>0</v>
      </c>
      <c r="U120" s="10">
        <f>SUMIFS(MainData!L:L,MainData!$A:$A,$A120)</f>
        <v>0</v>
      </c>
      <c r="V120" s="12">
        <f t="shared" si="260"/>
        <v>0</v>
      </c>
      <c r="W120" s="10">
        <f>SUMIFS(MainData!F:F,MainData!$A:$A,$A120)</f>
        <v>0</v>
      </c>
      <c r="X120" s="12">
        <f t="shared" si="261"/>
        <v>0</v>
      </c>
      <c r="Y120" s="11">
        <f>SUMIFS(MainData!H:H,MainData!$A:$A,$A120)</f>
        <v>0</v>
      </c>
      <c r="Z120" s="12">
        <f t="shared" si="262"/>
        <v>0</v>
      </c>
      <c r="AA120" s="11">
        <f>SUMIFS(MainData!I:I,MainData!$A:$A,$A120)</f>
        <v>0</v>
      </c>
      <c r="AB120" s="12">
        <f t="shared" si="263"/>
        <v>0</v>
      </c>
      <c r="AC120" s="182"/>
      <c r="AD120" s="18">
        <f t="shared" si="264"/>
        <v>0</v>
      </c>
      <c r="AE120" s="18">
        <f t="shared" si="265"/>
        <v>0</v>
      </c>
      <c r="AF120" s="18">
        <f t="shared" si="266"/>
        <v>0</v>
      </c>
      <c r="AG120" s="18">
        <f t="shared" si="267"/>
        <v>0</v>
      </c>
      <c r="AH120" s="18">
        <f t="shared" si="268"/>
        <v>15</v>
      </c>
      <c r="AI120" s="18">
        <f t="shared" si="269"/>
        <v>37.5</v>
      </c>
      <c r="AJ120" s="18">
        <f t="shared" si="270"/>
        <v>0</v>
      </c>
      <c r="AK120" s="18">
        <f t="shared" si="271"/>
        <v>0</v>
      </c>
      <c r="AL120" s="18">
        <f t="shared" si="272"/>
        <v>0</v>
      </c>
      <c r="AM120" s="36">
        <f t="shared" si="273"/>
        <v>53</v>
      </c>
      <c r="AN120" s="36">
        <f t="shared" si="274"/>
        <v>0</v>
      </c>
      <c r="AO120" s="183"/>
      <c r="AP120" s="184"/>
      <c r="AQ120" s="184"/>
      <c r="AR120" s="28"/>
      <c r="AS120" s="28"/>
      <c r="AT120" s="163"/>
      <c r="AU120" s="28"/>
      <c r="AV120" s="147"/>
      <c r="AW120" s="147"/>
      <c r="AX120" s="148"/>
      <c r="AY120" s="167"/>
      <c r="AZ120" s="167"/>
      <c r="BB120" s="170"/>
      <c r="BC120" s="202" t="e">
        <f>VLOOKUP(A120,ImportDataWA!A$14:AG$112,33,0)</f>
        <v>#N/A</v>
      </c>
    </row>
    <row r="121" spans="1:56" hidden="1" x14ac:dyDescent="0.25">
      <c r="A121" s="195" t="s">
        <v>12</v>
      </c>
      <c r="B121" s="9" t="str">
        <f>VLOOKUP($A121,MainData!$A$4:$E$1967,2,FALSE)</f>
        <v>SE</v>
      </c>
      <c r="C121" s="9" t="str">
        <f>VLOOKUP($A121,MainData!$A$4:$E$1967,3,FALSE)</f>
        <v>Abbas Razaq Abdul Razaq</v>
      </c>
      <c r="D121" s="9" t="str">
        <f>VLOOKUP($A121,MainData!$A$4:$E$1967,4,FALSE)</f>
        <v>Najaf</v>
      </c>
      <c r="E121" s="9" t="str">
        <f>VLOOKUP($A121,MainData!$A$4:$E$1967,5,FALSE)</f>
        <v>Ammar Jawad hasan</v>
      </c>
      <c r="F121" s="11">
        <f>SUMIFS(MainData!G:G,MainData!$A:$A,$A121)</f>
        <v>1169531.3124277159</v>
      </c>
      <c r="G121" s="11">
        <f t="shared" si="279"/>
        <v>2111111.111111111</v>
      </c>
      <c r="H121" s="53">
        <f t="shared" si="255"/>
        <v>0.55398851641312863</v>
      </c>
      <c r="I121" s="10">
        <f>SUMIFS(MainData!F:F,MainData!$A:$A,$A121)</f>
        <v>62</v>
      </c>
      <c r="J121" s="10">
        <f t="shared" si="192"/>
        <v>222</v>
      </c>
      <c r="K121" s="53">
        <f t="shared" si="256"/>
        <v>0.27927927927927926</v>
      </c>
      <c r="L121" s="11">
        <f>SUMIFS(MainData!K:K,MainData!$A:$A,$A121)</f>
        <v>107575.75757575758</v>
      </c>
      <c r="M121" s="11">
        <f t="shared" si="151"/>
        <v>94696.97</v>
      </c>
      <c r="N121" s="53">
        <f t="shared" si="257"/>
        <v>1.1359999963648</v>
      </c>
      <c r="O121" s="256">
        <f>SUMIFS(MainData!J:J,MainData!$A:$A,$A121)</f>
        <v>4</v>
      </c>
      <c r="P121" s="10">
        <f>IF($B121=$B$4,0,IF($B121=$B$1,VLOOKUP(D121,Target_Entry!$A$8:$AF$23,5,0),IF(LO!B121=LO!$B$2,VLOOKUP(LO!D121,Target_Entry!$A$8:$AF$23,25,0),IF(LO!B121=LO!$B$3,VLOOKUP(LO!D121,Target_Entry!$A$8:$AF$23,15,0)))))</f>
        <v>3</v>
      </c>
      <c r="Q121" s="53">
        <f t="shared" si="258"/>
        <v>1.3333333333333333</v>
      </c>
      <c r="R121" s="10">
        <f>SUMIFS(MainData!J:J,MainData!$A:$A,$A121)</f>
        <v>4</v>
      </c>
      <c r="S121" s="10">
        <f>SUMIFS(MainData!M:M,MainData!$A:$A,$A121)</f>
        <v>4</v>
      </c>
      <c r="T121" s="53">
        <f t="shared" si="259"/>
        <v>1</v>
      </c>
      <c r="U121" s="10">
        <f>SUMIFS(MainData!L:L,MainData!$A:$A,$A121)</f>
        <v>1</v>
      </c>
      <c r="V121" s="12">
        <f t="shared" si="260"/>
        <v>0.25</v>
      </c>
      <c r="W121" s="10">
        <f>SUMIFS(MainData!F:F,MainData!$A:$A,$A121)</f>
        <v>62</v>
      </c>
      <c r="X121" s="12">
        <f t="shared" si="261"/>
        <v>0.62</v>
      </c>
      <c r="Y121" s="11">
        <f>SUMIFS(MainData!H:H,MainData!$A:$A,$A121)</f>
        <v>32702.267280303036</v>
      </c>
      <c r="Z121" s="12">
        <f t="shared" si="262"/>
        <v>2.7961856970224758E-2</v>
      </c>
      <c r="AA121" s="11">
        <f>SUMIFS(MainData!I:I,MainData!$A:$A,$A121)</f>
        <v>10323.435651515152</v>
      </c>
      <c r="AB121" s="12">
        <f t="shared" si="263"/>
        <v>8.8269852562440076E-3</v>
      </c>
      <c r="AC121" s="182"/>
      <c r="AD121" s="18">
        <f t="shared" si="264"/>
        <v>0</v>
      </c>
      <c r="AE121" s="18">
        <f t="shared" si="265"/>
        <v>0</v>
      </c>
      <c r="AF121" s="18">
        <f t="shared" si="266"/>
        <v>43.599999636479993</v>
      </c>
      <c r="AG121" s="18">
        <f t="shared" si="267"/>
        <v>0</v>
      </c>
      <c r="AH121" s="18">
        <f t="shared" si="268"/>
        <v>6.6114429089325721</v>
      </c>
      <c r="AI121" s="18">
        <f t="shared" si="269"/>
        <v>35.293253685939</v>
      </c>
      <c r="AJ121" s="18">
        <f t="shared" si="270"/>
        <v>1.2</v>
      </c>
      <c r="AK121" s="18">
        <f t="shared" si="271"/>
        <v>5</v>
      </c>
      <c r="AL121" s="18">
        <f t="shared" si="272"/>
        <v>4.166666666666667</v>
      </c>
      <c r="AM121" s="36">
        <f t="shared" si="273"/>
        <v>96</v>
      </c>
      <c r="AN121" s="36">
        <f t="shared" si="274"/>
        <v>0</v>
      </c>
      <c r="AO121" s="183"/>
      <c r="AP121" s="184"/>
      <c r="AQ121" s="184"/>
      <c r="AR121" s="28">
        <f t="shared" ref="AR121:AR124" si="280">SUM(AO121:AQ121)</f>
        <v>0</v>
      </c>
      <c r="AS121" s="28">
        <f t="shared" ref="AS121:AS124" si="281">IF(AO121&gt;0,ROUNDUP($AO121*AS$3,0),0)</f>
        <v>0</v>
      </c>
      <c r="AT121" s="28">
        <f t="shared" ref="AT121:AT124" si="282">AR121-AS121</f>
        <v>0</v>
      </c>
      <c r="AU121" s="28">
        <f t="shared" ref="AU121:AU124" si="283">IF(AO121&gt;0,ROUND(AN121/$AN$1*AU$3,0),0)</f>
        <v>0</v>
      </c>
      <c r="AV121" s="147">
        <f t="shared" ref="AV121:AV124" si="284">AU121+AS121</f>
        <v>0</v>
      </c>
      <c r="AW121" s="147">
        <f t="shared" ref="AW121:AW124" si="285">AV121-AR121</f>
        <v>0</v>
      </c>
      <c r="AX121" s="148">
        <f t="shared" ref="AX121:AX124" si="286">IFERROR(AV121/AR121,0)</f>
        <v>0</v>
      </c>
      <c r="AY121" s="167">
        <f>IF(O121&lt;3,0,0)+IF(O121=3,300,0)+IF(O121=4,400,0)+IF(O121=5,500,0)+IF(O121=6,600,0)</f>
        <v>400</v>
      </c>
      <c r="AZ121" s="167">
        <f>IF(O121&lt;3,75)+IF(O121=3,150)+IF(O121=4,150)+IF(O121=5,150)+IF(O121&gt;=6,200)</f>
        <v>150</v>
      </c>
      <c r="BB121" s="170">
        <f t="shared" ref="BB121:BB124" si="287">AU121-AY121</f>
        <v>-400</v>
      </c>
      <c r="BC121" s="202">
        <f>VLOOKUP(A121,ImportDataWA!A$14:AG$112,33,0)</f>
        <v>99.802714075626824</v>
      </c>
      <c r="BD121" s="170">
        <f t="shared" ref="BD121:BD124" si="288">AU121-AY121</f>
        <v>-400</v>
      </c>
    </row>
    <row r="122" spans="1:56" hidden="1" x14ac:dyDescent="0.25">
      <c r="A122" s="232" t="s">
        <v>484</v>
      </c>
      <c r="B122" s="189" t="str">
        <f>VLOOKUP($A122,MainData!$A$4:$E$1967,2,FALSE)</f>
        <v>Inactive</v>
      </c>
      <c r="C122" s="189" t="str">
        <f>VLOOKUP($A122,MainData!$A$4:$E$1967,3,FALSE)</f>
        <v>Inactive</v>
      </c>
      <c r="D122" s="189" t="str">
        <f>VLOOKUP($A122,MainData!$A$4:$E$1967,4,FALSE)</f>
        <v>Najaf</v>
      </c>
      <c r="E122" s="189" t="str">
        <f>VLOOKUP($A122,MainData!$A$4:$E$1967,5,FALSE)</f>
        <v>Inactive</v>
      </c>
      <c r="F122" s="11">
        <f>SUMIFS(MainData!G:G,MainData!$A:$A,$A122)</f>
        <v>0</v>
      </c>
      <c r="G122" s="11">
        <f t="shared" si="279"/>
        <v>0</v>
      </c>
      <c r="H122" s="53">
        <f t="shared" si="255"/>
        <v>0</v>
      </c>
      <c r="I122" s="10">
        <f>SUMIFS(MainData!F:F,MainData!$A:$A,$A122)</f>
        <v>0</v>
      </c>
      <c r="J122" s="10">
        <f t="shared" si="192"/>
        <v>0</v>
      </c>
      <c r="K122" s="53">
        <f t="shared" si="256"/>
        <v>0</v>
      </c>
      <c r="L122" s="11">
        <f>SUMIFS(MainData!K:K,MainData!$A:$A,$A122)</f>
        <v>0</v>
      </c>
      <c r="M122" s="11">
        <f t="shared" si="151"/>
        <v>0</v>
      </c>
      <c r="N122" s="53">
        <f t="shared" si="257"/>
        <v>0</v>
      </c>
      <c r="O122" s="256">
        <f>SUMIFS(MainData!J:J,MainData!$A:$A,$A122)</f>
        <v>0</v>
      </c>
      <c r="P122" s="10">
        <f>IF($B122=$B$4,0,IF($B122=$B$1,VLOOKUP(D122,Target_Entry!$A$8:$AF$23,5,0),IF(LO!B122=LO!$B$2,VLOOKUP(LO!D122,Target_Entry!$A$8:$AF$23,25,0),IF(LO!B122=LO!$B$3,VLOOKUP(LO!D122,Target_Entry!$A$8:$AF$23,15,0)))))</f>
        <v>0</v>
      </c>
      <c r="Q122" s="53">
        <f t="shared" si="258"/>
        <v>0</v>
      </c>
      <c r="R122" s="10">
        <f>SUMIFS(MainData!J:J,MainData!$A:$A,$A122)</f>
        <v>0</v>
      </c>
      <c r="S122" s="10">
        <f>SUMIFS(MainData!M:M,MainData!$A:$A,$A122)</f>
        <v>0</v>
      </c>
      <c r="T122" s="53">
        <f t="shared" si="259"/>
        <v>0</v>
      </c>
      <c r="U122" s="10">
        <f>SUMIFS(MainData!L:L,MainData!$A:$A,$A122)</f>
        <v>0</v>
      </c>
      <c r="V122" s="12">
        <f t="shared" si="260"/>
        <v>0</v>
      </c>
      <c r="W122" s="10">
        <f>SUMIFS(MainData!F:F,MainData!$A:$A,$A122)</f>
        <v>0</v>
      </c>
      <c r="X122" s="12">
        <f t="shared" si="261"/>
        <v>0</v>
      </c>
      <c r="Y122" s="11">
        <f>SUMIFS(MainData!H:H,MainData!$A:$A,$A122)</f>
        <v>0</v>
      </c>
      <c r="Z122" s="12">
        <f t="shared" si="262"/>
        <v>0</v>
      </c>
      <c r="AA122" s="11">
        <f>SUMIFS(MainData!I:I,MainData!$A:$A,$A122)</f>
        <v>0</v>
      </c>
      <c r="AB122" s="231">
        <f t="shared" si="263"/>
        <v>0</v>
      </c>
      <c r="AC122" s="182"/>
      <c r="AD122" s="18">
        <f t="shared" si="264"/>
        <v>0</v>
      </c>
      <c r="AE122" s="18">
        <f t="shared" si="265"/>
        <v>0</v>
      </c>
      <c r="AF122" s="18">
        <f t="shared" si="266"/>
        <v>0</v>
      </c>
      <c r="AG122" s="18">
        <f t="shared" si="267"/>
        <v>0</v>
      </c>
      <c r="AH122" s="18">
        <f t="shared" si="268"/>
        <v>15</v>
      </c>
      <c r="AI122" s="18">
        <f t="shared" si="269"/>
        <v>37.5</v>
      </c>
      <c r="AJ122" s="18">
        <f t="shared" si="270"/>
        <v>0</v>
      </c>
      <c r="AK122" s="18">
        <f t="shared" si="271"/>
        <v>0</v>
      </c>
      <c r="AL122" s="18">
        <f t="shared" si="272"/>
        <v>0</v>
      </c>
      <c r="AM122" s="36">
        <f t="shared" si="273"/>
        <v>53</v>
      </c>
      <c r="AN122" s="36">
        <f t="shared" si="274"/>
        <v>0</v>
      </c>
      <c r="AO122" s="183">
        <v>756</v>
      </c>
      <c r="AP122" s="184">
        <v>0</v>
      </c>
      <c r="AQ122" s="184">
        <v>0</v>
      </c>
      <c r="AR122" s="28">
        <f t="shared" si="280"/>
        <v>756</v>
      </c>
      <c r="AS122" s="28">
        <f t="shared" si="281"/>
        <v>605</v>
      </c>
      <c r="AT122" s="163">
        <f t="shared" si="282"/>
        <v>151</v>
      </c>
      <c r="AU122" s="28">
        <f t="shared" si="283"/>
        <v>0</v>
      </c>
      <c r="AV122" s="147">
        <f t="shared" si="284"/>
        <v>605</v>
      </c>
      <c r="AW122" s="147">
        <f t="shared" si="285"/>
        <v>-151</v>
      </c>
      <c r="AX122" s="148">
        <f t="shared" si="286"/>
        <v>0.80026455026455023</v>
      </c>
      <c r="AY122" s="167">
        <f t="shared" ref="AY122" si="289">AU122</f>
        <v>0</v>
      </c>
      <c r="AZ122" s="167">
        <f>IF(O122&lt;18,IF(AND(I122&gt;0,I122&lt;=60),60,IF(AND(I122&gt;60,I122&lt;=120),70,IF(AND(I122&gt;120,I122&lt;=200),80,IF(I122&gt;200,90,0)))),IF(O122&gt;=18,IF(AND(I122&gt;0,I122&lt;=60),70,IF(AND(I122&gt;60,I122&lt;=120),80,IF(AND(I122&gt;120,I122&lt;=200),90,100)))))</f>
        <v>0</v>
      </c>
      <c r="BB122" s="170">
        <f t="shared" si="287"/>
        <v>0</v>
      </c>
      <c r="BC122" s="202" t="e">
        <f>VLOOKUP(A122,ImportDataWA!A$14:AG$112,33,0)</f>
        <v>#N/A</v>
      </c>
      <c r="BD122" s="170">
        <f t="shared" si="288"/>
        <v>0</v>
      </c>
    </row>
    <row r="123" spans="1:56" hidden="1" x14ac:dyDescent="0.25">
      <c r="A123" s="197" t="s">
        <v>25</v>
      </c>
      <c r="B123" s="9" t="str">
        <f>VLOOKUP($A123,MainData!$A$4:$E$1967,2,FALSE)</f>
        <v>SE</v>
      </c>
      <c r="C123" s="9" t="str">
        <f>VLOOKUP($A123,MainData!$A$4:$E$1967,3,FALSE)</f>
        <v>Ahmed Hilal  Abdul Kareem</v>
      </c>
      <c r="D123" s="9" t="str">
        <f>VLOOKUP($A123,MainData!$A$4:$E$1967,4,FALSE)</f>
        <v>Najaf</v>
      </c>
      <c r="E123" s="9" t="str">
        <f>VLOOKUP($A123,MainData!$A$4:$E$1967,5,FALSE)</f>
        <v>Ammar Jawad hasan</v>
      </c>
      <c r="F123" s="11">
        <f>SUMIFS(MainData!G:G,MainData!$A:$A,$A123)</f>
        <v>780293.19837961462</v>
      </c>
      <c r="G123" s="11">
        <f t="shared" si="279"/>
        <v>2111111.111111111</v>
      </c>
      <c r="H123" s="53">
        <f t="shared" si="255"/>
        <v>0.3696125676535017</v>
      </c>
      <c r="I123" s="10">
        <f>SUMIFS(MainData!F:F,MainData!$A:$A,$A123)</f>
        <v>48</v>
      </c>
      <c r="J123" s="10">
        <f t="shared" si="192"/>
        <v>222</v>
      </c>
      <c r="K123" s="53">
        <f t="shared" si="256"/>
        <v>0.21621621621621623</v>
      </c>
      <c r="L123" s="11">
        <f>SUMIFS(MainData!K:K,MainData!$A:$A,$A123)</f>
        <v>27272.727272727272</v>
      </c>
      <c r="M123" s="11">
        <f t="shared" si="151"/>
        <v>94696.97</v>
      </c>
      <c r="N123" s="53">
        <f t="shared" si="257"/>
        <v>0.28799999907840002</v>
      </c>
      <c r="O123" s="256">
        <f>SUMIFS(MainData!J:J,MainData!$A:$A,$A123)</f>
        <v>1</v>
      </c>
      <c r="P123" s="10">
        <f>IF($B123=$B$4,0,IF($B123=$B$1,VLOOKUP(D123,Target_Entry!$A$8:$AF$23,5,0),IF(LO!B123=LO!$B$2,VLOOKUP(LO!D123,Target_Entry!$A$8:$AF$23,25,0),IF(LO!B123=LO!$B$3,VLOOKUP(LO!D123,Target_Entry!$A$8:$AF$23,15,0)))))</f>
        <v>3</v>
      </c>
      <c r="Q123" s="53">
        <f t="shared" si="258"/>
        <v>0.33333333333333331</v>
      </c>
      <c r="R123" s="10">
        <f>SUMIFS(MainData!J:J,MainData!$A:$A,$A123)</f>
        <v>1</v>
      </c>
      <c r="S123" s="10">
        <f>SUMIFS(MainData!M:M,MainData!$A:$A,$A123)</f>
        <v>1</v>
      </c>
      <c r="T123" s="53">
        <f t="shared" si="259"/>
        <v>1</v>
      </c>
      <c r="U123" s="10">
        <f>SUMIFS(MainData!L:L,MainData!$A:$A,$A123)</f>
        <v>0</v>
      </c>
      <c r="V123" s="12">
        <f t="shared" si="260"/>
        <v>0</v>
      </c>
      <c r="W123" s="10">
        <f>SUMIFS(MainData!F:F,MainData!$A:$A,$A123)</f>
        <v>48</v>
      </c>
      <c r="X123" s="12">
        <f t="shared" si="261"/>
        <v>0.48</v>
      </c>
      <c r="Y123" s="11">
        <f>SUMIFS(MainData!H:H,MainData!$A:$A,$A123)</f>
        <v>25605.31422727272</v>
      </c>
      <c r="Z123" s="12">
        <f t="shared" si="262"/>
        <v>3.2814990929621903E-2</v>
      </c>
      <c r="AA123" s="11">
        <f>SUMIFS(MainData!I:I,MainData!$A:$A,$A123)</f>
        <v>0</v>
      </c>
      <c r="AB123" s="12">
        <f t="shared" si="263"/>
        <v>0</v>
      </c>
      <c r="AC123" s="182"/>
      <c r="AD123" s="18">
        <f t="shared" si="264"/>
        <v>0</v>
      </c>
      <c r="AE123" s="18">
        <f t="shared" si="265"/>
        <v>0</v>
      </c>
      <c r="AF123" s="18">
        <f t="shared" si="266"/>
        <v>0</v>
      </c>
      <c r="AG123" s="18">
        <f t="shared" si="267"/>
        <v>0</v>
      </c>
      <c r="AH123" s="18">
        <f t="shared" si="268"/>
        <v>5.1555027211134288</v>
      </c>
      <c r="AI123" s="18">
        <f t="shared" si="269"/>
        <v>37.5</v>
      </c>
      <c r="AJ123" s="18">
        <f t="shared" si="270"/>
        <v>0</v>
      </c>
      <c r="AK123" s="18">
        <f t="shared" si="271"/>
        <v>5</v>
      </c>
      <c r="AL123" s="18">
        <f t="shared" si="272"/>
        <v>0</v>
      </c>
      <c r="AM123" s="36">
        <f t="shared" si="273"/>
        <v>48</v>
      </c>
      <c r="AN123" s="36">
        <f t="shared" si="274"/>
        <v>0</v>
      </c>
      <c r="AO123" s="183"/>
      <c r="AP123" s="184"/>
      <c r="AQ123" s="184"/>
      <c r="AR123" s="28">
        <f t="shared" si="280"/>
        <v>0</v>
      </c>
      <c r="AS123" s="28">
        <f t="shared" si="281"/>
        <v>0</v>
      </c>
      <c r="AT123" s="28">
        <f t="shared" si="282"/>
        <v>0</v>
      </c>
      <c r="AU123" s="28">
        <f t="shared" si="283"/>
        <v>0</v>
      </c>
      <c r="AV123" s="147">
        <f t="shared" si="284"/>
        <v>0</v>
      </c>
      <c r="AW123" s="147">
        <f t="shared" si="285"/>
        <v>0</v>
      </c>
      <c r="AX123" s="148">
        <f t="shared" si="286"/>
        <v>0</v>
      </c>
      <c r="AY123" s="167">
        <f>IF(O123&lt;3,0,0)+IF(O123=3,300,0)+IF(O123=4,400,0)+IF(O123=5,500,0)+IF(O123=6,600,0)</f>
        <v>0</v>
      </c>
      <c r="AZ123" s="167">
        <f>IF(O123&lt;3,75)+IF(O123=3,150)+IF(O123=4,150)+IF(O123=5,150)+IF(O123&gt;=6,200)</f>
        <v>75</v>
      </c>
      <c r="BA123">
        <v>13</v>
      </c>
      <c r="BB123" s="170">
        <f t="shared" si="287"/>
        <v>0</v>
      </c>
      <c r="BC123" s="202">
        <f>VLOOKUP(A123,ImportDataWA!A$14:AG$112,33,0)</f>
        <v>99.53031788852104</v>
      </c>
      <c r="BD123" s="170">
        <f t="shared" si="288"/>
        <v>0</v>
      </c>
    </row>
    <row r="124" spans="1:56" hidden="1" x14ac:dyDescent="0.25">
      <c r="A124" s="197" t="s">
        <v>27</v>
      </c>
      <c r="B124" s="9" t="str">
        <f>VLOOKUP($A124,MainData!$A$4:$E$1967,2,FALSE)</f>
        <v>VSE</v>
      </c>
      <c r="C124" s="9" t="str">
        <f>VLOOKUP($A124,MainData!$A$4:$E$1967,3,FALSE)</f>
        <v>Abbas Razaq Abdul Razaq</v>
      </c>
      <c r="D124" s="9" t="str">
        <f>VLOOKUP($A124,MainData!$A$4:$E$1967,4,FALSE)</f>
        <v>Najaf</v>
      </c>
      <c r="E124" s="9" t="str">
        <f>VLOOKUP($A124,MainData!$A$4:$E$1967,5,FALSE)</f>
        <v>Adel Hatef</v>
      </c>
      <c r="F124" s="11">
        <f>SUMIFS(MainData!G:G,MainData!$A:$A,$A124)</f>
        <v>860723.18648936297</v>
      </c>
      <c r="G124" s="11">
        <f t="shared" si="279"/>
        <v>777777.77777777775</v>
      </c>
      <c r="H124" s="53">
        <f t="shared" si="255"/>
        <v>1.1066440969148952</v>
      </c>
      <c r="I124" s="10">
        <f>SUMIFS(MainData!F:F,MainData!$A:$A,$A124)</f>
        <v>151</v>
      </c>
      <c r="J124" s="10">
        <f t="shared" si="192"/>
        <v>889</v>
      </c>
      <c r="K124" s="53">
        <f t="shared" si="256"/>
        <v>0.16985376827896512</v>
      </c>
      <c r="L124" s="11">
        <f>SUMIFS(MainData!K:K,MainData!$A:$A,$A124)</f>
        <v>16666.666666666664</v>
      </c>
      <c r="M124" s="11">
        <f t="shared" si="151"/>
        <v>79545.45</v>
      </c>
      <c r="N124" s="53">
        <f t="shared" si="257"/>
        <v>0.20952382149659929</v>
      </c>
      <c r="O124" s="256">
        <f>SUMIFS(MainData!J:J,MainData!$A:$A,$A124)</f>
        <v>4</v>
      </c>
      <c r="P124" s="10">
        <f>IF($B124=$B$4,0,IF($B124=$B$1,VLOOKUP(D124,Target_Entry!$A$8:$AF$23,5,0),IF(LO!B124=LO!$B$2,VLOOKUP(LO!D124,Target_Entry!$A$8:$AF$23,25,0),IF(LO!B124=LO!$B$3,VLOOKUP(LO!D124,Target_Entry!$A$8:$AF$23,15,0)))))</f>
        <v>8</v>
      </c>
      <c r="Q124" s="53">
        <f t="shared" si="258"/>
        <v>0.5</v>
      </c>
      <c r="R124" s="10">
        <f>SUMIFS(MainData!J:J,MainData!$A:$A,$A124)</f>
        <v>4</v>
      </c>
      <c r="S124" s="10">
        <f>SUMIFS(MainData!M:M,MainData!$A:$A,$A124)</f>
        <v>2</v>
      </c>
      <c r="T124" s="53">
        <f t="shared" si="259"/>
        <v>0.5</v>
      </c>
      <c r="U124" s="10">
        <f>SUMIFS(MainData!L:L,MainData!$A:$A,$A124)</f>
        <v>1</v>
      </c>
      <c r="V124" s="12">
        <f t="shared" si="260"/>
        <v>0.25</v>
      </c>
      <c r="W124" s="10">
        <f>SUMIFS(MainData!F:F,MainData!$A:$A,$A124)</f>
        <v>151</v>
      </c>
      <c r="X124" s="12">
        <f t="shared" si="261"/>
        <v>0.60399999999999998</v>
      </c>
      <c r="Y124" s="11">
        <f>SUMIFS(MainData!H:H,MainData!$A:$A,$A124)</f>
        <v>26726.54514533675</v>
      </c>
      <c r="Z124" s="12">
        <f t="shared" si="262"/>
        <v>3.105126661493398E-2</v>
      </c>
      <c r="AA124" s="11">
        <f>SUMIFS(MainData!I:I,MainData!$A:$A,$A124)</f>
        <v>6601.6738421170585</v>
      </c>
      <c r="AB124" s="231">
        <f t="shared" si="263"/>
        <v>7.6699151896248395E-3</v>
      </c>
      <c r="AC124" s="182"/>
      <c r="AD124" s="18">
        <f t="shared" si="264"/>
        <v>10</v>
      </c>
      <c r="AE124" s="18">
        <f t="shared" si="265"/>
        <v>0</v>
      </c>
      <c r="AF124" s="18">
        <f t="shared" si="266"/>
        <v>0</v>
      </c>
      <c r="AG124" s="18">
        <f t="shared" si="267"/>
        <v>0</v>
      </c>
      <c r="AH124" s="18">
        <f t="shared" si="268"/>
        <v>5.6846200155198066</v>
      </c>
      <c r="AI124" s="18">
        <f t="shared" si="269"/>
        <v>35.582521202593789</v>
      </c>
      <c r="AJ124" s="18">
        <f t="shared" si="270"/>
        <v>1.0399999999999998</v>
      </c>
      <c r="AK124" s="18">
        <f t="shared" si="271"/>
        <v>2.9999999999999991</v>
      </c>
      <c r="AL124" s="18">
        <f t="shared" si="272"/>
        <v>4.166666666666667</v>
      </c>
      <c r="AM124" s="36">
        <f t="shared" si="273"/>
        <v>59</v>
      </c>
      <c r="AN124" s="36">
        <f t="shared" si="274"/>
        <v>0</v>
      </c>
      <c r="AO124" s="183">
        <v>919</v>
      </c>
      <c r="AP124" s="184">
        <v>0</v>
      </c>
      <c r="AQ124" s="184">
        <v>1</v>
      </c>
      <c r="AR124" s="28">
        <f t="shared" si="280"/>
        <v>920</v>
      </c>
      <c r="AS124" s="28">
        <f t="shared" si="281"/>
        <v>736</v>
      </c>
      <c r="AT124" s="163">
        <f t="shared" si="282"/>
        <v>184</v>
      </c>
      <c r="AU124" s="28">
        <f t="shared" si="283"/>
        <v>0</v>
      </c>
      <c r="AV124" s="147">
        <f t="shared" si="284"/>
        <v>736</v>
      </c>
      <c r="AW124" s="147">
        <f t="shared" si="285"/>
        <v>-184</v>
      </c>
      <c r="AX124" s="148">
        <f t="shared" si="286"/>
        <v>0.8</v>
      </c>
      <c r="AY124" s="167">
        <f>AU124</f>
        <v>0</v>
      </c>
      <c r="AZ124" s="167">
        <f>IF(O124&lt;18,IF(AND(I124&gt;0,I124&lt;=60),60,IF(AND(I124&gt;60,I124&lt;=120),70,IF(AND(I124&gt;120,I124&lt;=200),80,IF(I124&gt;200,90,0)))),IF(O124&gt;=18,IF(AND(I124&gt;0,I124&lt;=60),70,IF(AND(I124&gt;60,I124&lt;=120),80,IF(AND(I124&gt;120,I124&lt;=200),90,100)))))</f>
        <v>80</v>
      </c>
      <c r="BB124" s="170">
        <f t="shared" si="287"/>
        <v>0</v>
      </c>
      <c r="BC124" s="202">
        <f>VLOOKUP(A124,ImportDataWA!A$14:AG$112,33,0)</f>
        <v>98.821600032224936</v>
      </c>
      <c r="BD124" s="170">
        <f t="shared" si="288"/>
        <v>0</v>
      </c>
    </row>
    <row r="125" spans="1:56" hidden="1" x14ac:dyDescent="0.25">
      <c r="A125" s="204" t="s">
        <v>400</v>
      </c>
      <c r="B125" s="189" t="str">
        <f>VLOOKUP($A125,MainData!$A$4:$E$1967,2,FALSE)</f>
        <v>Inactive</v>
      </c>
      <c r="C125" s="189" t="str">
        <f>VLOOKUP($A125,MainData!$A$4:$E$1967,3,FALSE)</f>
        <v>Inactive</v>
      </c>
      <c r="D125" s="189" t="str">
        <f>VLOOKUP($A125,MainData!$A$4:$E$1967,4,FALSE)</f>
        <v>Najaf</v>
      </c>
      <c r="E125" s="189" t="str">
        <f>VLOOKUP($A125,MainData!$A$4:$E$1967,5,FALSE)</f>
        <v>Inactive</v>
      </c>
      <c r="F125" s="11">
        <f>SUMIFS(MainData!G:G,MainData!$A:$A,$A125)</f>
        <v>0</v>
      </c>
      <c r="G125" s="11">
        <f t="shared" si="279"/>
        <v>0</v>
      </c>
      <c r="H125" s="53">
        <f t="shared" si="255"/>
        <v>0</v>
      </c>
      <c r="I125" s="10">
        <f>SUMIFS(MainData!F:F,MainData!$A:$A,$A125)</f>
        <v>0</v>
      </c>
      <c r="J125" s="10">
        <f t="shared" si="192"/>
        <v>0</v>
      </c>
      <c r="K125" s="53">
        <f t="shared" si="256"/>
        <v>0</v>
      </c>
      <c r="L125" s="11">
        <f>SUMIFS(MainData!K:K,MainData!$A:$A,$A125)</f>
        <v>0</v>
      </c>
      <c r="M125" s="11">
        <f t="shared" si="151"/>
        <v>0</v>
      </c>
      <c r="N125" s="53">
        <f t="shared" si="257"/>
        <v>0</v>
      </c>
      <c r="O125" s="256">
        <f>SUMIFS(MainData!J:J,MainData!$A:$A,$A125)</f>
        <v>0</v>
      </c>
      <c r="P125" s="10">
        <f>IF($B125=$B$4,0,IF($B125=$B$1,VLOOKUP(D125,Target_Entry!$A$8:$AF$23,5,0),IF(LO!B125=LO!$B$2,VLOOKUP(LO!D125,Target_Entry!$A$8:$AF$23,25,0),IF(LO!B125=LO!$B$3,VLOOKUP(LO!D125,Target_Entry!$A$8:$AF$23,15,0)))))</f>
        <v>0</v>
      </c>
      <c r="Q125" s="53">
        <f t="shared" si="258"/>
        <v>0</v>
      </c>
      <c r="R125" s="10">
        <f>SUMIFS(MainData!J:J,MainData!$A:$A,$A125)</f>
        <v>0</v>
      </c>
      <c r="S125" s="10">
        <f>SUMIFS(MainData!M:M,MainData!$A:$A,$A125)</f>
        <v>0</v>
      </c>
      <c r="T125" s="53">
        <f t="shared" si="259"/>
        <v>0</v>
      </c>
      <c r="U125" s="10">
        <f>SUMIFS(MainData!L:L,MainData!$A:$A,$A125)</f>
        <v>0</v>
      </c>
      <c r="V125" s="12">
        <f t="shared" si="260"/>
        <v>0</v>
      </c>
      <c r="W125" s="10">
        <f>SUMIFS(MainData!F:F,MainData!$A:$A,$A125)</f>
        <v>0</v>
      </c>
      <c r="X125" s="12">
        <f t="shared" si="261"/>
        <v>0</v>
      </c>
      <c r="Y125" s="11">
        <f>SUMIFS(MainData!H:H,MainData!$A:$A,$A125)</f>
        <v>0</v>
      </c>
      <c r="Z125" s="12">
        <f t="shared" si="262"/>
        <v>0</v>
      </c>
      <c r="AA125" s="11">
        <f>SUMIFS(MainData!I:I,MainData!$A:$A,$A125)</f>
        <v>0</v>
      </c>
      <c r="AB125" s="12">
        <f t="shared" si="263"/>
        <v>0</v>
      </c>
      <c r="AC125" s="182"/>
      <c r="AD125" s="18">
        <f t="shared" si="264"/>
        <v>0</v>
      </c>
      <c r="AE125" s="18">
        <f t="shared" si="265"/>
        <v>0</v>
      </c>
      <c r="AF125" s="18">
        <f t="shared" si="266"/>
        <v>0</v>
      </c>
      <c r="AG125" s="18">
        <f t="shared" si="267"/>
        <v>0</v>
      </c>
      <c r="AH125" s="18">
        <f t="shared" si="268"/>
        <v>15</v>
      </c>
      <c r="AI125" s="18">
        <f t="shared" si="269"/>
        <v>37.5</v>
      </c>
      <c r="AJ125" s="18">
        <f t="shared" si="270"/>
        <v>0</v>
      </c>
      <c r="AK125" s="18">
        <f t="shared" si="271"/>
        <v>0</v>
      </c>
      <c r="AL125" s="18">
        <f t="shared" si="272"/>
        <v>0</v>
      </c>
      <c r="AM125" s="36">
        <f t="shared" si="273"/>
        <v>53</v>
      </c>
      <c r="AN125" s="36">
        <f t="shared" si="274"/>
        <v>0</v>
      </c>
      <c r="AO125" s="183"/>
      <c r="AP125" s="184"/>
      <c r="AQ125" s="184"/>
      <c r="AR125" s="28"/>
      <c r="AS125" s="28"/>
      <c r="AT125" s="163"/>
      <c r="AU125" s="28"/>
      <c r="AV125" s="147"/>
      <c r="AW125" s="147"/>
      <c r="AX125" s="148"/>
      <c r="AY125" s="167"/>
      <c r="AZ125" s="167"/>
      <c r="BB125" s="170"/>
      <c r="BC125" s="202" t="e">
        <f>VLOOKUP(A125,ImportDataWA!A$14:AG$112,33,0)</f>
        <v>#N/A</v>
      </c>
    </row>
    <row r="126" spans="1:56" hidden="1" x14ac:dyDescent="0.25">
      <c r="A126" s="232" t="s">
        <v>483</v>
      </c>
      <c r="B126" s="189" t="str">
        <f>VLOOKUP($A126,MainData!$A$4:$E$1967,2,FALSE)</f>
        <v>Inactive</v>
      </c>
      <c r="C126" s="189" t="str">
        <f>VLOOKUP($A126,MainData!$A$4:$E$1967,3,FALSE)</f>
        <v>Inactive</v>
      </c>
      <c r="D126" s="189" t="str">
        <f>VLOOKUP($A126,MainData!$A$4:$E$1967,4,FALSE)</f>
        <v>Najaf</v>
      </c>
      <c r="E126" s="189" t="str">
        <f>VLOOKUP($A126,MainData!$A$4:$E$1967,5,FALSE)</f>
        <v>Inactive</v>
      </c>
      <c r="F126" s="11">
        <f>SUMIFS(MainData!G:G,MainData!$A:$A,$A126)</f>
        <v>411171.24174235965</v>
      </c>
      <c r="G126" s="11">
        <f t="shared" si="279"/>
        <v>0</v>
      </c>
      <c r="H126" s="53">
        <f t="shared" si="255"/>
        <v>0</v>
      </c>
      <c r="I126" s="10">
        <f>SUMIFS(MainData!F:F,MainData!$A:$A,$A126)</f>
        <v>166</v>
      </c>
      <c r="J126" s="10">
        <f t="shared" si="192"/>
        <v>0</v>
      </c>
      <c r="K126" s="53">
        <f t="shared" si="256"/>
        <v>0</v>
      </c>
      <c r="L126" s="11">
        <f>SUMIFS(MainData!K:K,MainData!$A:$A,$A126)</f>
        <v>0</v>
      </c>
      <c r="M126" s="11">
        <f t="shared" si="151"/>
        <v>0</v>
      </c>
      <c r="N126" s="53">
        <f t="shared" si="257"/>
        <v>0</v>
      </c>
      <c r="O126" s="256">
        <f>SUMIFS(MainData!J:J,MainData!$A:$A,$A126)</f>
        <v>0</v>
      </c>
      <c r="P126" s="10">
        <f>IF($B126=$B$4,0,IF($B126=$B$1,VLOOKUP(D126,Target_Entry!$A$8:$AF$23,5,0),IF(LO!B126=LO!$B$2,VLOOKUP(LO!D126,Target_Entry!$A$8:$AF$23,25,0),IF(LO!B126=LO!$B$3,VLOOKUP(LO!D126,Target_Entry!$A$8:$AF$23,15,0)))))</f>
        <v>0</v>
      </c>
      <c r="Q126" s="53">
        <f t="shared" si="258"/>
        <v>0</v>
      </c>
      <c r="R126" s="10">
        <f>SUMIFS(MainData!J:J,MainData!$A:$A,$A126)</f>
        <v>0</v>
      </c>
      <c r="S126" s="10">
        <f>SUMIFS(MainData!M:M,MainData!$A:$A,$A126)</f>
        <v>0</v>
      </c>
      <c r="T126" s="53">
        <f t="shared" si="259"/>
        <v>0</v>
      </c>
      <c r="U126" s="10">
        <f>SUMIFS(MainData!L:L,MainData!$A:$A,$A126)</f>
        <v>0</v>
      </c>
      <c r="V126" s="12">
        <f t="shared" si="260"/>
        <v>0</v>
      </c>
      <c r="W126" s="10">
        <f>SUMIFS(MainData!F:F,MainData!$A:$A,$A126)</f>
        <v>166</v>
      </c>
      <c r="X126" s="12">
        <f t="shared" si="261"/>
        <v>0.66400000000000003</v>
      </c>
      <c r="Y126" s="11">
        <f>SUMIFS(MainData!H:H,MainData!$A:$A,$A126)</f>
        <v>28281.416572327522</v>
      </c>
      <c r="Z126" s="12">
        <f t="shared" si="262"/>
        <v>6.8782574511980804E-2</v>
      </c>
      <c r="AA126" s="11">
        <f>SUMIFS(MainData!I:I,MainData!$A:$A,$A126)</f>
        <v>72128.906988213916</v>
      </c>
      <c r="AB126" s="12">
        <f t="shared" si="263"/>
        <v>0.17542303465233586</v>
      </c>
      <c r="AC126" s="182"/>
      <c r="AD126" s="18">
        <f t="shared" si="264"/>
        <v>0</v>
      </c>
      <c r="AE126" s="18">
        <f t="shared" si="265"/>
        <v>0</v>
      </c>
      <c r="AF126" s="18">
        <f t="shared" si="266"/>
        <v>0</v>
      </c>
      <c r="AG126" s="18">
        <f t="shared" si="267"/>
        <v>0</v>
      </c>
      <c r="AH126" s="18">
        <f t="shared" si="268"/>
        <v>0</v>
      </c>
      <c r="AI126" s="18">
        <f t="shared" si="269"/>
        <v>0</v>
      </c>
      <c r="AJ126" s="18">
        <f t="shared" si="270"/>
        <v>1.6400000000000003</v>
      </c>
      <c r="AK126" s="18">
        <f t="shared" si="271"/>
        <v>0</v>
      </c>
      <c r="AL126" s="18">
        <f t="shared" si="272"/>
        <v>0</v>
      </c>
      <c r="AM126" s="36">
        <f t="shared" si="273"/>
        <v>2</v>
      </c>
      <c r="AN126" s="36">
        <f t="shared" si="274"/>
        <v>0</v>
      </c>
      <c r="AO126" s="183">
        <v>775</v>
      </c>
      <c r="AP126" s="184">
        <v>0</v>
      </c>
      <c r="AQ126" s="184">
        <v>3</v>
      </c>
      <c r="AR126" s="28">
        <f>SUM(AO126:AQ126)</f>
        <v>778</v>
      </c>
      <c r="AS126" s="28">
        <f>IF(AO126&gt;0,ROUNDUP($AO126*AS$3,0),0)</f>
        <v>620</v>
      </c>
      <c r="AT126" s="163">
        <f>AR126-AS126</f>
        <v>158</v>
      </c>
      <c r="AU126" s="28">
        <f>IF(AO126&gt;0,ROUND(AN126/$AN$1*AU$3,0),0)</f>
        <v>0</v>
      </c>
      <c r="AV126" s="147">
        <f>AU126+AS126</f>
        <v>620</v>
      </c>
      <c r="AW126" s="147">
        <f>AV126-AR126</f>
        <v>-158</v>
      </c>
      <c r="AX126" s="148">
        <f>IFERROR(AV126/AR126,0)</f>
        <v>0.79691516709511567</v>
      </c>
      <c r="AY126" s="167">
        <f t="shared" ref="AY126:AY127" si="290">AU126</f>
        <v>0</v>
      </c>
      <c r="AZ126" s="167">
        <f>IF(O126&lt;18,IF(AND(I126&gt;0,I126&lt;=60),60,IF(AND(I126&gt;60,I126&lt;=120),70,IF(AND(I126&gt;120,I126&lt;=200),80,IF(I126&gt;200,90,0)))),IF(O126&gt;=18,IF(AND(I126&gt;0,I126&lt;=60),70,IF(AND(I126&gt;60,I126&lt;=120),80,IF(AND(I126&gt;120,I126&lt;=200),90,100)))))</f>
        <v>80</v>
      </c>
      <c r="BB126" s="170">
        <f t="shared" ref="BB126:BB130" si="291">AU126-AY126</f>
        <v>0</v>
      </c>
      <c r="BC126" s="202">
        <f>VLOOKUP(A126,ImportDataWA!A$14:AG$112,33,0)</f>
        <v>91.756083867630139</v>
      </c>
      <c r="BD126" s="170">
        <f t="shared" ref="BD126:BD127" si="292">AU126-AY126</f>
        <v>0</v>
      </c>
    </row>
    <row r="127" spans="1:56" hidden="1" x14ac:dyDescent="0.25">
      <c r="A127" s="198" t="s">
        <v>45</v>
      </c>
      <c r="B127" s="9" t="str">
        <f>VLOOKUP($A127,MainData!$A$4:$E$1967,2,FALSE)</f>
        <v>Micro</v>
      </c>
      <c r="C127" s="9" t="str">
        <f>VLOOKUP($A127,MainData!$A$4:$E$1967,3,FALSE)</f>
        <v>Azhar Hassan Hussien</v>
      </c>
      <c r="D127" s="9" t="str">
        <f>VLOOKUP($A127,MainData!$A$4:$E$1967,4,FALSE)</f>
        <v>Najaf</v>
      </c>
      <c r="E127" s="9" t="str">
        <f>VLOOKUP($A127,MainData!$A$4:$E$1967,5,FALSE)</f>
        <v>Adel Hatef</v>
      </c>
      <c r="F127" s="11">
        <f>SUMIFS(MainData!G:G,MainData!$A:$A,$A127)</f>
        <v>302708.25494692329</v>
      </c>
      <c r="G127" s="11">
        <f t="shared" si="279"/>
        <v>333333.33333333331</v>
      </c>
      <c r="H127" s="53">
        <f t="shared" si="255"/>
        <v>0.90812476484076987</v>
      </c>
      <c r="I127" s="10">
        <f>SUMIFS(MainData!F:F,MainData!$A:$A,$A127)</f>
        <v>113</v>
      </c>
      <c r="J127" s="10">
        <f t="shared" si="192"/>
        <v>400</v>
      </c>
      <c r="K127" s="53">
        <f t="shared" si="256"/>
        <v>0.28249999999999997</v>
      </c>
      <c r="L127" s="11">
        <f>SUMIFS(MainData!K:K,MainData!$A:$A,$A127)</f>
        <v>0</v>
      </c>
      <c r="M127" s="11">
        <f t="shared" si="151"/>
        <v>56818.18</v>
      </c>
      <c r="N127" s="53">
        <f t="shared" si="257"/>
        <v>0</v>
      </c>
      <c r="O127" s="256">
        <f>SUMIFS(MainData!J:J,MainData!$A:$A,$A127)</f>
        <v>0</v>
      </c>
      <c r="P127" s="10">
        <f>IF($B127=$B$4,0,IF($B127=$B$1,VLOOKUP(D127,Target_Entry!$A$8:$AF$23,5,0),IF(LO!B127=LO!$B$2,VLOOKUP(LO!D127,Target_Entry!$A$8:$AF$23,25,0),IF(LO!B127=LO!$B$3,VLOOKUP(LO!D127,Target_Entry!$A$8:$AF$23,15,0)))))</f>
        <v>15</v>
      </c>
      <c r="Q127" s="53">
        <f t="shared" si="258"/>
        <v>0</v>
      </c>
      <c r="R127" s="10">
        <f>SUMIFS(MainData!J:J,MainData!$A:$A,$A127)</f>
        <v>0</v>
      </c>
      <c r="S127" s="10">
        <f>SUMIFS(MainData!M:M,MainData!$A:$A,$A127)</f>
        <v>0</v>
      </c>
      <c r="T127" s="53">
        <f t="shared" si="259"/>
        <v>0</v>
      </c>
      <c r="U127" s="10">
        <f>SUMIFS(MainData!L:L,MainData!$A:$A,$A127)</f>
        <v>0</v>
      </c>
      <c r="V127" s="12">
        <f t="shared" si="260"/>
        <v>0</v>
      </c>
      <c r="W127" s="10">
        <f>SUMIFS(MainData!F:F,MainData!$A:$A,$A127)</f>
        <v>113</v>
      </c>
      <c r="X127" s="12">
        <f t="shared" si="261"/>
        <v>0.45200000000000001</v>
      </c>
      <c r="Y127" s="11">
        <f>SUMIFS(MainData!H:H,MainData!$A:$A,$A127)</f>
        <v>10911.892613636363</v>
      </c>
      <c r="Z127" s="12">
        <f t="shared" si="262"/>
        <v>3.6047555477301561E-2</v>
      </c>
      <c r="AA127" s="11">
        <f>SUMIFS(MainData!I:I,MainData!$A:$A,$A127)</f>
        <v>108351.72462734692</v>
      </c>
      <c r="AB127" s="12">
        <f t="shared" si="263"/>
        <v>0.35794109627550547</v>
      </c>
      <c r="AC127" s="182"/>
      <c r="AD127" s="18">
        <f t="shared" si="264"/>
        <v>6.9374921613589935</v>
      </c>
      <c r="AE127" s="18">
        <f t="shared" si="265"/>
        <v>0</v>
      </c>
      <c r="AF127" s="18">
        <f t="shared" si="266"/>
        <v>0</v>
      </c>
      <c r="AG127" s="18">
        <f t="shared" si="267"/>
        <v>0</v>
      </c>
      <c r="AH127" s="18">
        <f t="shared" si="268"/>
        <v>4.1857333568095321</v>
      </c>
      <c r="AI127" s="18">
        <f t="shared" si="269"/>
        <v>0</v>
      </c>
      <c r="AJ127" s="18">
        <f t="shared" si="270"/>
        <v>0</v>
      </c>
      <c r="AK127" s="18">
        <f t="shared" si="271"/>
        <v>0</v>
      </c>
      <c r="AL127" s="18">
        <f t="shared" si="272"/>
        <v>0</v>
      </c>
      <c r="AM127" s="36">
        <f t="shared" si="273"/>
        <v>11</v>
      </c>
      <c r="AN127" s="36">
        <f t="shared" si="274"/>
        <v>0</v>
      </c>
      <c r="AO127" s="183">
        <v>765</v>
      </c>
      <c r="AP127" s="184">
        <v>0</v>
      </c>
      <c r="AQ127" s="184">
        <v>0</v>
      </c>
      <c r="AR127" s="28">
        <f>SUM(AO127:AQ127)</f>
        <v>765</v>
      </c>
      <c r="AS127" s="28">
        <f>IF(AO127&gt;0,ROUNDUP($AO127*AS$3,0),0)</f>
        <v>612</v>
      </c>
      <c r="AT127" s="163">
        <f>AR127-AS127</f>
        <v>153</v>
      </c>
      <c r="AU127" s="28">
        <f>IF(AO127&gt;0,ROUND(AN127/$AN$1*AU$3,0),0)</f>
        <v>0</v>
      </c>
      <c r="AV127" s="147">
        <f>AU127+AS127</f>
        <v>612</v>
      </c>
      <c r="AW127" s="147">
        <f>AV127-AR127</f>
        <v>-153</v>
      </c>
      <c r="AX127" s="148">
        <f>IFERROR(AV127/AR127,0)</f>
        <v>0.8</v>
      </c>
      <c r="AY127" s="167">
        <f t="shared" si="290"/>
        <v>0</v>
      </c>
      <c r="AZ127" s="167">
        <f>IF(O127&lt;18,IF(AND(I127&gt;0,I127&lt;=60),60,IF(AND(I127&gt;60,I127&lt;=120),70,IF(AND(I127&gt;120,I127&lt;=200),80,IF(I127&gt;200,90,0)))),IF(O127&gt;=18,IF(AND(I127&gt;0,I127&lt;=60),70,IF(AND(I127&gt;60,I127&lt;=120),80,IF(AND(I127&gt;120,I127&lt;=200),90,100)))))</f>
        <v>70</v>
      </c>
      <c r="BB127" s="170">
        <f t="shared" si="291"/>
        <v>0</v>
      </c>
      <c r="BC127" s="202">
        <f>VLOOKUP(A127,ImportDataWA!A$14:AG$112,33,0)</f>
        <v>84.893551249996477</v>
      </c>
      <c r="BD127" s="170">
        <f t="shared" si="292"/>
        <v>0</v>
      </c>
    </row>
    <row r="128" spans="1:56" hidden="1" x14ac:dyDescent="0.25">
      <c r="A128" s="197" t="s">
        <v>57</v>
      </c>
      <c r="B128" s="9" t="str">
        <f>VLOOKUP($A128,MainData!$A$4:$E$1967,2,FALSE)</f>
        <v>Inactive</v>
      </c>
      <c r="C128" s="9" t="str">
        <f>VLOOKUP($A128,MainData!$A$4:$E$1967,3,FALSE)</f>
        <v>Inactive</v>
      </c>
      <c r="D128" s="9" t="str">
        <f>VLOOKUP($A128,MainData!$A$4:$E$1967,4,FALSE)</f>
        <v>Najaf</v>
      </c>
      <c r="E128" s="9" t="str">
        <f>VLOOKUP($A128,MainData!$A$4:$E$1967,5,FALSE)</f>
        <v>Inactive</v>
      </c>
      <c r="F128" s="11">
        <f>SUMIFS(MainData!G:G,MainData!$A:$A,$A128)</f>
        <v>0</v>
      </c>
      <c r="G128" s="11">
        <f t="shared" si="279"/>
        <v>0</v>
      </c>
      <c r="H128" s="53">
        <f t="shared" ref="H128" si="293">IFERROR(F128/G128,0)</f>
        <v>0</v>
      </c>
      <c r="I128" s="10">
        <f>SUMIFS(MainData!F:F,MainData!$A:$A,$A128)</f>
        <v>0</v>
      </c>
      <c r="J128" s="10">
        <f t="shared" si="192"/>
        <v>0</v>
      </c>
      <c r="K128" s="53">
        <f t="shared" ref="K128" si="294">IFERROR(I128/J128,0)</f>
        <v>0</v>
      </c>
      <c r="L128" s="11">
        <f>SUMIFS(MainData!K:K,MainData!$A:$A,$A128)</f>
        <v>0</v>
      </c>
      <c r="M128" s="11">
        <f t="shared" ref="M128:M191" si="295">IF($B128=$B$4,0,IF($B128=$B$1,$K$1,IF($B128=$B$2,$K$2,IF($B128=$B$3,$K$3))))</f>
        <v>0</v>
      </c>
      <c r="N128" s="53">
        <f t="shared" ref="N128" si="296">IFERROR(L128/M128,0)</f>
        <v>0</v>
      </c>
      <c r="O128" s="256">
        <f>SUMIFS(MainData!J:J,MainData!$A:$A,$A128)</f>
        <v>0</v>
      </c>
      <c r="P128" s="10">
        <f>IF($B128=$B$4,0,IF($B128=$B$1,VLOOKUP(D128,Target_Entry!$A$8:$AF$23,5,0),IF(LO!B128=LO!$B$2,VLOOKUP(LO!D128,Target_Entry!$A$8:$AF$23,25,0),IF(LO!B128=LO!$B$3,VLOOKUP(LO!D128,Target_Entry!$A$8:$AF$23,15,0)))))</f>
        <v>0</v>
      </c>
      <c r="Q128" s="53">
        <f t="shared" ref="Q128" si="297">IFERROR(O128/P128,0)</f>
        <v>0</v>
      </c>
      <c r="R128" s="10">
        <f>SUMIFS(MainData!J:J,MainData!$A:$A,$A128)</f>
        <v>0</v>
      </c>
      <c r="S128" s="10">
        <f>SUMIFS(MainData!M:M,MainData!$A:$A,$A128)</f>
        <v>0</v>
      </c>
      <c r="T128" s="53">
        <f t="shared" ref="T128" si="298">IFERROR(S128/R128,0)</f>
        <v>0</v>
      </c>
      <c r="U128" s="10">
        <f>SUMIFS(MainData!L:L,MainData!$A:$A,$A128)</f>
        <v>0</v>
      </c>
      <c r="V128" s="12">
        <f t="shared" ref="V128" si="299">IFERROR(U128/R128,0)</f>
        <v>0</v>
      </c>
      <c r="W128" s="10">
        <f>SUMIFS(MainData!F:F,MainData!$A:$A,$A128)</f>
        <v>0</v>
      </c>
      <c r="X128" s="12">
        <f t="shared" ref="X128" si="300">IF($B128=$B$2,W128/X$3,W128/X$2)</f>
        <v>0</v>
      </c>
      <c r="Y128" s="11">
        <f>SUMIFS(MainData!H:H,MainData!$A:$A,$A128)</f>
        <v>0</v>
      </c>
      <c r="Z128" s="12">
        <f t="shared" ref="Z128" si="301">IFERROR(Y128/$F128,0)</f>
        <v>0</v>
      </c>
      <c r="AA128" s="11">
        <f>SUMIFS(MainData!I:I,MainData!$A:$A,$A128)</f>
        <v>0</v>
      </c>
      <c r="AB128" s="12">
        <f t="shared" ref="AB128" si="302">IFERROR(AA128/$F128,0)</f>
        <v>0</v>
      </c>
      <c r="AC128" s="182"/>
      <c r="AD128" s="18">
        <f t="shared" ref="AD128" si="303">MAX(AD$5,MIN(AD$4,AD$1*(H128/(AD$2-AD$3)-(AD$3/(AD$2-AD$3)))))</f>
        <v>0</v>
      </c>
      <c r="AE128" s="18">
        <f t="shared" ref="AE128" si="304">MAX(AE$5,MIN(AE$4,AE$1*(K128/(AE$2-AE$3)-(AE$3/(AE$2-AE$3)))))</f>
        <v>0</v>
      </c>
      <c r="AF128" s="18">
        <f t="shared" ref="AF128" si="305">MAX(AF$5,MIN(AF$4,AF$1*(N128/(AF$2-AF$3)-(AF$3/(AF$2-AF$3)))))</f>
        <v>0</v>
      </c>
      <c r="AG128" s="18">
        <f t="shared" ref="AG128" si="306">MAX(AG$5,MIN(AG$4,AG$1*(Q128/(AG$2-AG$3)-(AG$3/(AG$2-AG$3)))))</f>
        <v>0</v>
      </c>
      <c r="AH128" s="18">
        <f t="shared" ref="AH128" si="307">MIN(AH$4,MAX(AH$5,AH$1-AH$1*(Z128/(AH$3-AH$2)-(AH$2/(AH$3-AH$2)))))</f>
        <v>15</v>
      </c>
      <c r="AI128" s="18">
        <f t="shared" ref="AI128" si="308">MIN(AI$4,MAX(AI$5,AI$1-AI$1*(AB128/(AI$3-AI$2)-(AI$2/(AI$3-AI$2)))))</f>
        <v>37.5</v>
      </c>
      <c r="AJ128" s="18">
        <f t="shared" ref="AJ128" si="309">MAX(AJ$5,MIN(AJ$4,AJ$1*(X128/(AJ$2-AJ$3)-(AJ$3/(AJ$2-AJ$3)))))</f>
        <v>0</v>
      </c>
      <c r="AK128" s="18">
        <f t="shared" ref="AK128" si="310">MAX(AK$5,MIN(AK$4,AK$1*(T128/(AK$2-AK$3)-(AK$3/(AK$2-AK$3)))))</f>
        <v>0</v>
      </c>
      <c r="AL128" s="18">
        <f t="shared" ref="AL128" si="311">MAX(AL$5,MIN(AL$4,AL$1*(V128/(AL$2-AL$3)-(AL$3/(AL$2-AL$3)))))</f>
        <v>0</v>
      </c>
      <c r="AM128" s="36">
        <f t="shared" ref="AM128" si="312">ROUND(SUM(AD128:AL128),0)</f>
        <v>53</v>
      </c>
      <c r="AN128" s="36">
        <f t="shared" ref="AN128" si="313">IF(AND(AB128&lt;=AN$2,OR(AND(O128&gt;=AO$3,L128&gt;=AN$3),AND(O128&gt;=AO$4,L128&gt;=AN$4))),AM128,0)</f>
        <v>0</v>
      </c>
      <c r="AO128" s="183"/>
      <c r="AP128" s="184"/>
      <c r="AQ128" s="184"/>
      <c r="AR128" s="28"/>
      <c r="AS128" s="28"/>
      <c r="AT128" s="163"/>
      <c r="AU128" s="28"/>
      <c r="AV128" s="147"/>
      <c r="AW128" s="147"/>
      <c r="AX128" s="148"/>
      <c r="AY128" s="167"/>
      <c r="AZ128" s="167"/>
      <c r="BB128" s="170"/>
      <c r="BC128" s="202"/>
    </row>
    <row r="129" spans="1:56" hidden="1" x14ac:dyDescent="0.25">
      <c r="A129" s="197" t="s">
        <v>63</v>
      </c>
      <c r="B129" s="9" t="str">
        <f>VLOOKUP($A129,MainData!$A$4:$E$1967,2,FALSE)</f>
        <v>Micro</v>
      </c>
      <c r="C129" s="9" t="str">
        <f>VLOOKUP($A129,MainData!$A$4:$E$1967,3,FALSE)</f>
        <v>Abbas Razaq Abdul Razaq</v>
      </c>
      <c r="D129" s="9" t="str">
        <f>VLOOKUP($A129,MainData!$A$4:$E$1967,4,FALSE)</f>
        <v>Najaf</v>
      </c>
      <c r="E129" s="9" t="str">
        <f>VLOOKUP($A129,MainData!$A$4:$E$1967,5,FALSE)</f>
        <v>Adel Hatef</v>
      </c>
      <c r="F129" s="11">
        <f>SUMIFS(MainData!G:G,MainData!$A:$A,$A129)</f>
        <v>576423.90321969683</v>
      </c>
      <c r="G129" s="11">
        <f t="shared" si="279"/>
        <v>333333.33333333331</v>
      </c>
      <c r="H129" s="53">
        <f t="shared" si="255"/>
        <v>1.7292717096590906</v>
      </c>
      <c r="I129" s="10">
        <f>SUMIFS(MainData!F:F,MainData!$A:$A,$A129)</f>
        <v>212</v>
      </c>
      <c r="J129" s="10">
        <f t="shared" si="192"/>
        <v>400</v>
      </c>
      <c r="K129" s="53">
        <f t="shared" si="256"/>
        <v>0.53</v>
      </c>
      <c r="L129" s="11">
        <f>SUMIFS(MainData!K:K,MainData!$A:$A,$A129)</f>
        <v>50757.575757575753</v>
      </c>
      <c r="M129" s="11">
        <f t="shared" si="295"/>
        <v>56818.18</v>
      </c>
      <c r="N129" s="53">
        <f t="shared" si="257"/>
        <v>0.89333336192000079</v>
      </c>
      <c r="O129" s="256">
        <f>SUMIFS(MainData!J:J,MainData!$A:$A,$A129)</f>
        <v>15</v>
      </c>
      <c r="P129" s="10">
        <f>IF($B129=$B$4,0,IF($B129=$B$1,VLOOKUP(D129,Target_Entry!$A$8:$AF$23,5,0),IF(LO!B129=LO!$B$2,VLOOKUP(LO!D129,Target_Entry!$A$8:$AF$23,25,0),IF(LO!B129=LO!$B$3,VLOOKUP(LO!D129,Target_Entry!$A$8:$AF$23,15,0)))))</f>
        <v>15</v>
      </c>
      <c r="Q129" s="53">
        <f t="shared" si="258"/>
        <v>1</v>
      </c>
      <c r="R129" s="10">
        <f>SUMIFS(MainData!J:J,MainData!$A:$A,$A129)</f>
        <v>15</v>
      </c>
      <c r="S129" s="10">
        <f>SUMIFS(MainData!M:M,MainData!$A:$A,$A129)</f>
        <v>8</v>
      </c>
      <c r="T129" s="53">
        <f t="shared" si="259"/>
        <v>0.53333333333333333</v>
      </c>
      <c r="U129" s="10">
        <f>SUMIFS(MainData!L:L,MainData!$A:$A,$A129)</f>
        <v>9</v>
      </c>
      <c r="V129" s="12">
        <f t="shared" si="260"/>
        <v>0.6</v>
      </c>
      <c r="W129" s="10">
        <f>SUMIFS(MainData!F:F,MainData!$A:$A,$A129)</f>
        <v>212</v>
      </c>
      <c r="X129" s="12">
        <f t="shared" si="261"/>
        <v>0.84799999999999998</v>
      </c>
      <c r="Y129" s="11">
        <f>SUMIFS(MainData!H:H,MainData!$A:$A,$A129)</f>
        <v>10272.62262121212</v>
      </c>
      <c r="Z129" s="12">
        <f t="shared" si="262"/>
        <v>1.7821298811227189E-2</v>
      </c>
      <c r="AA129" s="11">
        <f>SUMIFS(MainData!I:I,MainData!$A:$A,$A129)</f>
        <v>1771.7728106060606</v>
      </c>
      <c r="AB129" s="12">
        <f t="shared" si="263"/>
        <v>3.073732370759738E-3</v>
      </c>
      <c r="AC129" s="182"/>
      <c r="AD129" s="18">
        <f t="shared" si="264"/>
        <v>10</v>
      </c>
      <c r="AE129" s="18">
        <f t="shared" si="265"/>
        <v>0</v>
      </c>
      <c r="AF129" s="18">
        <f t="shared" si="266"/>
        <v>19.333336192000075</v>
      </c>
      <c r="AG129" s="18">
        <f t="shared" si="267"/>
        <v>0</v>
      </c>
      <c r="AH129" s="18">
        <f t="shared" si="268"/>
        <v>9.6536103566318445</v>
      </c>
      <c r="AI129" s="18">
        <f t="shared" si="269"/>
        <v>36.731566907310068</v>
      </c>
      <c r="AJ129" s="18">
        <f t="shared" si="270"/>
        <v>3.4799999999999995</v>
      </c>
      <c r="AK129" s="18">
        <f t="shared" si="271"/>
        <v>3.3333333333333339</v>
      </c>
      <c r="AL129" s="18">
        <f t="shared" si="272"/>
        <v>5</v>
      </c>
      <c r="AM129" s="36">
        <f t="shared" si="273"/>
        <v>88</v>
      </c>
      <c r="AN129" s="36">
        <f t="shared" si="274"/>
        <v>88</v>
      </c>
      <c r="AO129" s="183">
        <v>753</v>
      </c>
      <c r="AP129" s="184">
        <v>0</v>
      </c>
      <c r="AQ129" s="184">
        <v>2</v>
      </c>
      <c r="AR129" s="28">
        <f>SUM(AO129:AQ129)</f>
        <v>755</v>
      </c>
      <c r="AS129" s="28">
        <f>IF(AO129&gt;0,ROUNDUP($AO129*AS$3,0),0)</f>
        <v>603</v>
      </c>
      <c r="AT129" s="163">
        <f>AR129-AS129</f>
        <v>152</v>
      </c>
      <c r="AU129" s="28">
        <f>IF(AO129&gt;0,ROUND(AN129/$AN$1*AU$3,0),0)</f>
        <v>572</v>
      </c>
      <c r="AV129" s="147">
        <f>AU129+AS129</f>
        <v>1175</v>
      </c>
      <c r="AW129" s="147">
        <f>AV129-AR129</f>
        <v>420</v>
      </c>
      <c r="AX129" s="148">
        <f>IFERROR(AV129/AR129,0)</f>
        <v>1.5562913907284768</v>
      </c>
      <c r="AY129" s="167">
        <f t="shared" ref="AY129:AY130" si="314">AU129</f>
        <v>572</v>
      </c>
      <c r="AZ129" s="167">
        <f>IF(O129&lt;18,IF(AND(I129&gt;0,I129&lt;=60),60,IF(AND(I129&gt;60,I129&lt;=120),70,IF(AND(I129&gt;120,I129&lt;=200),80,IF(I129&gt;200,90,0)))),IF(O129&gt;=18,IF(AND(I129&gt;0,I129&lt;=60),70,IF(AND(I129&gt;60,I129&lt;=120),80,IF(AND(I129&gt;120,I129&lt;=200),90,100)))))</f>
        <v>90</v>
      </c>
      <c r="BB129" s="170">
        <f t="shared" si="291"/>
        <v>0</v>
      </c>
      <c r="BC129" s="202">
        <f>VLOOKUP(A129,ImportDataWA!A$14:AG$112,33,0)</f>
        <v>99.060992316729426</v>
      </c>
      <c r="BD129" s="170">
        <f t="shared" ref="BD129:BD130" si="315">AU129-AY129</f>
        <v>0</v>
      </c>
    </row>
    <row r="130" spans="1:56" hidden="1" x14ac:dyDescent="0.25">
      <c r="A130" s="195" t="s">
        <v>68</v>
      </c>
      <c r="B130" s="9" t="str">
        <f>VLOOKUP($A130,MainData!$A$4:$E$1967,2,FALSE)</f>
        <v>VSE</v>
      </c>
      <c r="C130" s="9" t="str">
        <f>VLOOKUP($A130,MainData!$A$4:$E$1967,3,FALSE)</f>
        <v>Ahmed Hilal  Abdul Kareem</v>
      </c>
      <c r="D130" s="9" t="str">
        <f>VLOOKUP($A130,MainData!$A$4:$E$1967,4,FALSE)</f>
        <v>Najaf</v>
      </c>
      <c r="E130" s="9" t="str">
        <f>VLOOKUP($A130,MainData!$A$4:$E$1967,5,FALSE)</f>
        <v>Adel Hatef</v>
      </c>
      <c r="F130" s="11">
        <f>SUMIFS(MainData!G:G,MainData!$A:$A,$A130)</f>
        <v>889815.23687410739</v>
      </c>
      <c r="G130" s="11">
        <f t="shared" si="279"/>
        <v>777777.77777777775</v>
      </c>
      <c r="H130" s="53">
        <f t="shared" si="255"/>
        <v>1.1440481616952809</v>
      </c>
      <c r="I130" s="10">
        <f>SUMIFS(MainData!F:F,MainData!$A:$A,$A130)</f>
        <v>196</v>
      </c>
      <c r="J130" s="10">
        <f t="shared" si="192"/>
        <v>889</v>
      </c>
      <c r="K130" s="53">
        <f t="shared" si="256"/>
        <v>0.22047244094488189</v>
      </c>
      <c r="L130" s="11">
        <f>SUMIFS(MainData!K:K,MainData!$A:$A,$A130)</f>
        <v>63446.969696969696</v>
      </c>
      <c r="M130" s="11">
        <f t="shared" si="295"/>
        <v>79545.45</v>
      </c>
      <c r="N130" s="53">
        <f t="shared" si="257"/>
        <v>0.79761909319728153</v>
      </c>
      <c r="O130" s="256">
        <f>SUMIFS(MainData!J:J,MainData!$A:$A,$A130)</f>
        <v>14</v>
      </c>
      <c r="P130" s="10">
        <f>IF($B130=$B$4,0,IF($B130=$B$1,VLOOKUP(D130,Target_Entry!$A$8:$AF$23,5,0),IF(LO!B130=LO!$B$2,VLOOKUP(LO!D130,Target_Entry!$A$8:$AF$23,25,0),IF(LO!B130=LO!$B$3,VLOOKUP(LO!D130,Target_Entry!$A$8:$AF$23,15,0)))))</f>
        <v>8</v>
      </c>
      <c r="Q130" s="53">
        <f t="shared" si="258"/>
        <v>1.75</v>
      </c>
      <c r="R130" s="10">
        <f>SUMIFS(MainData!J:J,MainData!$A:$A,$A130)</f>
        <v>14</v>
      </c>
      <c r="S130" s="10">
        <f>SUMIFS(MainData!M:M,MainData!$A:$A,$A130)</f>
        <v>10</v>
      </c>
      <c r="T130" s="53">
        <f t="shared" si="259"/>
        <v>0.7142857142857143</v>
      </c>
      <c r="U130" s="10">
        <f>SUMIFS(MainData!L:L,MainData!$A:$A,$A130)</f>
        <v>9</v>
      </c>
      <c r="V130" s="12">
        <f t="shared" si="260"/>
        <v>0.6428571428571429</v>
      </c>
      <c r="W130" s="10">
        <f>SUMIFS(MainData!F:F,MainData!$A:$A,$A130)</f>
        <v>196</v>
      </c>
      <c r="X130" s="12">
        <f t="shared" si="261"/>
        <v>0.78400000000000003</v>
      </c>
      <c r="Y130" s="11">
        <f>SUMIFS(MainData!H:H,MainData!$A:$A,$A130)</f>
        <v>51026.361977272725</v>
      </c>
      <c r="Z130" s="12">
        <f t="shared" si="262"/>
        <v>5.7344895729732288E-2</v>
      </c>
      <c r="AA130" s="11">
        <f>SUMIFS(MainData!I:I,MainData!$A:$A,$A130)</f>
        <v>50494.071807352717</v>
      </c>
      <c r="AB130" s="231">
        <f t="shared" si="263"/>
        <v>5.6746692700764247E-2</v>
      </c>
      <c r="AC130" s="182"/>
      <c r="AD130" s="18">
        <f t="shared" si="264"/>
        <v>10</v>
      </c>
      <c r="AE130" s="18">
        <f t="shared" si="265"/>
        <v>0</v>
      </c>
      <c r="AF130" s="18">
        <f t="shared" si="266"/>
        <v>9.7619093197281526</v>
      </c>
      <c r="AG130" s="18">
        <f t="shared" si="267"/>
        <v>0</v>
      </c>
      <c r="AH130" s="18">
        <f t="shared" si="268"/>
        <v>0</v>
      </c>
      <c r="AI130" s="18">
        <f t="shared" si="269"/>
        <v>23.313326824808939</v>
      </c>
      <c r="AJ130" s="18">
        <f t="shared" si="270"/>
        <v>2.8400000000000003</v>
      </c>
      <c r="AK130" s="18">
        <f t="shared" si="271"/>
        <v>5</v>
      </c>
      <c r="AL130" s="18">
        <f t="shared" si="272"/>
        <v>5</v>
      </c>
      <c r="AM130" s="36">
        <f t="shared" si="273"/>
        <v>56</v>
      </c>
      <c r="AN130" s="36">
        <f t="shared" si="274"/>
        <v>0</v>
      </c>
      <c r="AO130" s="183">
        <v>834</v>
      </c>
      <c r="AP130" s="184">
        <v>0</v>
      </c>
      <c r="AQ130" s="184">
        <v>93</v>
      </c>
      <c r="AR130" s="28">
        <f>SUM(AO130:AQ130)</f>
        <v>927</v>
      </c>
      <c r="AS130" s="28">
        <f>IF(AO130&gt;0,ROUNDUP($AO130*AS$3,0),0)</f>
        <v>668</v>
      </c>
      <c r="AT130" s="163">
        <f>AR130-AS130</f>
        <v>259</v>
      </c>
      <c r="AU130" s="28">
        <f>IF(AO130&gt;0,ROUND(AN130/$AN$1*AU$3,0),0)</f>
        <v>0</v>
      </c>
      <c r="AV130" s="147">
        <f>AU130+AS130</f>
        <v>668</v>
      </c>
      <c r="AW130" s="147">
        <f>AV130-AR130</f>
        <v>-259</v>
      </c>
      <c r="AX130" s="148">
        <f>IFERROR(AV130/AR130,0)</f>
        <v>0.7206040992448759</v>
      </c>
      <c r="AY130" s="167">
        <f t="shared" si="314"/>
        <v>0</v>
      </c>
      <c r="AZ130" s="167">
        <f>IF(O130&lt;18,IF(AND(I130&gt;0,I130&lt;=60),60,IF(AND(I130&gt;60,I130&lt;=120),70,IF(AND(I130&gt;120,I130&lt;=200),80,IF(I130&gt;200,90,0)))),IF(O130&gt;=18,IF(AND(I130&gt;0,I130&lt;=60),70,IF(AND(I130&gt;60,I130&lt;=120),80,IF(AND(I130&gt;120,I130&lt;=200),90,100)))))</f>
        <v>80</v>
      </c>
      <c r="BB130" s="170">
        <f t="shared" si="291"/>
        <v>0</v>
      </c>
      <c r="BC130" s="202">
        <f>VLOOKUP(A130,ImportDataWA!A$14:AG$112,33,0)</f>
        <v>94.782895830061207</v>
      </c>
      <c r="BD130" s="170">
        <f t="shared" si="315"/>
        <v>0</v>
      </c>
    </row>
    <row r="131" spans="1:56" hidden="1" x14ac:dyDescent="0.25">
      <c r="A131" s="192" t="s">
        <v>418</v>
      </c>
      <c r="B131" s="189" t="str">
        <f>VLOOKUP($A131,MainData!$A$4:$E$1967,2,FALSE)</f>
        <v>Inactive</v>
      </c>
      <c r="C131" s="189" t="str">
        <f>VLOOKUP($A131,MainData!$A$4:$E$1967,3,FALSE)</f>
        <v>Inactive</v>
      </c>
      <c r="D131" s="189" t="str">
        <f>VLOOKUP($A131,MainData!$A$4:$E$1967,4,FALSE)</f>
        <v>Najaf</v>
      </c>
      <c r="E131" s="189" t="str">
        <f>VLOOKUP($A131,MainData!$A$4:$E$1967,5,FALSE)</f>
        <v>Inactive</v>
      </c>
      <c r="F131" s="11">
        <f>SUMIFS(MainData!G:G,MainData!$A:$A,$A131)</f>
        <v>0</v>
      </c>
      <c r="G131" s="11">
        <f t="shared" si="279"/>
        <v>0</v>
      </c>
      <c r="H131" s="53">
        <f t="shared" si="255"/>
        <v>0</v>
      </c>
      <c r="I131" s="10">
        <f>SUMIFS(MainData!F:F,MainData!$A:$A,$A131)</f>
        <v>0</v>
      </c>
      <c r="J131" s="10">
        <f t="shared" si="192"/>
        <v>0</v>
      </c>
      <c r="K131" s="53">
        <f t="shared" si="256"/>
        <v>0</v>
      </c>
      <c r="L131" s="11">
        <f>SUMIFS(MainData!K:K,MainData!$A:$A,$A131)</f>
        <v>0</v>
      </c>
      <c r="M131" s="11">
        <f t="shared" si="295"/>
        <v>0</v>
      </c>
      <c r="N131" s="53">
        <f t="shared" si="257"/>
        <v>0</v>
      </c>
      <c r="O131" s="256">
        <f>SUMIFS(MainData!J:J,MainData!$A:$A,$A131)</f>
        <v>0</v>
      </c>
      <c r="P131" s="10">
        <f>IF($B131=$B$4,0,IF($B131=$B$1,VLOOKUP(D131,Target_Entry!$A$8:$AF$23,5,0),IF(LO!B131=LO!$B$2,VLOOKUP(LO!D131,Target_Entry!$A$8:$AF$23,25,0),IF(LO!B131=LO!$B$3,VLOOKUP(LO!D131,Target_Entry!$A$8:$AF$23,15,0)))))</f>
        <v>0</v>
      </c>
      <c r="Q131" s="53">
        <f t="shared" si="258"/>
        <v>0</v>
      </c>
      <c r="R131" s="10">
        <f>SUMIFS(MainData!J:J,MainData!$A:$A,$A131)</f>
        <v>0</v>
      </c>
      <c r="S131" s="10">
        <f>SUMIFS(MainData!M:M,MainData!$A:$A,$A131)</f>
        <v>0</v>
      </c>
      <c r="T131" s="53">
        <f t="shared" si="259"/>
        <v>0</v>
      </c>
      <c r="U131" s="10">
        <f>SUMIFS(MainData!L:L,MainData!$A:$A,$A131)</f>
        <v>0</v>
      </c>
      <c r="V131" s="12">
        <f t="shared" si="260"/>
        <v>0</v>
      </c>
      <c r="W131" s="10">
        <f>SUMIFS(MainData!F:F,MainData!$A:$A,$A131)</f>
        <v>0</v>
      </c>
      <c r="X131" s="12">
        <f t="shared" si="261"/>
        <v>0</v>
      </c>
      <c r="Y131" s="11">
        <f>SUMIFS(MainData!H:H,MainData!$A:$A,$A131)</f>
        <v>0</v>
      </c>
      <c r="Z131" s="12">
        <f t="shared" si="262"/>
        <v>0</v>
      </c>
      <c r="AA131" s="11">
        <f>SUMIFS(MainData!I:I,MainData!$A:$A,$A131)</f>
        <v>0</v>
      </c>
      <c r="AB131" s="12">
        <f t="shared" si="263"/>
        <v>0</v>
      </c>
      <c r="AC131" s="182"/>
      <c r="AD131" s="18">
        <f t="shared" si="264"/>
        <v>0</v>
      </c>
      <c r="AE131" s="18">
        <f t="shared" si="265"/>
        <v>0</v>
      </c>
      <c r="AF131" s="18">
        <f t="shared" si="266"/>
        <v>0</v>
      </c>
      <c r="AG131" s="18">
        <f t="shared" si="267"/>
        <v>0</v>
      </c>
      <c r="AH131" s="18">
        <f t="shared" si="268"/>
        <v>15</v>
      </c>
      <c r="AI131" s="18">
        <f t="shared" si="269"/>
        <v>37.5</v>
      </c>
      <c r="AJ131" s="18">
        <f t="shared" si="270"/>
        <v>0</v>
      </c>
      <c r="AK131" s="18">
        <f t="shared" si="271"/>
        <v>0</v>
      </c>
      <c r="AL131" s="18">
        <f t="shared" si="272"/>
        <v>0</v>
      </c>
      <c r="AM131" s="36">
        <f t="shared" si="273"/>
        <v>53</v>
      </c>
      <c r="AN131" s="36">
        <f t="shared" si="274"/>
        <v>0</v>
      </c>
      <c r="AO131" s="183"/>
      <c r="AP131" s="184"/>
      <c r="AQ131" s="184"/>
      <c r="AR131" s="28"/>
      <c r="AS131" s="28"/>
      <c r="AT131" s="163"/>
      <c r="AU131" s="28"/>
      <c r="AV131" s="147"/>
      <c r="AW131" s="147"/>
      <c r="AX131" s="148"/>
      <c r="AY131" s="167"/>
      <c r="AZ131" s="167"/>
      <c r="BB131" s="170"/>
      <c r="BC131" s="202"/>
    </row>
    <row r="132" spans="1:56" hidden="1" x14ac:dyDescent="0.25">
      <c r="A132" s="195" t="s">
        <v>429</v>
      </c>
      <c r="B132" s="9" t="str">
        <f>VLOOKUP($A132,MainData!$A$4:$E$1967,2,FALSE)</f>
        <v>VSE</v>
      </c>
      <c r="C132" s="9" t="str">
        <f>VLOOKUP($A132,MainData!$A$4:$E$1967,3,FALSE)</f>
        <v>Ahmed Hilal  Abdul Kareem</v>
      </c>
      <c r="D132" s="9" t="str">
        <f>VLOOKUP($A132,MainData!$A$4:$E$1967,4,FALSE)</f>
        <v>Najaf</v>
      </c>
      <c r="E132" s="9" t="str">
        <f>VLOOKUP($A132,MainData!$A$4:$E$1967,5,FALSE)</f>
        <v>Adel Hatef</v>
      </c>
      <c r="F132" s="11">
        <f>SUMIFS(MainData!G:G,MainData!$A:$A,$A132)</f>
        <v>742254.46961127396</v>
      </c>
      <c r="G132" s="11">
        <f t="shared" si="279"/>
        <v>777777.77777777775</v>
      </c>
      <c r="H132" s="53">
        <f t="shared" si="255"/>
        <v>0.95432717521449517</v>
      </c>
      <c r="I132" s="10">
        <f>SUMIFS(MainData!F:F,MainData!$A:$A,$A132)</f>
        <v>158</v>
      </c>
      <c r="J132" s="10">
        <f t="shared" si="192"/>
        <v>889</v>
      </c>
      <c r="K132" s="53">
        <f t="shared" si="256"/>
        <v>0.17772778402699663</v>
      </c>
      <c r="L132" s="11">
        <f>SUMIFS(MainData!K:K,MainData!$A:$A,$A132)</f>
        <v>0</v>
      </c>
      <c r="M132" s="11">
        <f t="shared" si="295"/>
        <v>79545.45</v>
      </c>
      <c r="N132" s="53">
        <f t="shared" si="257"/>
        <v>0</v>
      </c>
      <c r="O132" s="256">
        <f>SUMIFS(MainData!J:J,MainData!$A:$A,$A132)</f>
        <v>0</v>
      </c>
      <c r="P132" s="10">
        <f>IF($B132=$B$4,0,IF($B132=$B$1,VLOOKUP(D132,Target_Entry!$A$8:$AF$23,5,0),IF(LO!B132=LO!$B$2,VLOOKUP(LO!D132,Target_Entry!$A$8:$AF$23,25,0),IF(LO!B132=LO!$B$3,VLOOKUP(LO!D132,Target_Entry!$A$8:$AF$23,15,0)))))</f>
        <v>8</v>
      </c>
      <c r="Q132" s="53">
        <f t="shared" si="258"/>
        <v>0</v>
      </c>
      <c r="R132" s="10">
        <f>SUMIFS(MainData!J:J,MainData!$A:$A,$A132)</f>
        <v>0</v>
      </c>
      <c r="S132" s="10">
        <f>SUMIFS(MainData!M:M,MainData!$A:$A,$A132)</f>
        <v>0</v>
      </c>
      <c r="T132" s="53">
        <f t="shared" si="259"/>
        <v>0</v>
      </c>
      <c r="U132" s="10">
        <f>SUMIFS(MainData!L:L,MainData!$A:$A,$A132)</f>
        <v>0</v>
      </c>
      <c r="V132" s="12">
        <f t="shared" si="260"/>
        <v>0</v>
      </c>
      <c r="W132" s="10">
        <f>SUMIFS(MainData!F:F,MainData!$A:$A,$A132)</f>
        <v>158</v>
      </c>
      <c r="X132" s="12">
        <f t="shared" si="261"/>
        <v>0.63200000000000001</v>
      </c>
      <c r="Y132" s="11">
        <f>SUMIFS(MainData!H:H,MainData!$A:$A,$A132)</f>
        <v>15155.933840909091</v>
      </c>
      <c r="Z132" s="12">
        <f t="shared" si="262"/>
        <v>2.0418784205969692E-2</v>
      </c>
      <c r="AA132" s="11">
        <f>SUMIFS(MainData!I:I,MainData!$A:$A,$A132)</f>
        <v>55436.539629597472</v>
      </c>
      <c r="AB132" s="12">
        <f t="shared" si="263"/>
        <v>7.4686703683482208E-2</v>
      </c>
      <c r="AC132" s="182"/>
      <c r="AD132" s="18">
        <f t="shared" si="264"/>
        <v>8.4775725071498353</v>
      </c>
      <c r="AE132" s="18">
        <f t="shared" si="265"/>
        <v>0</v>
      </c>
      <c r="AF132" s="18">
        <f t="shared" si="266"/>
        <v>0</v>
      </c>
      <c r="AG132" s="18">
        <f t="shared" si="267"/>
        <v>0</v>
      </c>
      <c r="AH132" s="18">
        <f t="shared" si="268"/>
        <v>8.874364738209092</v>
      </c>
      <c r="AI132" s="18">
        <f t="shared" si="269"/>
        <v>18.828324079129445</v>
      </c>
      <c r="AJ132" s="18">
        <f t="shared" si="270"/>
        <v>1.32</v>
      </c>
      <c r="AK132" s="18">
        <f t="shared" si="271"/>
        <v>0</v>
      </c>
      <c r="AL132" s="18">
        <f t="shared" si="272"/>
        <v>0</v>
      </c>
      <c r="AM132" s="36">
        <f t="shared" si="273"/>
        <v>38</v>
      </c>
      <c r="AN132" s="36">
        <f t="shared" si="274"/>
        <v>0</v>
      </c>
      <c r="AO132" s="183">
        <v>871</v>
      </c>
      <c r="AP132" s="184">
        <v>0</v>
      </c>
      <c r="AQ132" s="184">
        <v>0</v>
      </c>
      <c r="AR132" s="28">
        <f>SUM(AO132:AQ132)</f>
        <v>871</v>
      </c>
      <c r="AS132" s="28">
        <f>IF(AO132&gt;0,ROUNDUP($AO132*AS$3,0),0)</f>
        <v>697</v>
      </c>
      <c r="AT132" s="163">
        <f>AR132-AS132</f>
        <v>174</v>
      </c>
      <c r="AU132" s="28">
        <f>IF(AO132&gt;0,ROUND(AN132/$AN$1*AU$3,0),0)</f>
        <v>0</v>
      </c>
      <c r="AV132" s="147">
        <f>AU132+AS132</f>
        <v>697</v>
      </c>
      <c r="AW132" s="147">
        <f>AV132-AR132</f>
        <v>-174</v>
      </c>
      <c r="AX132" s="148">
        <f>IFERROR(AV132/AR132,0)</f>
        <v>0.80022962112514351</v>
      </c>
      <c r="AY132" s="167">
        <f t="shared" ref="AY132:AY134" si="316">AU132</f>
        <v>0</v>
      </c>
      <c r="AZ132" s="167">
        <f>IF(O132&lt;18,IF(AND(I132&gt;0,I132&lt;=60),60,IF(AND(I132&gt;60,I132&lt;=120),70,IF(AND(I132&gt;120,I132&lt;=200),80,IF(I132&gt;200,90,0)))),IF(O132&gt;=18,IF(AND(I132&gt;0,I132&lt;=60),70,IF(AND(I132&gt;60,I132&lt;=120),80,IF(AND(I132&gt;120,I132&lt;=200),90,100)))))</f>
        <v>80</v>
      </c>
      <c r="BB132" s="170">
        <f>AU132-AY132</f>
        <v>0</v>
      </c>
      <c r="BC132" s="202">
        <f>VLOOKUP(A132,ImportDataWA!A$14:AG$112,33,0)</f>
        <v>93.868532831383575</v>
      </c>
      <c r="BD132" s="170">
        <f t="shared" ref="BD132:BD134" si="317">AU132-AY132</f>
        <v>0</v>
      </c>
    </row>
    <row r="133" spans="1:56" hidden="1" x14ac:dyDescent="0.25">
      <c r="A133" s="230" t="s">
        <v>109</v>
      </c>
      <c r="B133" s="9" t="str">
        <f>VLOOKUP($A133,MainData!$A$4:$E$1967,2,FALSE)</f>
        <v>VSE</v>
      </c>
      <c r="C133" s="9" t="str">
        <f>VLOOKUP($A133,MainData!$A$4:$E$1967,3,FALSE)</f>
        <v>Azhar Hassan Hussien</v>
      </c>
      <c r="D133" s="9" t="str">
        <f>VLOOKUP($A133,MainData!$A$4:$E$1967,4,FALSE)</f>
        <v>Najaf</v>
      </c>
      <c r="E133" s="9" t="str">
        <f>VLOOKUP($A133,MainData!$A$4:$E$1967,5,FALSE)</f>
        <v>Adel Hatef</v>
      </c>
      <c r="F133" s="11">
        <f>SUMIFS(MainData!G:G,MainData!$A:$A,$A133)</f>
        <v>860720.3520623598</v>
      </c>
      <c r="G133" s="11">
        <f t="shared" si="279"/>
        <v>777777.77777777775</v>
      </c>
      <c r="H133" s="53">
        <f t="shared" si="255"/>
        <v>1.1066404526516056</v>
      </c>
      <c r="I133" s="10">
        <f>SUMIFS(MainData!F:F,MainData!$A:$A,$A133)</f>
        <v>240</v>
      </c>
      <c r="J133" s="10">
        <f t="shared" ref="J133:J192" si="318">IF($B133=$B$4,0,IF($B133=$B$2,ROUND(J$2/$C$2,0),IF($B133=$B$3,ROUND(J$3/$C$3,0),ROUND(J$1/$C$1,0))))</f>
        <v>889</v>
      </c>
      <c r="K133" s="53">
        <f t="shared" si="256"/>
        <v>0.26996625421822273</v>
      </c>
      <c r="L133" s="11">
        <f>SUMIFS(MainData!K:K,MainData!$A:$A,$A133)</f>
        <v>57575.757575757576</v>
      </c>
      <c r="M133" s="11">
        <f t="shared" si="295"/>
        <v>79545.45</v>
      </c>
      <c r="N133" s="53">
        <f t="shared" si="257"/>
        <v>0.72380956517007045</v>
      </c>
      <c r="O133" s="256">
        <f>SUMIFS(MainData!J:J,MainData!$A:$A,$A133)</f>
        <v>15</v>
      </c>
      <c r="P133" s="10">
        <f>IF($B133=$B$4,0,IF($B133=$B$1,VLOOKUP(D133,Target_Entry!$A$8:$AF$23,5,0),IF(LO!B133=LO!$B$2,VLOOKUP(LO!D133,Target_Entry!$A$8:$AF$23,25,0),IF(LO!B133=LO!$B$3,VLOOKUP(LO!D133,Target_Entry!$A$8:$AF$23,15,0)))))</f>
        <v>8</v>
      </c>
      <c r="Q133" s="53">
        <f t="shared" si="258"/>
        <v>1.875</v>
      </c>
      <c r="R133" s="10">
        <f>SUMIFS(MainData!J:J,MainData!$A:$A,$A133)</f>
        <v>15</v>
      </c>
      <c r="S133" s="10">
        <f>SUMIFS(MainData!M:M,MainData!$A:$A,$A133)</f>
        <v>8</v>
      </c>
      <c r="T133" s="53">
        <f t="shared" si="259"/>
        <v>0.53333333333333333</v>
      </c>
      <c r="U133" s="10">
        <f>SUMIFS(MainData!L:L,MainData!$A:$A,$A133)</f>
        <v>13</v>
      </c>
      <c r="V133" s="12">
        <f t="shared" si="260"/>
        <v>0.8666666666666667</v>
      </c>
      <c r="W133" s="10">
        <f>SUMIFS(MainData!F:F,MainData!$A:$A,$A133)</f>
        <v>240</v>
      </c>
      <c r="X133" s="12">
        <f t="shared" si="261"/>
        <v>0.96</v>
      </c>
      <c r="Y133" s="11">
        <f>SUMIFS(MainData!H:H,MainData!$A:$A,$A133)</f>
        <v>20642.551901515148</v>
      </c>
      <c r="Z133" s="12">
        <f t="shared" si="262"/>
        <v>2.3982878820111343E-2</v>
      </c>
      <c r="AA133" s="11">
        <f>SUMIFS(MainData!I:I,MainData!$A:$A,$A133)</f>
        <v>18214.588911542873</v>
      </c>
      <c r="AB133" s="231">
        <f t="shared" si="263"/>
        <v>2.1162028837704551E-2</v>
      </c>
      <c r="AC133" s="182"/>
      <c r="AD133" s="18">
        <f t="shared" si="264"/>
        <v>10</v>
      </c>
      <c r="AE133" s="18">
        <f t="shared" si="265"/>
        <v>0</v>
      </c>
      <c r="AF133" s="18">
        <f t="shared" si="266"/>
        <v>2.3809565170070446</v>
      </c>
      <c r="AG133" s="18">
        <f t="shared" si="267"/>
        <v>0</v>
      </c>
      <c r="AH133" s="18">
        <f t="shared" si="268"/>
        <v>7.8051363539665974</v>
      </c>
      <c r="AI133" s="18">
        <f t="shared" si="269"/>
        <v>32.209492790573861</v>
      </c>
      <c r="AJ133" s="18">
        <f t="shared" si="270"/>
        <v>4.5999999999999996</v>
      </c>
      <c r="AK133" s="18">
        <f t="shared" si="271"/>
        <v>3.3333333333333339</v>
      </c>
      <c r="AL133" s="18">
        <f t="shared" si="272"/>
        <v>5</v>
      </c>
      <c r="AM133" s="36">
        <f t="shared" si="273"/>
        <v>65</v>
      </c>
      <c r="AN133" s="36">
        <f t="shared" si="274"/>
        <v>65</v>
      </c>
      <c r="AO133" s="183">
        <v>1018</v>
      </c>
      <c r="AP133" s="184">
        <v>0</v>
      </c>
      <c r="AQ133" s="184">
        <v>109</v>
      </c>
      <c r="AR133" s="28">
        <f>SUM(AO133:AQ133)</f>
        <v>1127</v>
      </c>
      <c r="AS133" s="28">
        <f>IF(AO133&gt;0,ROUNDUP($AO133*AS$3,0),0)</f>
        <v>815</v>
      </c>
      <c r="AT133" s="163">
        <f>AR133-AS133</f>
        <v>312</v>
      </c>
      <c r="AU133" s="28">
        <f>IF(AO133&gt;0,ROUND(AN133/$AN$1*AU$3,0),0)</f>
        <v>423</v>
      </c>
      <c r="AV133" s="147">
        <f>AU133+AS133</f>
        <v>1238</v>
      </c>
      <c r="AW133" s="147">
        <f>AV133-AR133</f>
        <v>111</v>
      </c>
      <c r="AX133" s="148">
        <f>IFERROR(AV133/AR133,0)</f>
        <v>1.0984915705412599</v>
      </c>
      <c r="AY133" s="167">
        <f t="shared" si="316"/>
        <v>423</v>
      </c>
      <c r="AZ133" s="167">
        <f>IF(O133&lt;18,IF(AND(I133&gt;0,I133&lt;=60),60,IF(AND(I133&gt;60,I133&lt;=120),70,IF(AND(I133&gt;120,I133&lt;=200),80,IF(I133&gt;200,90,0)))),IF(O133&gt;=18,IF(AND(I133&gt;0,I133&lt;=60),70,IF(AND(I133&gt;60,I133&lt;=120),80,IF(AND(I133&gt;120,I133&lt;=200),90,100)))))</f>
        <v>90</v>
      </c>
      <c r="BB133" s="170">
        <f>AU133-AY133</f>
        <v>0</v>
      </c>
      <c r="BC133" s="202">
        <f>VLOOKUP(A133,ImportDataWA!A$14:AG$112,33,0)</f>
        <v>97.711153430129656</v>
      </c>
      <c r="BD133" s="170">
        <f t="shared" si="317"/>
        <v>0</v>
      </c>
    </row>
    <row r="134" spans="1:56" hidden="1" x14ac:dyDescent="0.25">
      <c r="A134" s="195" t="s">
        <v>114</v>
      </c>
      <c r="B134" s="9" t="str">
        <f>VLOOKUP($A134,MainData!$A$4:$E$1967,2,FALSE)</f>
        <v>Micro</v>
      </c>
      <c r="C134" s="9" t="str">
        <f>VLOOKUP($A134,MainData!$A$4:$E$1967,3,FALSE)</f>
        <v>Ahmed Hilal  Abdul Kareem</v>
      </c>
      <c r="D134" s="9" t="str">
        <f>VLOOKUP($A134,MainData!$A$4:$E$1967,4,FALSE)</f>
        <v>Najaf</v>
      </c>
      <c r="E134" s="9" t="str">
        <f>VLOOKUP($A134,MainData!$A$4:$E$1967,5,FALSE)</f>
        <v>Adel Hatef</v>
      </c>
      <c r="F134" s="11">
        <f>SUMIFS(MainData!G:G,MainData!$A:$A,$A134)</f>
        <v>772843.45577778632</v>
      </c>
      <c r="G134" s="11">
        <f t="shared" si="279"/>
        <v>333333.33333333331</v>
      </c>
      <c r="H134" s="53">
        <f t="shared" si="255"/>
        <v>2.3185303673333593</v>
      </c>
      <c r="I134" s="10">
        <f>SUMIFS(MainData!F:F,MainData!$A:$A,$A134)</f>
        <v>234</v>
      </c>
      <c r="J134" s="10">
        <f t="shared" si="318"/>
        <v>400</v>
      </c>
      <c r="K134" s="53">
        <f t="shared" si="256"/>
        <v>0.58499999999999996</v>
      </c>
      <c r="L134" s="11">
        <f>SUMIFS(MainData!K:K,MainData!$A:$A,$A134)</f>
        <v>0</v>
      </c>
      <c r="M134" s="11">
        <f t="shared" si="295"/>
        <v>56818.18</v>
      </c>
      <c r="N134" s="53">
        <f t="shared" si="257"/>
        <v>0</v>
      </c>
      <c r="O134" s="256">
        <f>SUMIFS(MainData!J:J,MainData!$A:$A,$A134)</f>
        <v>0</v>
      </c>
      <c r="P134" s="10">
        <f>IF($B134=$B$4,0,IF($B134=$B$1,VLOOKUP(D134,Target_Entry!$A$8:$AF$23,5,0),IF(LO!B134=LO!$B$2,VLOOKUP(LO!D134,Target_Entry!$A$8:$AF$23,25,0),IF(LO!B134=LO!$B$3,VLOOKUP(LO!D134,Target_Entry!$A$8:$AF$23,15,0)))))</f>
        <v>15</v>
      </c>
      <c r="Q134" s="53">
        <f t="shared" si="258"/>
        <v>0</v>
      </c>
      <c r="R134" s="10">
        <f>SUMIFS(MainData!J:J,MainData!$A:$A,$A134)</f>
        <v>0</v>
      </c>
      <c r="S134" s="10">
        <f>SUMIFS(MainData!M:M,MainData!$A:$A,$A134)</f>
        <v>0</v>
      </c>
      <c r="T134" s="53">
        <f t="shared" si="259"/>
        <v>0</v>
      </c>
      <c r="U134" s="10">
        <f>SUMIFS(MainData!L:L,MainData!$A:$A,$A134)</f>
        <v>0</v>
      </c>
      <c r="V134" s="12">
        <f t="shared" si="260"/>
        <v>0</v>
      </c>
      <c r="W134" s="10">
        <f>SUMIFS(MainData!F:F,MainData!$A:$A,$A134)</f>
        <v>234</v>
      </c>
      <c r="X134" s="12">
        <f t="shared" si="261"/>
        <v>0.93600000000000005</v>
      </c>
      <c r="Y134" s="11">
        <f>SUMIFS(MainData!H:H,MainData!$A:$A,$A134)</f>
        <v>47681.691128787883</v>
      </c>
      <c r="Z134" s="12">
        <f t="shared" si="262"/>
        <v>6.1696441591526756E-2</v>
      </c>
      <c r="AA134" s="11">
        <f>SUMIFS(MainData!I:I,MainData!$A:$A,$A134)</f>
        <v>57660.803781993542</v>
      </c>
      <c r="AB134" s="12">
        <f t="shared" si="263"/>
        <v>7.4608645969530735E-2</v>
      </c>
      <c r="AC134" s="182"/>
      <c r="AD134" s="18">
        <f t="shared" si="264"/>
        <v>10</v>
      </c>
      <c r="AE134" s="18">
        <f t="shared" si="265"/>
        <v>0</v>
      </c>
      <c r="AF134" s="18">
        <f t="shared" si="266"/>
        <v>0</v>
      </c>
      <c r="AG134" s="18">
        <f t="shared" si="267"/>
        <v>0</v>
      </c>
      <c r="AH134" s="18">
        <f t="shared" si="268"/>
        <v>0</v>
      </c>
      <c r="AI134" s="18">
        <f t="shared" si="269"/>
        <v>18.847838507617318</v>
      </c>
      <c r="AJ134" s="18">
        <f t="shared" si="270"/>
        <v>4.3600000000000003</v>
      </c>
      <c r="AK134" s="18">
        <f t="shared" si="271"/>
        <v>0</v>
      </c>
      <c r="AL134" s="18">
        <f t="shared" si="272"/>
        <v>0</v>
      </c>
      <c r="AM134" s="36">
        <f t="shared" si="273"/>
        <v>33</v>
      </c>
      <c r="AN134" s="36">
        <f t="shared" si="274"/>
        <v>0</v>
      </c>
      <c r="AO134" s="183">
        <v>812</v>
      </c>
      <c r="AP134" s="184">
        <v>0</v>
      </c>
      <c r="AQ134" s="184">
        <v>18</v>
      </c>
      <c r="AR134" s="28">
        <f>SUM(AO134:AQ134)</f>
        <v>830</v>
      </c>
      <c r="AS134" s="28">
        <f>IF(AO134&gt;0,ROUNDUP($AO134*AS$3,0),0)</f>
        <v>650</v>
      </c>
      <c r="AT134" s="163">
        <f>AR134-AS134</f>
        <v>180</v>
      </c>
      <c r="AU134" s="28">
        <f>IF(AO134&gt;0,ROUND(AN134/$AN$1*AU$3,0),0)</f>
        <v>0</v>
      </c>
      <c r="AV134" s="147">
        <f>AU134+AS134</f>
        <v>650</v>
      </c>
      <c r="AW134" s="147">
        <f>AV134-AR134</f>
        <v>-180</v>
      </c>
      <c r="AX134" s="148">
        <f>IFERROR(AV134/AR134,0)</f>
        <v>0.7831325301204819</v>
      </c>
      <c r="AY134" s="167">
        <f t="shared" si="316"/>
        <v>0</v>
      </c>
      <c r="AZ134" s="167">
        <f>IF(O134&lt;18,IF(AND(I134&gt;0,I134&lt;=60),60,IF(AND(I134&gt;60,I134&lt;=120),70,IF(AND(I134&gt;120,I134&lt;=200),80,IF(I134&gt;200,90,0)))),IF(O134&gt;=18,IF(AND(I134&gt;0,I134&lt;=60),70,IF(AND(I134&gt;60,I134&lt;=120),80,IF(AND(I134&gt;120,I134&lt;=200),90,100)))))</f>
        <v>90</v>
      </c>
      <c r="BB134" s="170">
        <f>AU134-AY134</f>
        <v>0</v>
      </c>
      <c r="BC134" s="202" t="e">
        <f>VLOOKUP(A134,ImportDataWA!A$14:AG$112,33,0)</f>
        <v>#N/A</v>
      </c>
      <c r="BD134" s="170">
        <f t="shared" si="317"/>
        <v>0</v>
      </c>
    </row>
    <row r="135" spans="1:56" hidden="1" x14ac:dyDescent="0.25">
      <c r="A135" s="196" t="s">
        <v>391</v>
      </c>
      <c r="B135" s="189" t="str">
        <f>VLOOKUP($A135,MainData!$A$4:$E$1967,2,FALSE)</f>
        <v>Inactive</v>
      </c>
      <c r="C135" s="189" t="str">
        <f>VLOOKUP($A135,MainData!$A$4:$E$1967,3,FALSE)</f>
        <v>Inactive</v>
      </c>
      <c r="D135" s="189" t="str">
        <f>VLOOKUP($A135,MainData!$A$4:$E$1967,4,FALSE)</f>
        <v>Nasriya</v>
      </c>
      <c r="E135" s="189" t="str">
        <f>VLOOKUP($A135,MainData!$A$4:$E$1967,5,FALSE)</f>
        <v>Inactive</v>
      </c>
      <c r="F135" s="11">
        <f>SUMIFS(MainData!G:G,MainData!$A:$A,$A135)</f>
        <v>0</v>
      </c>
      <c r="G135" s="11">
        <f t="shared" si="279"/>
        <v>0</v>
      </c>
      <c r="H135" s="53">
        <f t="shared" si="255"/>
        <v>0</v>
      </c>
      <c r="I135" s="10">
        <f>SUMIFS(MainData!F:F,MainData!$A:$A,$A135)</f>
        <v>0</v>
      </c>
      <c r="J135" s="10">
        <f t="shared" si="318"/>
        <v>0</v>
      </c>
      <c r="K135" s="53">
        <f t="shared" si="256"/>
        <v>0</v>
      </c>
      <c r="L135" s="11">
        <f>SUMIFS(MainData!K:K,MainData!$A:$A,$A135)</f>
        <v>0</v>
      </c>
      <c r="M135" s="11">
        <f t="shared" si="295"/>
        <v>0</v>
      </c>
      <c r="N135" s="53">
        <f t="shared" si="257"/>
        <v>0</v>
      </c>
      <c r="O135" s="256">
        <f>SUMIFS(MainData!J:J,MainData!$A:$A,$A135)</f>
        <v>0</v>
      </c>
      <c r="P135" s="10">
        <f>IF($B135=$B$4,0,IF($B135=$B$1,VLOOKUP(D135,Target_Entry!$A$8:$AF$23,5,0),IF(LO!B135=LO!$B$2,VLOOKUP(LO!D135,Target_Entry!$A$8:$AF$23,25,0),IF(LO!B135=LO!$B$3,VLOOKUP(LO!D135,Target_Entry!$A$8:$AF$23,15,0)))))</f>
        <v>0</v>
      </c>
      <c r="Q135" s="53">
        <f t="shared" si="258"/>
        <v>0</v>
      </c>
      <c r="R135" s="10">
        <f>SUMIFS(MainData!J:J,MainData!$A:$A,$A135)</f>
        <v>0</v>
      </c>
      <c r="S135" s="10">
        <f>SUMIFS(MainData!M:M,MainData!$A:$A,$A135)</f>
        <v>0</v>
      </c>
      <c r="T135" s="53">
        <f t="shared" si="259"/>
        <v>0</v>
      </c>
      <c r="U135" s="10">
        <f>SUMIFS(MainData!L:L,MainData!$A:$A,$A135)</f>
        <v>0</v>
      </c>
      <c r="V135" s="12">
        <f t="shared" si="260"/>
        <v>0</v>
      </c>
      <c r="W135" s="10">
        <f>SUMIFS(MainData!F:F,MainData!$A:$A,$A135)</f>
        <v>0</v>
      </c>
      <c r="X135" s="12">
        <f t="shared" si="261"/>
        <v>0</v>
      </c>
      <c r="Y135" s="11">
        <f>SUMIFS(MainData!H:H,MainData!$A:$A,$A135)</f>
        <v>0</v>
      </c>
      <c r="Z135" s="12">
        <f t="shared" si="262"/>
        <v>0</v>
      </c>
      <c r="AA135" s="11">
        <f>SUMIFS(MainData!I:I,MainData!$A:$A,$A135)</f>
        <v>0</v>
      </c>
      <c r="AB135" s="12">
        <f t="shared" si="263"/>
        <v>0</v>
      </c>
      <c r="AC135" s="182"/>
      <c r="AD135" s="18">
        <f t="shared" si="264"/>
        <v>0</v>
      </c>
      <c r="AE135" s="18">
        <f t="shared" si="265"/>
        <v>0</v>
      </c>
      <c r="AF135" s="18">
        <f t="shared" si="266"/>
        <v>0</v>
      </c>
      <c r="AG135" s="18">
        <f t="shared" si="267"/>
        <v>0</v>
      </c>
      <c r="AH135" s="18">
        <f t="shared" si="268"/>
        <v>15</v>
      </c>
      <c r="AI135" s="18">
        <f t="shared" si="269"/>
        <v>37.5</v>
      </c>
      <c r="AJ135" s="18">
        <f t="shared" si="270"/>
        <v>0</v>
      </c>
      <c r="AK135" s="18">
        <f t="shared" si="271"/>
        <v>0</v>
      </c>
      <c r="AL135" s="18">
        <f t="shared" si="272"/>
        <v>0</v>
      </c>
      <c r="AM135" s="36">
        <f t="shared" si="273"/>
        <v>53</v>
      </c>
      <c r="AN135" s="36">
        <f t="shared" si="274"/>
        <v>0</v>
      </c>
      <c r="AO135" s="183"/>
      <c r="AP135" s="184"/>
      <c r="AQ135" s="184"/>
      <c r="AR135" s="28"/>
      <c r="AS135" s="28"/>
      <c r="AT135" s="163"/>
      <c r="AU135" s="28"/>
      <c r="AV135" s="147"/>
      <c r="AW135" s="147"/>
      <c r="AX135" s="148"/>
      <c r="AY135" s="167"/>
      <c r="AZ135" s="167"/>
      <c r="BB135" s="170"/>
      <c r="BC135" s="202" t="e">
        <f>VLOOKUP(A135,ImportDataWA!A$14:AG$112,33,0)</f>
        <v>#N/A</v>
      </c>
    </row>
    <row r="136" spans="1:56" hidden="1" x14ac:dyDescent="0.25">
      <c r="A136" s="196" t="s">
        <v>392</v>
      </c>
      <c r="B136" s="189" t="str">
        <f>VLOOKUP($A136,MainData!$A$4:$E$1967,2,FALSE)</f>
        <v>Inactive</v>
      </c>
      <c r="C136" s="189" t="str">
        <f>VLOOKUP($A136,MainData!$A$4:$E$1967,3,FALSE)</f>
        <v>Inactive</v>
      </c>
      <c r="D136" s="189" t="str">
        <f>VLOOKUP($A136,MainData!$A$4:$E$1967,4,FALSE)</f>
        <v>Nasriya</v>
      </c>
      <c r="E136" s="189" t="str">
        <f>VLOOKUP($A136,MainData!$A$4:$E$1967,5,FALSE)</f>
        <v>Inactive</v>
      </c>
      <c r="F136" s="11">
        <f>SUMIFS(MainData!G:G,MainData!$A:$A,$A136)</f>
        <v>0</v>
      </c>
      <c r="G136" s="11">
        <f t="shared" si="279"/>
        <v>0</v>
      </c>
      <c r="H136" s="53">
        <f t="shared" si="255"/>
        <v>0</v>
      </c>
      <c r="I136" s="10">
        <f>SUMIFS(MainData!F:F,MainData!$A:$A,$A136)</f>
        <v>0</v>
      </c>
      <c r="J136" s="10">
        <f t="shared" si="318"/>
        <v>0</v>
      </c>
      <c r="K136" s="53">
        <f t="shared" si="256"/>
        <v>0</v>
      </c>
      <c r="L136" s="11">
        <f>SUMIFS(MainData!K:K,MainData!$A:$A,$A136)</f>
        <v>0</v>
      </c>
      <c r="M136" s="11">
        <f t="shared" si="295"/>
        <v>0</v>
      </c>
      <c r="N136" s="53">
        <f t="shared" si="257"/>
        <v>0</v>
      </c>
      <c r="O136" s="256">
        <f>SUMIFS(MainData!J:J,MainData!$A:$A,$A136)</f>
        <v>0</v>
      </c>
      <c r="P136" s="10">
        <f>IF($B136=$B$4,0,IF($B136=$B$1,VLOOKUP(D136,Target_Entry!$A$8:$AF$23,5,0),IF(LO!B136=LO!$B$2,VLOOKUP(LO!D136,Target_Entry!$A$8:$AF$23,25,0),IF(LO!B136=LO!$B$3,VLOOKUP(LO!D136,Target_Entry!$A$8:$AF$23,15,0)))))</f>
        <v>0</v>
      </c>
      <c r="Q136" s="53">
        <f t="shared" si="258"/>
        <v>0</v>
      </c>
      <c r="R136" s="10">
        <f>SUMIFS(MainData!J:J,MainData!$A:$A,$A136)</f>
        <v>0</v>
      </c>
      <c r="S136" s="10">
        <f>SUMIFS(MainData!M:M,MainData!$A:$A,$A136)</f>
        <v>0</v>
      </c>
      <c r="T136" s="53">
        <f t="shared" si="259"/>
        <v>0</v>
      </c>
      <c r="U136" s="10">
        <f>SUMIFS(MainData!L:L,MainData!$A:$A,$A136)</f>
        <v>0</v>
      </c>
      <c r="V136" s="12">
        <f t="shared" si="260"/>
        <v>0</v>
      </c>
      <c r="W136" s="10">
        <f>SUMIFS(MainData!F:F,MainData!$A:$A,$A136)</f>
        <v>0</v>
      </c>
      <c r="X136" s="12">
        <f t="shared" si="261"/>
        <v>0</v>
      </c>
      <c r="Y136" s="11">
        <f>SUMIFS(MainData!H:H,MainData!$A:$A,$A136)</f>
        <v>0</v>
      </c>
      <c r="Z136" s="12">
        <f t="shared" si="262"/>
        <v>0</v>
      </c>
      <c r="AA136" s="11">
        <f>SUMIFS(MainData!I:I,MainData!$A:$A,$A136)</f>
        <v>0</v>
      </c>
      <c r="AB136" s="12">
        <f t="shared" si="263"/>
        <v>0</v>
      </c>
      <c r="AC136" s="182"/>
      <c r="AD136" s="18">
        <f t="shared" si="264"/>
        <v>0</v>
      </c>
      <c r="AE136" s="18">
        <f t="shared" si="265"/>
        <v>0</v>
      </c>
      <c r="AF136" s="18">
        <f t="shared" si="266"/>
        <v>0</v>
      </c>
      <c r="AG136" s="18">
        <f t="shared" si="267"/>
        <v>0</v>
      </c>
      <c r="AH136" s="18">
        <f t="shared" si="268"/>
        <v>15</v>
      </c>
      <c r="AI136" s="18">
        <f t="shared" si="269"/>
        <v>37.5</v>
      </c>
      <c r="AJ136" s="18">
        <f t="shared" si="270"/>
        <v>0</v>
      </c>
      <c r="AK136" s="18">
        <f t="shared" si="271"/>
        <v>0</v>
      </c>
      <c r="AL136" s="18">
        <f t="shared" si="272"/>
        <v>0</v>
      </c>
      <c r="AM136" s="36">
        <f t="shared" si="273"/>
        <v>53</v>
      </c>
      <c r="AN136" s="36">
        <f t="shared" si="274"/>
        <v>0</v>
      </c>
      <c r="AO136" s="183"/>
      <c r="AP136" s="184"/>
      <c r="AQ136" s="184"/>
      <c r="AR136" s="28"/>
      <c r="AS136" s="28"/>
      <c r="AT136" s="163"/>
      <c r="AU136" s="28"/>
      <c r="AV136" s="147"/>
      <c r="AW136" s="147"/>
      <c r="AX136" s="148"/>
      <c r="AY136" s="167"/>
      <c r="AZ136" s="167"/>
      <c r="BB136" s="170"/>
      <c r="BC136" s="202" t="e">
        <f>VLOOKUP(A136,ImportDataWA!A$14:AG$112,33,0)</f>
        <v>#N/A</v>
      </c>
    </row>
    <row r="137" spans="1:56" hidden="1" x14ac:dyDescent="0.25">
      <c r="A137" s="195" t="s">
        <v>9</v>
      </c>
      <c r="B137" s="9" t="str">
        <f>VLOOKUP($A137,MainData!$A$4:$E$1967,2,FALSE)</f>
        <v>VSE</v>
      </c>
      <c r="C137" s="9" t="str">
        <f>VLOOKUP($A137,MainData!$A$4:$E$1967,3,FALSE)</f>
        <v>Khalid Mousa Jumaa</v>
      </c>
      <c r="D137" s="9" t="str">
        <f>VLOOKUP($A137,MainData!$A$4:$E$1967,4,FALSE)</f>
        <v>Nasriya</v>
      </c>
      <c r="E137" s="9" t="str">
        <f>VLOOKUP($A137,MainData!$A$4:$E$1967,5,FALSE)</f>
        <v>Adel Abdul Ameer Farhod  </v>
      </c>
      <c r="F137" s="11">
        <f>SUMIFS(MainData!G:G,MainData!$A:$A,$A137)</f>
        <v>631286.17750086309</v>
      </c>
      <c r="G137" s="11">
        <f t="shared" si="279"/>
        <v>777777.77777777775</v>
      </c>
      <c r="H137" s="53">
        <f t="shared" si="255"/>
        <v>0.811653656786824</v>
      </c>
      <c r="I137" s="10">
        <f>SUMIFS(MainData!F:F,MainData!$A:$A,$A137)</f>
        <v>189</v>
      </c>
      <c r="J137" s="10">
        <f t="shared" si="318"/>
        <v>889</v>
      </c>
      <c r="K137" s="53">
        <f t="shared" si="256"/>
        <v>0.2125984251968504</v>
      </c>
      <c r="L137" s="11">
        <f>SUMIFS(MainData!K:K,MainData!$A:$A,$A137)</f>
        <v>60606.060606060608</v>
      </c>
      <c r="M137" s="11">
        <f t="shared" si="295"/>
        <v>79545.45</v>
      </c>
      <c r="N137" s="53">
        <f t="shared" si="257"/>
        <v>0.76190480544217942</v>
      </c>
      <c r="O137" s="256">
        <f>SUMIFS(MainData!J:J,MainData!$A:$A,$A137)</f>
        <v>13</v>
      </c>
      <c r="P137" s="10">
        <f>IF($B137=$B$4,0,IF($B137=$B$1,VLOOKUP(D137,Target_Entry!$A$8:$AF$23,5,0),IF(LO!B137=LO!$B$2,VLOOKUP(LO!D137,Target_Entry!$A$8:$AF$23,25,0),IF(LO!B137=LO!$B$3,VLOOKUP(LO!D137,Target_Entry!$A$8:$AF$23,15,0)))))</f>
        <v>8</v>
      </c>
      <c r="Q137" s="53">
        <f t="shared" si="258"/>
        <v>1.625</v>
      </c>
      <c r="R137" s="10">
        <f>SUMIFS(MainData!J:J,MainData!$A:$A,$A137)</f>
        <v>13</v>
      </c>
      <c r="S137" s="10">
        <f>SUMIFS(MainData!M:M,MainData!$A:$A,$A137)</f>
        <v>4</v>
      </c>
      <c r="T137" s="53">
        <f t="shared" si="259"/>
        <v>0.30769230769230771</v>
      </c>
      <c r="U137" s="10">
        <f>SUMIFS(MainData!L:L,MainData!$A:$A,$A137)</f>
        <v>9</v>
      </c>
      <c r="V137" s="12">
        <f t="shared" si="260"/>
        <v>0.69230769230769229</v>
      </c>
      <c r="W137" s="10">
        <f>SUMIFS(MainData!F:F,MainData!$A:$A,$A137)</f>
        <v>189</v>
      </c>
      <c r="X137" s="12">
        <f t="shared" si="261"/>
        <v>0.75600000000000001</v>
      </c>
      <c r="Y137" s="11">
        <f>SUMIFS(MainData!H:H,MainData!$A:$A,$A137)</f>
        <v>0</v>
      </c>
      <c r="Z137" s="12">
        <f t="shared" si="262"/>
        <v>0</v>
      </c>
      <c r="AA137" s="11">
        <f>SUMIFS(MainData!I:I,MainData!$A:$A,$A137)</f>
        <v>1383.1830833333336</v>
      </c>
      <c r="AB137" s="231">
        <f t="shared" si="263"/>
        <v>2.1910555507631759E-3</v>
      </c>
      <c r="AC137" s="182"/>
      <c r="AD137" s="18">
        <f t="shared" si="264"/>
        <v>3.7217885595607969</v>
      </c>
      <c r="AE137" s="18">
        <f t="shared" si="265"/>
        <v>0</v>
      </c>
      <c r="AF137" s="18">
        <f t="shared" si="266"/>
        <v>6.1904805442179356</v>
      </c>
      <c r="AG137" s="18">
        <f t="shared" si="267"/>
        <v>0</v>
      </c>
      <c r="AH137" s="18">
        <f t="shared" si="268"/>
        <v>15</v>
      </c>
      <c r="AI137" s="18">
        <f t="shared" si="269"/>
        <v>36.952236112309208</v>
      </c>
      <c r="AJ137" s="18">
        <f t="shared" si="270"/>
        <v>2.56</v>
      </c>
      <c r="AK137" s="18">
        <f t="shared" si="271"/>
        <v>1.0769230769230773</v>
      </c>
      <c r="AL137" s="18">
        <f t="shared" si="272"/>
        <v>5</v>
      </c>
      <c r="AM137" s="36">
        <f t="shared" si="273"/>
        <v>71</v>
      </c>
      <c r="AN137" s="36">
        <f t="shared" si="274"/>
        <v>0</v>
      </c>
      <c r="AO137" s="183">
        <v>781</v>
      </c>
      <c r="AP137" s="184">
        <v>0</v>
      </c>
      <c r="AQ137" s="184">
        <v>0</v>
      </c>
      <c r="AR137" s="28">
        <f>SUM(AO137:AQ137)</f>
        <v>781</v>
      </c>
      <c r="AS137" s="28">
        <f>IF(AO137&gt;0,ROUNDUP($AO137*AS$3,0),0)</f>
        <v>625</v>
      </c>
      <c r="AT137" s="163">
        <f>AR137-AS137</f>
        <v>156</v>
      </c>
      <c r="AU137" s="28">
        <f>IF(AO137&gt;0,ROUND(AN137/$AN$1*AU$3,0),0)</f>
        <v>0</v>
      </c>
      <c r="AV137" s="147">
        <f>AU137+AS137</f>
        <v>625</v>
      </c>
      <c r="AW137" s="147">
        <f>AV137-AR137</f>
        <v>-156</v>
      </c>
      <c r="AX137" s="148">
        <f>IFERROR(AV137/AR137,0)</f>
        <v>0.80025608194622277</v>
      </c>
      <c r="AY137" s="167">
        <f t="shared" ref="AY137" si="319">AU137</f>
        <v>0</v>
      </c>
      <c r="AZ137" s="167">
        <f>IF(O137&lt;18,IF(AND(I137&gt;0,I137&lt;=60),60,IF(AND(I137&gt;60,I137&lt;=120),70,IF(AND(I137&gt;120,I137&lt;=200),80,IF(I137&gt;200,90,0)))),IF(O137&gt;=18,IF(AND(I137&gt;0,I137&lt;=60),70,IF(AND(I137&gt;60,I137&lt;=120),80,IF(AND(I137&gt;120,I137&lt;=200),90,100)))))</f>
        <v>80</v>
      </c>
      <c r="BB137" s="170">
        <f>AU137-AY137</f>
        <v>0</v>
      </c>
      <c r="BC137" s="202">
        <f>VLOOKUP(A137,ImportDataWA!A$14:AG$112,33,0)</f>
        <v>99.814748287811611</v>
      </c>
      <c r="BD137" s="170">
        <f t="shared" ref="BD137" si="320">AU137-AY137</f>
        <v>0</v>
      </c>
    </row>
    <row r="138" spans="1:56" ht="15.6" hidden="1" customHeight="1" x14ac:dyDescent="0.25">
      <c r="A138" s="192" t="s">
        <v>394</v>
      </c>
      <c r="B138" s="189" t="str">
        <f>VLOOKUP($A138,MainData!$A$4:$E$1967,2,FALSE)</f>
        <v>Inactive</v>
      </c>
      <c r="C138" s="189" t="str">
        <f>VLOOKUP($A138,MainData!$A$4:$E$1967,3,FALSE)</f>
        <v>Inactive</v>
      </c>
      <c r="D138" s="189" t="str">
        <f>VLOOKUP($A138,MainData!$A$4:$E$1967,4,FALSE)</f>
        <v>Nasriya</v>
      </c>
      <c r="E138" s="189" t="str">
        <f>VLOOKUP($A138,MainData!$A$4:$E$1967,5,FALSE)</f>
        <v>Inactive</v>
      </c>
      <c r="F138" s="11">
        <f>SUMIFS(MainData!G:G,MainData!$A:$A,$A138)</f>
        <v>0</v>
      </c>
      <c r="G138" s="11">
        <f t="shared" si="279"/>
        <v>0</v>
      </c>
      <c r="H138" s="53">
        <f t="shared" si="255"/>
        <v>0</v>
      </c>
      <c r="I138" s="10">
        <f>SUMIFS(MainData!F:F,MainData!$A:$A,$A138)</f>
        <v>0</v>
      </c>
      <c r="J138" s="10">
        <f t="shared" si="318"/>
        <v>0</v>
      </c>
      <c r="K138" s="53">
        <f t="shared" si="256"/>
        <v>0</v>
      </c>
      <c r="L138" s="11">
        <f>SUMIFS(MainData!K:K,MainData!$A:$A,$A138)</f>
        <v>0</v>
      </c>
      <c r="M138" s="11">
        <f t="shared" si="295"/>
        <v>0</v>
      </c>
      <c r="N138" s="53">
        <f t="shared" si="257"/>
        <v>0</v>
      </c>
      <c r="O138" s="256">
        <f>SUMIFS(MainData!J:J,MainData!$A:$A,$A138)</f>
        <v>0</v>
      </c>
      <c r="P138" s="10">
        <f>IF($B138=$B$4,0,IF($B138=$B$1,VLOOKUP(D138,Target_Entry!$A$8:$AF$23,5,0),IF(LO!B138=LO!$B$2,VLOOKUP(LO!D138,Target_Entry!$A$8:$AF$23,25,0),IF(LO!B138=LO!$B$3,VLOOKUP(LO!D138,Target_Entry!$A$8:$AF$23,15,0)))))</f>
        <v>0</v>
      </c>
      <c r="Q138" s="53">
        <f t="shared" si="258"/>
        <v>0</v>
      </c>
      <c r="R138" s="10">
        <f>SUMIFS(MainData!J:J,MainData!$A:$A,$A138)</f>
        <v>0</v>
      </c>
      <c r="S138" s="10">
        <f>SUMIFS(MainData!M:M,MainData!$A:$A,$A138)</f>
        <v>0</v>
      </c>
      <c r="T138" s="53">
        <f t="shared" si="259"/>
        <v>0</v>
      </c>
      <c r="U138" s="10">
        <f>SUMIFS(MainData!L:L,MainData!$A:$A,$A138)</f>
        <v>0</v>
      </c>
      <c r="V138" s="12">
        <f t="shared" si="260"/>
        <v>0</v>
      </c>
      <c r="W138" s="10">
        <f>SUMIFS(MainData!F:F,MainData!$A:$A,$A138)</f>
        <v>0</v>
      </c>
      <c r="X138" s="12">
        <f t="shared" si="261"/>
        <v>0</v>
      </c>
      <c r="Y138" s="11">
        <f>SUMIFS(MainData!H:H,MainData!$A:$A,$A138)</f>
        <v>0</v>
      </c>
      <c r="Z138" s="12">
        <f t="shared" si="262"/>
        <v>0</v>
      </c>
      <c r="AA138" s="11">
        <f>SUMIFS(MainData!I:I,MainData!$A:$A,$A138)</f>
        <v>0</v>
      </c>
      <c r="AB138" s="12">
        <f t="shared" si="263"/>
        <v>0</v>
      </c>
      <c r="AC138" s="182"/>
      <c r="AD138" s="18">
        <f t="shared" si="264"/>
        <v>0</v>
      </c>
      <c r="AE138" s="18">
        <f t="shared" si="265"/>
        <v>0</v>
      </c>
      <c r="AF138" s="18">
        <f t="shared" si="266"/>
        <v>0</v>
      </c>
      <c r="AG138" s="18">
        <f t="shared" si="267"/>
        <v>0</v>
      </c>
      <c r="AH138" s="18">
        <f t="shared" si="268"/>
        <v>15</v>
      </c>
      <c r="AI138" s="18">
        <f t="shared" si="269"/>
        <v>37.5</v>
      </c>
      <c r="AJ138" s="18">
        <f t="shared" si="270"/>
        <v>0</v>
      </c>
      <c r="AK138" s="18">
        <f t="shared" si="271"/>
        <v>0</v>
      </c>
      <c r="AL138" s="18">
        <f t="shared" si="272"/>
        <v>0</v>
      </c>
      <c r="AM138" s="36">
        <f t="shared" si="273"/>
        <v>53</v>
      </c>
      <c r="AN138" s="36">
        <f t="shared" si="274"/>
        <v>0</v>
      </c>
      <c r="AO138" s="183"/>
      <c r="AP138" s="184"/>
      <c r="AQ138" s="184"/>
      <c r="AR138" s="28"/>
      <c r="AS138" s="28"/>
      <c r="AT138" s="163"/>
      <c r="AU138" s="28"/>
      <c r="AV138" s="147"/>
      <c r="AW138" s="147"/>
      <c r="AX138" s="148"/>
      <c r="AY138" s="167"/>
      <c r="AZ138" s="167"/>
      <c r="BB138" s="170"/>
      <c r="BC138" s="202"/>
    </row>
    <row r="139" spans="1:56" hidden="1" x14ac:dyDescent="0.25">
      <c r="A139" s="197" t="s">
        <v>352</v>
      </c>
      <c r="B139" s="9" t="str">
        <f>VLOOKUP($A139,MainData!$A$4:$E$1967,2,FALSE)</f>
        <v>Micro</v>
      </c>
      <c r="C139" s="9" t="str">
        <f>VLOOKUP($A139,MainData!$A$4:$E$1967,3,FALSE)</f>
        <v>Ahmed Hadi Muhammad</v>
      </c>
      <c r="D139" s="9" t="str">
        <f>VLOOKUP($A139,MainData!$A$4:$E$1967,4,FALSE)</f>
        <v>Nasriya</v>
      </c>
      <c r="E139" s="9" t="str">
        <f>VLOOKUP($A139,MainData!$A$4:$E$1967,5,FALSE)</f>
        <v>Adel Abdul Ameer Farhod  </v>
      </c>
      <c r="F139" s="11">
        <f>SUMIFS(MainData!G:G,MainData!$A:$A,$A139)</f>
        <v>589002.34795218892</v>
      </c>
      <c r="G139" s="11">
        <f t="shared" si="279"/>
        <v>333333.33333333331</v>
      </c>
      <c r="H139" s="53">
        <f t="shared" si="255"/>
        <v>1.7670070438565668</v>
      </c>
      <c r="I139" s="10">
        <f>SUMIFS(MainData!F:F,MainData!$A:$A,$A139)</f>
        <v>242</v>
      </c>
      <c r="J139" s="10">
        <f t="shared" si="318"/>
        <v>400</v>
      </c>
      <c r="K139" s="53">
        <f t="shared" si="256"/>
        <v>0.60499999999999998</v>
      </c>
      <c r="L139" s="11">
        <f>SUMIFS(MainData!K:K,MainData!$A:$A,$A139)</f>
        <v>58712.121212121208</v>
      </c>
      <c r="M139" s="11">
        <f t="shared" si="295"/>
        <v>56818.18</v>
      </c>
      <c r="N139" s="53">
        <f t="shared" si="257"/>
        <v>1.0333333664000011</v>
      </c>
      <c r="O139" s="256">
        <f>SUMIFS(MainData!J:J,MainData!$A:$A,$A139)</f>
        <v>16</v>
      </c>
      <c r="P139" s="10">
        <f>IF($B139=$B$4,0,IF($B139=$B$1,VLOOKUP(D139,Target_Entry!$A$8:$AF$23,5,0),IF(LO!B139=LO!$B$2,VLOOKUP(LO!D139,Target_Entry!$A$8:$AF$23,25,0),IF(LO!B139=LO!$B$3,VLOOKUP(LO!D139,Target_Entry!$A$8:$AF$23,15,0)))))</f>
        <v>15</v>
      </c>
      <c r="Q139" s="53">
        <f t="shared" si="258"/>
        <v>1.0666666666666667</v>
      </c>
      <c r="R139" s="10">
        <f>SUMIFS(MainData!J:J,MainData!$A:$A,$A139)</f>
        <v>16</v>
      </c>
      <c r="S139" s="10">
        <f>SUMIFS(MainData!M:M,MainData!$A:$A,$A139)</f>
        <v>4</v>
      </c>
      <c r="T139" s="53">
        <f t="shared" si="259"/>
        <v>0.25</v>
      </c>
      <c r="U139" s="10">
        <f>SUMIFS(MainData!L:L,MainData!$A:$A,$A139)</f>
        <v>12</v>
      </c>
      <c r="V139" s="12">
        <f t="shared" si="260"/>
        <v>0.75</v>
      </c>
      <c r="W139" s="10">
        <f>SUMIFS(MainData!F:F,MainData!$A:$A,$A139)</f>
        <v>242</v>
      </c>
      <c r="X139" s="12">
        <f t="shared" si="261"/>
        <v>0.96799999999999997</v>
      </c>
      <c r="Y139" s="11">
        <f>SUMIFS(MainData!H:H,MainData!$A:$A,$A139)</f>
        <v>44920.612354972574</v>
      </c>
      <c r="Z139" s="12">
        <f t="shared" si="262"/>
        <v>7.626559131920288E-2</v>
      </c>
      <c r="AA139" s="11">
        <f>SUMIFS(MainData!I:I,MainData!$A:$A,$A139)</f>
        <v>10081.210445141031</v>
      </c>
      <c r="AB139" s="12">
        <f t="shared" si="263"/>
        <v>1.7115738978275435E-2</v>
      </c>
      <c r="AC139" s="182"/>
      <c r="AD139" s="18">
        <f t="shared" si="264"/>
        <v>10</v>
      </c>
      <c r="AE139" s="18">
        <f t="shared" si="265"/>
        <v>0</v>
      </c>
      <c r="AF139" s="18">
        <f t="shared" si="266"/>
        <v>33.333336640000098</v>
      </c>
      <c r="AG139" s="18">
        <f t="shared" si="267"/>
        <v>0</v>
      </c>
      <c r="AH139" s="18">
        <f t="shared" si="268"/>
        <v>0</v>
      </c>
      <c r="AI139" s="18">
        <f t="shared" si="269"/>
        <v>33.221065255431142</v>
      </c>
      <c r="AJ139" s="18">
        <f t="shared" si="270"/>
        <v>4.68</v>
      </c>
      <c r="AK139" s="18">
        <f t="shared" si="271"/>
        <v>0.49999999999999961</v>
      </c>
      <c r="AL139" s="18">
        <f t="shared" si="272"/>
        <v>5</v>
      </c>
      <c r="AM139" s="36">
        <f t="shared" si="273"/>
        <v>87</v>
      </c>
      <c r="AN139" s="36">
        <f t="shared" si="274"/>
        <v>87</v>
      </c>
      <c r="AO139" s="183">
        <v>600</v>
      </c>
      <c r="AP139" s="184">
        <v>0</v>
      </c>
      <c r="AQ139" s="184">
        <v>0</v>
      </c>
      <c r="AR139" s="28">
        <f>SUM(AO139:AQ139)</f>
        <v>600</v>
      </c>
      <c r="AS139" s="28">
        <f>IF(AO139&gt;0,ROUNDUP($AO139*AS$3,0),0)</f>
        <v>480</v>
      </c>
      <c r="AT139" s="163">
        <f>AR139-AS139</f>
        <v>120</v>
      </c>
      <c r="AU139" s="28">
        <f>IF(AO139&gt;0,ROUND(AN139/$AN$1*AU$3,0),0)</f>
        <v>566</v>
      </c>
      <c r="AV139" s="147">
        <f>AU139+AS139</f>
        <v>1046</v>
      </c>
      <c r="AW139" s="147">
        <f>AV139-AR139</f>
        <v>446</v>
      </c>
      <c r="AX139" s="148">
        <f>IFERROR(AV139/AR139,0)</f>
        <v>1.7433333333333334</v>
      </c>
      <c r="AY139" s="167">
        <f>AU139</f>
        <v>566</v>
      </c>
      <c r="AZ139" s="167">
        <f>IF(O139&lt;18,IF(AND(I139&gt;0,I139&lt;=60),60,IF(AND(I139&gt;60,I139&lt;=120),70,IF(AND(I139&gt;120,I139&lt;=200),80,IF(I139&gt;200,90,0)))),IF(O139&gt;=18,IF(AND(I139&gt;0,I139&lt;=60),70,IF(AND(I139&gt;60,I139&lt;=120),80,IF(AND(I139&gt;120,I139&lt;=200),90,100)))))</f>
        <v>90</v>
      </c>
      <c r="BB139" s="170">
        <f>AU139-AY139</f>
        <v>0</v>
      </c>
      <c r="BC139" s="202">
        <f>VLOOKUP(A139,ImportDataWA!A$14:AG$112,33,0)</f>
        <v>96.566211955800938</v>
      </c>
      <c r="BD139" s="170">
        <f>AU139-AY139</f>
        <v>0</v>
      </c>
    </row>
    <row r="140" spans="1:56" hidden="1" x14ac:dyDescent="0.25">
      <c r="A140" s="192" t="s">
        <v>406</v>
      </c>
      <c r="B140" s="189" t="str">
        <f>VLOOKUP($A140,MainData!$A$4:$E$1967,2,FALSE)</f>
        <v>Inactive</v>
      </c>
      <c r="C140" s="189" t="str">
        <f>VLOOKUP($A140,MainData!$A$4:$E$1967,3,FALSE)</f>
        <v>Inactive</v>
      </c>
      <c r="D140" s="189" t="str">
        <f>VLOOKUP($A140,MainData!$A$4:$E$1967,4,FALSE)</f>
        <v>Nasriya</v>
      </c>
      <c r="E140" s="189" t="str">
        <f>VLOOKUP($A140,MainData!$A$4:$E$1967,5,FALSE)</f>
        <v>Inactive</v>
      </c>
      <c r="F140" s="11">
        <f>SUMIFS(MainData!G:G,MainData!$A:$A,$A140)</f>
        <v>0</v>
      </c>
      <c r="G140" s="11">
        <f t="shared" si="279"/>
        <v>0</v>
      </c>
      <c r="H140" s="53">
        <f t="shared" si="255"/>
        <v>0</v>
      </c>
      <c r="I140" s="10">
        <f>SUMIFS(MainData!F:F,MainData!$A:$A,$A140)</f>
        <v>0</v>
      </c>
      <c r="J140" s="10">
        <f t="shared" si="318"/>
        <v>0</v>
      </c>
      <c r="K140" s="53">
        <f t="shared" si="256"/>
        <v>0</v>
      </c>
      <c r="L140" s="11">
        <f>SUMIFS(MainData!K:K,MainData!$A:$A,$A140)</f>
        <v>0</v>
      </c>
      <c r="M140" s="11">
        <f t="shared" si="295"/>
        <v>0</v>
      </c>
      <c r="N140" s="53">
        <f t="shared" si="257"/>
        <v>0</v>
      </c>
      <c r="O140" s="256">
        <f>SUMIFS(MainData!J:J,MainData!$A:$A,$A140)</f>
        <v>0</v>
      </c>
      <c r="P140" s="10">
        <f>IF($B140=$B$4,0,IF($B140=$B$1,VLOOKUP(D140,Target_Entry!$A$8:$AF$23,5,0),IF(LO!B140=LO!$B$2,VLOOKUP(LO!D140,Target_Entry!$A$8:$AF$23,25,0),IF(LO!B140=LO!$B$3,VLOOKUP(LO!D140,Target_Entry!$A$8:$AF$23,15,0)))))</f>
        <v>0</v>
      </c>
      <c r="Q140" s="53">
        <f t="shared" si="258"/>
        <v>0</v>
      </c>
      <c r="R140" s="10">
        <f>SUMIFS(MainData!J:J,MainData!$A:$A,$A140)</f>
        <v>0</v>
      </c>
      <c r="S140" s="10">
        <f>SUMIFS(MainData!M:M,MainData!$A:$A,$A140)</f>
        <v>0</v>
      </c>
      <c r="T140" s="53">
        <f t="shared" si="259"/>
        <v>0</v>
      </c>
      <c r="U140" s="10">
        <f>SUMIFS(MainData!L:L,MainData!$A:$A,$A140)</f>
        <v>0</v>
      </c>
      <c r="V140" s="12">
        <f t="shared" si="260"/>
        <v>0</v>
      </c>
      <c r="W140" s="10">
        <f>SUMIFS(MainData!F:F,MainData!$A:$A,$A140)</f>
        <v>0</v>
      </c>
      <c r="X140" s="12">
        <f t="shared" si="261"/>
        <v>0</v>
      </c>
      <c r="Y140" s="11">
        <f>SUMIFS(MainData!H:H,MainData!$A:$A,$A140)</f>
        <v>0</v>
      </c>
      <c r="Z140" s="12">
        <f t="shared" si="262"/>
        <v>0</v>
      </c>
      <c r="AA140" s="11">
        <f>SUMIFS(MainData!I:I,MainData!$A:$A,$A140)</f>
        <v>0</v>
      </c>
      <c r="AB140" s="12">
        <f t="shared" si="263"/>
        <v>0</v>
      </c>
      <c r="AC140" s="182"/>
      <c r="AD140" s="18">
        <f t="shared" si="264"/>
        <v>0</v>
      </c>
      <c r="AE140" s="18">
        <f t="shared" si="265"/>
        <v>0</v>
      </c>
      <c r="AF140" s="18">
        <f t="shared" si="266"/>
        <v>0</v>
      </c>
      <c r="AG140" s="18">
        <f t="shared" si="267"/>
        <v>0</v>
      </c>
      <c r="AH140" s="18">
        <f t="shared" si="268"/>
        <v>15</v>
      </c>
      <c r="AI140" s="18">
        <f t="shared" si="269"/>
        <v>37.5</v>
      </c>
      <c r="AJ140" s="18">
        <f t="shared" si="270"/>
        <v>0</v>
      </c>
      <c r="AK140" s="18">
        <f t="shared" si="271"/>
        <v>0</v>
      </c>
      <c r="AL140" s="18">
        <f t="shared" si="272"/>
        <v>0</v>
      </c>
      <c r="AM140" s="36">
        <f t="shared" si="273"/>
        <v>53</v>
      </c>
      <c r="AN140" s="36">
        <f t="shared" si="274"/>
        <v>0</v>
      </c>
      <c r="AO140" s="183"/>
      <c r="AP140" s="184"/>
      <c r="AQ140" s="184"/>
      <c r="AR140" s="28"/>
      <c r="AS140" s="28"/>
      <c r="AT140" s="163"/>
      <c r="AU140" s="28"/>
      <c r="AV140" s="147"/>
      <c r="AW140" s="147"/>
      <c r="AX140" s="148"/>
      <c r="AY140" s="167"/>
      <c r="AZ140" s="167"/>
      <c r="BB140" s="170"/>
      <c r="BC140" s="202"/>
    </row>
    <row r="141" spans="1:56" hidden="1" x14ac:dyDescent="0.25">
      <c r="A141" s="197" t="s">
        <v>249</v>
      </c>
      <c r="B141" s="9" t="str">
        <f>VLOOKUP($A141,MainData!$A$4:$E$1967,2,FALSE)</f>
        <v>VSE</v>
      </c>
      <c r="C141" s="9" t="str">
        <f>VLOOKUP($A141,MainData!$A$4:$E$1967,3,FALSE)</f>
        <v>Khalid Mousa Jumaa</v>
      </c>
      <c r="D141" s="9" t="str">
        <f>VLOOKUP($A141,MainData!$A$4:$E$1967,4,FALSE)</f>
        <v>Nasriya</v>
      </c>
      <c r="E141" s="9" t="str">
        <f>VLOOKUP($A141,MainData!$A$4:$E$1967,5,FALSE)</f>
        <v>Adel Abdul Ameer Farhod  </v>
      </c>
      <c r="F141" s="11">
        <f>SUMIFS(MainData!G:G,MainData!$A:$A,$A141)</f>
        <v>1164580.2029126724</v>
      </c>
      <c r="G141" s="11">
        <f t="shared" si="279"/>
        <v>777777.77777777775</v>
      </c>
      <c r="H141" s="53">
        <f t="shared" si="255"/>
        <v>1.4973174037448647</v>
      </c>
      <c r="I141" s="10">
        <f>SUMIFS(MainData!F:F,MainData!$A:$A,$A141)</f>
        <v>215</v>
      </c>
      <c r="J141" s="10">
        <f t="shared" si="318"/>
        <v>889</v>
      </c>
      <c r="K141" s="53">
        <f t="shared" si="256"/>
        <v>0.24184476940382452</v>
      </c>
      <c r="L141" s="11">
        <f>SUMIFS(MainData!K:K,MainData!$A:$A,$A141)</f>
        <v>83712.121212121216</v>
      </c>
      <c r="M141" s="11">
        <f t="shared" si="295"/>
        <v>79545.45</v>
      </c>
      <c r="N141" s="53">
        <f t="shared" si="257"/>
        <v>1.0523810125170103</v>
      </c>
      <c r="O141" s="256">
        <f>SUMIFS(MainData!J:J,MainData!$A:$A,$A141)</f>
        <v>11</v>
      </c>
      <c r="P141" s="10">
        <f>IF($B141=$B$4,0,IF($B141=$B$1,VLOOKUP(D141,Target_Entry!$A$8:$AF$23,5,0),IF(LO!B141=LO!$B$2,VLOOKUP(LO!D141,Target_Entry!$A$8:$AF$23,25,0),IF(LO!B141=LO!$B$3,VLOOKUP(LO!D141,Target_Entry!$A$8:$AF$23,15,0)))))</f>
        <v>8</v>
      </c>
      <c r="Q141" s="53">
        <f t="shared" si="258"/>
        <v>1.375</v>
      </c>
      <c r="R141" s="10">
        <f>SUMIFS(MainData!J:J,MainData!$A:$A,$A141)</f>
        <v>11</v>
      </c>
      <c r="S141" s="10">
        <f>SUMIFS(MainData!M:M,MainData!$A:$A,$A141)</f>
        <v>6</v>
      </c>
      <c r="T141" s="53">
        <f t="shared" si="259"/>
        <v>0.54545454545454541</v>
      </c>
      <c r="U141" s="10">
        <f>SUMIFS(MainData!L:L,MainData!$A:$A,$A141)</f>
        <v>3</v>
      </c>
      <c r="V141" s="12">
        <f t="shared" si="260"/>
        <v>0.27272727272727271</v>
      </c>
      <c r="W141" s="10">
        <f>SUMIFS(MainData!F:F,MainData!$A:$A,$A141)</f>
        <v>215</v>
      </c>
      <c r="X141" s="12">
        <f t="shared" si="261"/>
        <v>0.86</v>
      </c>
      <c r="Y141" s="11">
        <f>SUMIFS(MainData!H:H,MainData!$A:$A,$A141)</f>
        <v>94404.685420205438</v>
      </c>
      <c r="Z141" s="12">
        <f t="shared" si="262"/>
        <v>8.1063275147640904E-2</v>
      </c>
      <c r="AA141" s="11">
        <f>SUMIFS(MainData!I:I,MainData!$A:$A,$A141)</f>
        <v>9047.6370555320282</v>
      </c>
      <c r="AB141" s="231">
        <f t="shared" si="263"/>
        <v>7.7690115570429952E-3</v>
      </c>
      <c r="AC141" s="182"/>
      <c r="AD141" s="18">
        <f t="shared" si="264"/>
        <v>10</v>
      </c>
      <c r="AE141" s="18">
        <f t="shared" si="265"/>
        <v>0</v>
      </c>
      <c r="AF141" s="18">
        <f t="shared" si="266"/>
        <v>35.238101251701018</v>
      </c>
      <c r="AG141" s="18">
        <f t="shared" si="267"/>
        <v>0</v>
      </c>
      <c r="AH141" s="18">
        <f t="shared" si="268"/>
        <v>0</v>
      </c>
      <c r="AI141" s="18">
        <f t="shared" si="269"/>
        <v>35.55774711073925</v>
      </c>
      <c r="AJ141" s="18">
        <f t="shared" si="270"/>
        <v>3.5999999999999996</v>
      </c>
      <c r="AK141" s="18">
        <f t="shared" si="271"/>
        <v>3.4545454545454546</v>
      </c>
      <c r="AL141" s="18">
        <f t="shared" si="272"/>
        <v>4.545454545454545</v>
      </c>
      <c r="AM141" s="36">
        <f t="shared" si="273"/>
        <v>92</v>
      </c>
      <c r="AN141" s="36">
        <f t="shared" si="274"/>
        <v>92</v>
      </c>
      <c r="AO141" s="183">
        <v>715</v>
      </c>
      <c r="AP141" s="184">
        <v>0</v>
      </c>
      <c r="AQ141" s="184">
        <v>0</v>
      </c>
      <c r="AR141" s="28">
        <f>SUM(AO141:AQ141)</f>
        <v>715</v>
      </c>
      <c r="AS141" s="28">
        <f>IF(AO141&gt;0,ROUNDUP($AO141*AS$3,0),0)</f>
        <v>572</v>
      </c>
      <c r="AT141" s="28">
        <f>AR141-AS141</f>
        <v>143</v>
      </c>
      <c r="AU141" s="28">
        <f t="shared" ref="AU141:AU146" si="321">IF(AO141&gt;0,ROUND(AN141/$AN$1*AU$3,0),0)</f>
        <v>598</v>
      </c>
      <c r="AV141" s="147">
        <f>AU141+AS141</f>
        <v>1170</v>
      </c>
      <c r="AW141" s="147">
        <f>AV141-AR141</f>
        <v>455</v>
      </c>
      <c r="AX141" s="148">
        <f>IFERROR(AV141/AR141,0)</f>
        <v>1.6363636363636365</v>
      </c>
      <c r="AY141" s="167">
        <f t="shared" ref="AY141:AY144" si="322">AU141</f>
        <v>598</v>
      </c>
      <c r="AZ141" s="167">
        <f t="shared" ref="AZ141:AZ146" si="323">IF(O141&lt;18,IF(AND(I141&gt;0,I141&lt;=60),60,IF(AND(I141&gt;60,I141&lt;=120),70,IF(AND(I141&gt;120,I141&lt;=200),80,IF(I141&gt;200,90,0)))),IF(O141&gt;=18,IF(AND(I141&gt;0,I141&lt;=60),70,IF(AND(I141&gt;60,I141&lt;=120),80,IF(AND(I141&gt;120,I141&lt;=200),90,100)))))</f>
        <v>90</v>
      </c>
      <c r="BB141" s="170">
        <f t="shared" ref="BB141:BB156" si="324">AU141-AY141</f>
        <v>0</v>
      </c>
      <c r="BC141" s="202">
        <f>VLOOKUP(A141,ImportDataWA!A$14:AG$112,33,0)</f>
        <v>97.71546180417532</v>
      </c>
      <c r="BD141" s="170">
        <f t="shared" ref="BD141:BD144" si="325">AU141-AY141</f>
        <v>0</v>
      </c>
    </row>
    <row r="142" spans="1:56" hidden="1" x14ac:dyDescent="0.25">
      <c r="A142" s="195" t="s">
        <v>80</v>
      </c>
      <c r="B142" s="9" t="str">
        <f>VLOOKUP($A142,MainData!$A$4:$E$1967,2,FALSE)</f>
        <v>Micro</v>
      </c>
      <c r="C142" s="9" t="str">
        <f>VLOOKUP($A142,MainData!$A$4:$E$1967,3,FALSE)</f>
        <v>Khalid Mousa Jumaa</v>
      </c>
      <c r="D142" s="9" t="str">
        <f>VLOOKUP($A142,MainData!$A$4:$E$1967,4,FALSE)</f>
        <v>Nasriya</v>
      </c>
      <c r="E142" s="9" t="str">
        <f>VLOOKUP($A142,MainData!$A$4:$E$1967,5,FALSE)</f>
        <v>Adel Abdul Ameer Farhod  </v>
      </c>
      <c r="F142" s="11">
        <f>SUMIFS(MainData!G:G,MainData!$A:$A,$A142)</f>
        <v>715379.01150716189</v>
      </c>
      <c r="G142" s="11">
        <f t="shared" si="279"/>
        <v>333333.33333333331</v>
      </c>
      <c r="H142" s="53">
        <f t="shared" si="255"/>
        <v>2.1461370345214856</v>
      </c>
      <c r="I142" s="10">
        <f>SUMIFS(MainData!F:F,MainData!$A:$A,$A142)</f>
        <v>273</v>
      </c>
      <c r="J142" s="10">
        <f t="shared" si="318"/>
        <v>400</v>
      </c>
      <c r="K142" s="53">
        <f t="shared" si="256"/>
        <v>0.6825</v>
      </c>
      <c r="L142" s="11">
        <f>SUMIFS(MainData!K:K,MainData!$A:$A,$A142)</f>
        <v>63636.36363636364</v>
      </c>
      <c r="M142" s="11">
        <f t="shared" si="295"/>
        <v>56818.18</v>
      </c>
      <c r="N142" s="53">
        <f t="shared" si="257"/>
        <v>1.1200000358400013</v>
      </c>
      <c r="O142" s="256">
        <f>SUMIFS(MainData!J:J,MainData!$A:$A,$A142)</f>
        <v>14</v>
      </c>
      <c r="P142" s="10">
        <f>IF($B142=$B$4,0,IF($B142=$B$1,VLOOKUP(D142,Target_Entry!$A$8:$AF$23,5,0),IF(LO!B142=LO!$B$2,VLOOKUP(LO!D142,Target_Entry!$A$8:$AF$23,25,0),IF(LO!B142=LO!$B$3,VLOOKUP(LO!D142,Target_Entry!$A$8:$AF$23,15,0)))))</f>
        <v>15</v>
      </c>
      <c r="Q142" s="53">
        <f t="shared" si="258"/>
        <v>0.93333333333333335</v>
      </c>
      <c r="R142" s="10">
        <f>SUMIFS(MainData!J:J,MainData!$A:$A,$A142)</f>
        <v>14</v>
      </c>
      <c r="S142" s="10">
        <f>SUMIFS(MainData!M:M,MainData!$A:$A,$A142)</f>
        <v>5</v>
      </c>
      <c r="T142" s="53">
        <f t="shared" si="259"/>
        <v>0.35714285714285715</v>
      </c>
      <c r="U142" s="10">
        <f>SUMIFS(MainData!L:L,MainData!$A:$A,$A142)</f>
        <v>6</v>
      </c>
      <c r="V142" s="12">
        <f t="shared" si="260"/>
        <v>0.42857142857142855</v>
      </c>
      <c r="W142" s="10">
        <f>SUMIFS(MainData!F:F,MainData!$A:$A,$A142)</f>
        <v>273</v>
      </c>
      <c r="X142" s="12">
        <f t="shared" si="261"/>
        <v>1.0920000000000001</v>
      </c>
      <c r="Y142" s="11">
        <f>SUMIFS(MainData!H:H,MainData!$A:$A,$A142)</f>
        <v>52427.299840909094</v>
      </c>
      <c r="Z142" s="12">
        <f t="shared" si="262"/>
        <v>7.3286046973135482E-2</v>
      </c>
      <c r="AA142" s="11">
        <f>SUMIFS(MainData!I:I,MainData!$A:$A,$A142)</f>
        <v>4387.5892424242429</v>
      </c>
      <c r="AB142" s="12">
        <f t="shared" si="263"/>
        <v>6.1332373075643652E-3</v>
      </c>
      <c r="AC142" s="182"/>
      <c r="AD142" s="18">
        <f t="shared" si="264"/>
        <v>10</v>
      </c>
      <c r="AE142" s="18">
        <f t="shared" si="265"/>
        <v>0</v>
      </c>
      <c r="AF142" s="18">
        <f t="shared" si="266"/>
        <v>42.000003584000119</v>
      </c>
      <c r="AG142" s="18">
        <f t="shared" si="267"/>
        <v>0</v>
      </c>
      <c r="AH142" s="18">
        <f t="shared" si="268"/>
        <v>0</v>
      </c>
      <c r="AI142" s="18">
        <f t="shared" si="269"/>
        <v>35.966690673108907</v>
      </c>
      <c r="AJ142" s="18">
        <f t="shared" si="270"/>
        <v>5</v>
      </c>
      <c r="AK142" s="18">
        <f t="shared" si="271"/>
        <v>1.5714285714285716</v>
      </c>
      <c r="AL142" s="18">
        <f t="shared" si="272"/>
        <v>5</v>
      </c>
      <c r="AM142" s="36">
        <f t="shared" si="273"/>
        <v>100</v>
      </c>
      <c r="AN142" s="36">
        <f t="shared" si="274"/>
        <v>0</v>
      </c>
      <c r="AO142" s="183">
        <v>762</v>
      </c>
      <c r="AP142" s="184">
        <v>0</v>
      </c>
      <c r="AQ142" s="184">
        <v>0</v>
      </c>
      <c r="AR142" s="28">
        <f>SUM(AO142:AQ142)</f>
        <v>762</v>
      </c>
      <c r="AS142" s="28">
        <f>IF(AO142&gt;0,ROUNDUP($AO142*AS$3,0),0)</f>
        <v>610</v>
      </c>
      <c r="AT142" s="163">
        <f>AR142-AS142</f>
        <v>152</v>
      </c>
      <c r="AU142" s="28">
        <f t="shared" si="321"/>
        <v>0</v>
      </c>
      <c r="AV142" s="147">
        <f>AU142+AS142</f>
        <v>610</v>
      </c>
      <c r="AW142" s="147">
        <f>AV142-AR142</f>
        <v>-152</v>
      </c>
      <c r="AX142" s="148">
        <f>IFERROR(AV142/AR142,0)</f>
        <v>0.80052493438320205</v>
      </c>
      <c r="AY142" s="167">
        <f t="shared" si="322"/>
        <v>0</v>
      </c>
      <c r="AZ142" s="167">
        <f t="shared" si="323"/>
        <v>90</v>
      </c>
      <c r="BB142" s="170">
        <f t="shared" si="324"/>
        <v>0</v>
      </c>
      <c r="BC142" s="202">
        <f>VLOOKUP(A142,ImportDataWA!A$14:AG$112,33,0)</f>
        <v>98.10222352425663</v>
      </c>
      <c r="BD142" s="170">
        <f t="shared" si="325"/>
        <v>0</v>
      </c>
    </row>
    <row r="143" spans="1:56" hidden="1" x14ac:dyDescent="0.25">
      <c r="A143" s="195" t="s">
        <v>78</v>
      </c>
      <c r="B143" s="9" t="str">
        <f>VLOOKUP($A143,MainData!$A$4:$E$1967,2,FALSE)</f>
        <v>Micro</v>
      </c>
      <c r="C143" s="9" t="str">
        <f>VLOOKUP($A143,MainData!$A$4:$E$1967,3,FALSE)</f>
        <v>Ahmed Hadi Muhammad</v>
      </c>
      <c r="D143" s="9" t="str">
        <f>VLOOKUP($A143,MainData!$A$4:$E$1967,4,FALSE)</f>
        <v>Nasriya</v>
      </c>
      <c r="E143" s="9" t="str">
        <f>VLOOKUP($A143,MainData!$A$4:$E$1967,5,FALSE)</f>
        <v>Adel Abdul Ameer Farhod  </v>
      </c>
      <c r="F143" s="11">
        <f>SUMIFS(MainData!G:G,MainData!$A:$A,$A143)</f>
        <v>288072.26331818174</v>
      </c>
      <c r="G143" s="11">
        <f t="shared" si="279"/>
        <v>333333.33333333331</v>
      </c>
      <c r="H143" s="53">
        <f t="shared" si="255"/>
        <v>0.86421678995454521</v>
      </c>
      <c r="I143" s="10">
        <f>SUMIFS(MainData!F:F,MainData!$A:$A,$A143)</f>
        <v>110</v>
      </c>
      <c r="J143" s="10">
        <f t="shared" si="318"/>
        <v>400</v>
      </c>
      <c r="K143" s="53">
        <f t="shared" si="256"/>
        <v>0.27500000000000002</v>
      </c>
      <c r="L143" s="11">
        <f>SUMIFS(MainData!K:K,MainData!$A:$A,$A143)</f>
        <v>59848.484848484855</v>
      </c>
      <c r="M143" s="11">
        <f t="shared" si="295"/>
        <v>56818.18</v>
      </c>
      <c r="N143" s="53">
        <f t="shared" si="257"/>
        <v>1.0533333670400011</v>
      </c>
      <c r="O143" s="256">
        <f>SUMIFS(MainData!J:J,MainData!$A:$A,$A143)</f>
        <v>12</v>
      </c>
      <c r="P143" s="10">
        <f>IF($B143=$B$4,0,IF($B143=$B$1,VLOOKUP(D143,Target_Entry!$A$8:$AF$23,5,0),IF(LO!B143=LO!$B$2,VLOOKUP(LO!D143,Target_Entry!$A$8:$AF$23,25,0),IF(LO!B143=LO!$B$3,VLOOKUP(LO!D143,Target_Entry!$A$8:$AF$23,15,0)))))</f>
        <v>15</v>
      </c>
      <c r="Q143" s="53">
        <f t="shared" si="258"/>
        <v>0.8</v>
      </c>
      <c r="R143" s="10">
        <f>SUMIFS(MainData!J:J,MainData!$A:$A,$A143)</f>
        <v>12</v>
      </c>
      <c r="S143" s="10">
        <f>SUMIFS(MainData!M:M,MainData!$A:$A,$A143)</f>
        <v>6</v>
      </c>
      <c r="T143" s="53">
        <f t="shared" si="259"/>
        <v>0.5</v>
      </c>
      <c r="U143" s="10">
        <f>SUMIFS(MainData!L:L,MainData!$A:$A,$A143)</f>
        <v>7</v>
      </c>
      <c r="V143" s="12">
        <f t="shared" si="260"/>
        <v>0.58333333333333337</v>
      </c>
      <c r="W143" s="10">
        <f>SUMIFS(MainData!F:F,MainData!$A:$A,$A143)</f>
        <v>110</v>
      </c>
      <c r="X143" s="12">
        <f t="shared" si="261"/>
        <v>0.44</v>
      </c>
      <c r="Y143" s="11">
        <f>SUMIFS(MainData!H:H,MainData!$A:$A,$A143)</f>
        <v>1561.5565227272718</v>
      </c>
      <c r="Z143" s="12">
        <f t="shared" si="262"/>
        <v>5.4207111255362359E-3</v>
      </c>
      <c r="AA143" s="11">
        <f>SUMIFS(MainData!I:I,MainData!$A:$A,$A143)</f>
        <v>1144.4187348484872</v>
      </c>
      <c r="AB143" s="12">
        <f t="shared" si="263"/>
        <v>3.972679360610477E-3</v>
      </c>
      <c r="AC143" s="182"/>
      <c r="AD143" s="18">
        <f t="shared" si="264"/>
        <v>5.4738929984848372</v>
      </c>
      <c r="AE143" s="18">
        <f t="shared" si="265"/>
        <v>0</v>
      </c>
      <c r="AF143" s="18">
        <f t="shared" si="266"/>
        <v>35.333336704000104</v>
      </c>
      <c r="AG143" s="18">
        <f t="shared" si="267"/>
        <v>0</v>
      </c>
      <c r="AH143" s="18">
        <f t="shared" si="268"/>
        <v>13.373786662339128</v>
      </c>
      <c r="AI143" s="18">
        <f t="shared" si="269"/>
        <v>36.506830159847382</v>
      </c>
      <c r="AJ143" s="18">
        <f t="shared" si="270"/>
        <v>0</v>
      </c>
      <c r="AK143" s="18">
        <f t="shared" si="271"/>
        <v>2.9999999999999991</v>
      </c>
      <c r="AL143" s="18">
        <f t="shared" si="272"/>
        <v>5</v>
      </c>
      <c r="AM143" s="36">
        <f t="shared" si="273"/>
        <v>99</v>
      </c>
      <c r="AN143" s="36">
        <f t="shared" si="274"/>
        <v>0</v>
      </c>
      <c r="AO143" s="183">
        <v>794</v>
      </c>
      <c r="AP143" s="184">
        <v>0</v>
      </c>
      <c r="AQ143" s="184">
        <v>2</v>
      </c>
      <c r="AR143" s="28">
        <f>SUM(AO143:AQ143)</f>
        <v>796</v>
      </c>
      <c r="AS143" s="28">
        <f>IF(AO143&gt;0,ROUNDUP($AO143*AS$3,0),0)</f>
        <v>636</v>
      </c>
      <c r="AT143" s="163">
        <f>AR143-AS143</f>
        <v>160</v>
      </c>
      <c r="AU143" s="28">
        <f t="shared" si="321"/>
        <v>0</v>
      </c>
      <c r="AV143" s="147">
        <f>AU143+AS143</f>
        <v>636</v>
      </c>
      <c r="AW143" s="147">
        <f>AV143-AR143</f>
        <v>-160</v>
      </c>
      <c r="AX143" s="148">
        <f>IFERROR(AV143/AR143,0)</f>
        <v>0.79899497487437188</v>
      </c>
      <c r="AY143" s="167">
        <f t="shared" si="322"/>
        <v>0</v>
      </c>
      <c r="AZ143" s="167">
        <f t="shared" si="323"/>
        <v>70</v>
      </c>
      <c r="BB143" s="170">
        <f t="shared" si="324"/>
        <v>0</v>
      </c>
      <c r="BC143" s="202">
        <f>VLOOKUP(A143,ImportDataWA!A$14:AG$112,33,0)</f>
        <v>98.919991602306325</v>
      </c>
      <c r="BD143" s="170">
        <f t="shared" si="325"/>
        <v>0</v>
      </c>
    </row>
    <row r="144" spans="1:56" hidden="1" x14ac:dyDescent="0.25">
      <c r="A144" s="230" t="s">
        <v>97</v>
      </c>
      <c r="B144" s="9" t="str">
        <f>VLOOKUP($A144,MainData!$A$4:$E$1967,2,FALSE)</f>
        <v>VSE</v>
      </c>
      <c r="C144" s="9" t="str">
        <f>VLOOKUP($A144,MainData!$A$4:$E$1967,3,FALSE)</f>
        <v>Khalid Mousa Jumaa</v>
      </c>
      <c r="D144" s="9" t="str">
        <f>VLOOKUP($A144,MainData!$A$4:$E$1967,4,FALSE)</f>
        <v>Nasriya</v>
      </c>
      <c r="E144" s="9" t="str">
        <f>VLOOKUP($A144,MainData!$A$4:$E$1967,5,FALSE)</f>
        <v>Adel Abdul Ameer Farhod  </v>
      </c>
      <c r="F144" s="11">
        <f>SUMIFS(MainData!G:G,MainData!$A:$A,$A144)</f>
        <v>728634.96754198754</v>
      </c>
      <c r="G144" s="11">
        <f t="shared" si="279"/>
        <v>777777.77777777775</v>
      </c>
      <c r="H144" s="53">
        <f t="shared" si="255"/>
        <v>0.93681638683969826</v>
      </c>
      <c r="I144" s="10">
        <f>SUMIFS(MainData!F:F,MainData!$A:$A,$A144)</f>
        <v>191</v>
      </c>
      <c r="J144" s="10">
        <f t="shared" si="318"/>
        <v>889</v>
      </c>
      <c r="K144" s="53">
        <f t="shared" si="256"/>
        <v>0.21484814398200225</v>
      </c>
      <c r="L144" s="11">
        <f>SUMIFS(MainData!K:K,MainData!$A:$A,$A144)</f>
        <v>72803.030303030318</v>
      </c>
      <c r="M144" s="11">
        <f t="shared" si="295"/>
        <v>79545.45</v>
      </c>
      <c r="N144" s="53">
        <f t="shared" si="257"/>
        <v>0.91523814753741817</v>
      </c>
      <c r="O144" s="256">
        <f>SUMIFS(MainData!J:J,MainData!$A:$A,$A144)</f>
        <v>14</v>
      </c>
      <c r="P144" s="10">
        <f>IF($B144=$B$4,0,IF($B144=$B$1,VLOOKUP(D144,Target_Entry!$A$8:$AF$23,5,0),IF(LO!B144=LO!$B$2,VLOOKUP(LO!D144,Target_Entry!$A$8:$AF$23,25,0),IF(LO!B144=LO!$B$3,VLOOKUP(LO!D144,Target_Entry!$A$8:$AF$23,15,0)))))</f>
        <v>8</v>
      </c>
      <c r="Q144" s="53">
        <f t="shared" si="258"/>
        <v>1.75</v>
      </c>
      <c r="R144" s="10">
        <f>SUMIFS(MainData!J:J,MainData!$A:$A,$A144)</f>
        <v>14</v>
      </c>
      <c r="S144" s="10">
        <f>SUMIFS(MainData!M:M,MainData!$A:$A,$A144)</f>
        <v>6</v>
      </c>
      <c r="T144" s="53">
        <f t="shared" si="259"/>
        <v>0.42857142857142855</v>
      </c>
      <c r="U144" s="10">
        <f>SUMIFS(MainData!L:L,MainData!$A:$A,$A144)</f>
        <v>2</v>
      </c>
      <c r="V144" s="12">
        <f t="shared" si="260"/>
        <v>0.14285714285714285</v>
      </c>
      <c r="W144" s="10">
        <f>SUMIFS(MainData!F:F,MainData!$A:$A,$A144)</f>
        <v>191</v>
      </c>
      <c r="X144" s="12">
        <f t="shared" si="261"/>
        <v>0.76400000000000001</v>
      </c>
      <c r="Y144" s="11">
        <f>SUMIFS(MainData!H:H,MainData!$A:$A,$A144)</f>
        <v>4314.4235530303031</v>
      </c>
      <c r="Z144" s="12">
        <f t="shared" si="262"/>
        <v>5.9212414243373307E-3</v>
      </c>
      <c r="AA144" s="11">
        <f>SUMIFS(MainData!I:I,MainData!$A:$A,$A144)</f>
        <v>2979.373860742799</v>
      </c>
      <c r="AB144" s="12">
        <f t="shared" si="263"/>
        <v>4.0889800702175504E-3</v>
      </c>
      <c r="AC144" s="182"/>
      <c r="AD144" s="18">
        <f t="shared" si="264"/>
        <v>7.8938795613232715</v>
      </c>
      <c r="AE144" s="18">
        <f t="shared" si="265"/>
        <v>0</v>
      </c>
      <c r="AF144" s="18">
        <f t="shared" si="266"/>
        <v>21.523814753741814</v>
      </c>
      <c r="AG144" s="18">
        <f t="shared" si="267"/>
        <v>0</v>
      </c>
      <c r="AH144" s="18">
        <f t="shared" si="268"/>
        <v>13.223627572698801</v>
      </c>
      <c r="AI144" s="18">
        <f t="shared" si="269"/>
        <v>36.47775498244561</v>
      </c>
      <c r="AJ144" s="18">
        <f t="shared" si="270"/>
        <v>2.64</v>
      </c>
      <c r="AK144" s="18">
        <f t="shared" si="271"/>
        <v>2.2857142857142856</v>
      </c>
      <c r="AL144" s="18">
        <f t="shared" si="272"/>
        <v>2.3809523809523809</v>
      </c>
      <c r="AM144" s="36">
        <f t="shared" si="273"/>
        <v>86</v>
      </c>
      <c r="AN144" s="36">
        <f t="shared" si="274"/>
        <v>86</v>
      </c>
      <c r="AO144" s="183">
        <v>1031</v>
      </c>
      <c r="AP144" s="184">
        <v>0</v>
      </c>
      <c r="AQ144" s="184">
        <v>0</v>
      </c>
      <c r="AR144" s="28">
        <f>SUM(AO144:AQ144)</f>
        <v>1031</v>
      </c>
      <c r="AS144" s="28">
        <f>IF(AO144&gt;0,ROUNDUP($AO144*AS$3,0),0)</f>
        <v>825</v>
      </c>
      <c r="AT144" s="163">
        <f>AR144-AS144</f>
        <v>206</v>
      </c>
      <c r="AU144" s="28">
        <f t="shared" si="321"/>
        <v>559</v>
      </c>
      <c r="AV144" s="147">
        <f>AU144+AS144</f>
        <v>1384</v>
      </c>
      <c r="AW144" s="147">
        <f>AV144-AR144</f>
        <v>353</v>
      </c>
      <c r="AX144" s="148">
        <f>IFERROR(AV144/AR144,0)</f>
        <v>1.3423860329776915</v>
      </c>
      <c r="AY144" s="167">
        <f t="shared" si="322"/>
        <v>559</v>
      </c>
      <c r="AZ144" s="167">
        <f t="shared" si="323"/>
        <v>80</v>
      </c>
      <c r="BB144" s="170">
        <f t="shared" si="324"/>
        <v>0</v>
      </c>
      <c r="BC144" s="202">
        <f>VLOOKUP(A144,ImportDataWA!A$14:AG$112,33,0)</f>
        <v>99.355815506295272</v>
      </c>
      <c r="BD144" s="170">
        <f t="shared" si="325"/>
        <v>0</v>
      </c>
    </row>
    <row r="145" spans="1:56" hidden="1" x14ac:dyDescent="0.25">
      <c r="A145" s="195" t="s">
        <v>211</v>
      </c>
      <c r="B145" s="9" t="str">
        <f>VLOOKUP($A145,MainData!$A$4:$E$1967,2,FALSE)</f>
        <v>Micro</v>
      </c>
      <c r="C145" s="9" t="str">
        <f>VLOOKUP($A145,MainData!$A$4:$E$1967,3,FALSE)</f>
        <v>Ahmed Hadi Muhammad</v>
      </c>
      <c r="D145" s="9" t="str">
        <f>VLOOKUP($A145,MainData!$A$4:$E$1967,4,FALSE)</f>
        <v>Nasriya</v>
      </c>
      <c r="E145" s="9" t="str">
        <f>VLOOKUP($A145,MainData!$A$4:$E$1967,5,FALSE)</f>
        <v>Adel Abdul Ameer Farhod  </v>
      </c>
      <c r="F145" s="11">
        <f>SUMIFS(MainData!G:G,MainData!$A:$A,$A145)</f>
        <v>639988.72577036335</v>
      </c>
      <c r="G145" s="11">
        <f t="shared" si="279"/>
        <v>333333.33333333331</v>
      </c>
      <c r="H145" s="53">
        <f t="shared" si="255"/>
        <v>1.9199661773110901</v>
      </c>
      <c r="I145" s="10">
        <f>SUMIFS(MainData!F:F,MainData!$A:$A,$A145)</f>
        <v>249</v>
      </c>
      <c r="J145" s="10">
        <f t="shared" si="318"/>
        <v>400</v>
      </c>
      <c r="K145" s="53">
        <f t="shared" si="256"/>
        <v>0.62250000000000005</v>
      </c>
      <c r="L145" s="11">
        <f>SUMIFS(MainData!K:K,MainData!$A:$A,$A145)</f>
        <v>71969.696969696961</v>
      </c>
      <c r="M145" s="11">
        <f t="shared" si="295"/>
        <v>56818.18</v>
      </c>
      <c r="N145" s="53">
        <f t="shared" si="257"/>
        <v>1.2666667072000011</v>
      </c>
      <c r="O145" s="256">
        <f>SUMIFS(MainData!J:J,MainData!$A:$A,$A145)</f>
        <v>17</v>
      </c>
      <c r="P145" s="10">
        <f>IF($B145=$B$4,0,IF($B145=$B$1,VLOOKUP(D145,Target_Entry!$A$8:$AF$23,5,0),IF(LO!B145=LO!$B$2,VLOOKUP(LO!D145,Target_Entry!$A$8:$AF$23,25,0),IF(LO!B145=LO!$B$3,VLOOKUP(LO!D145,Target_Entry!$A$8:$AF$23,15,0)))))</f>
        <v>15</v>
      </c>
      <c r="Q145" s="53">
        <f t="shared" si="258"/>
        <v>1.1333333333333333</v>
      </c>
      <c r="R145" s="10">
        <f>SUMIFS(MainData!J:J,MainData!$A:$A,$A145)</f>
        <v>17</v>
      </c>
      <c r="S145" s="10">
        <f>SUMIFS(MainData!M:M,MainData!$A:$A,$A145)</f>
        <v>9</v>
      </c>
      <c r="T145" s="53">
        <f t="shared" si="259"/>
        <v>0.52941176470588236</v>
      </c>
      <c r="U145" s="10">
        <f>SUMIFS(MainData!L:L,MainData!$A:$A,$A145)</f>
        <v>13</v>
      </c>
      <c r="V145" s="12">
        <f t="shared" si="260"/>
        <v>0.76470588235294112</v>
      </c>
      <c r="W145" s="10">
        <f>SUMIFS(MainData!F:F,MainData!$A:$A,$A145)</f>
        <v>249</v>
      </c>
      <c r="X145" s="12">
        <f t="shared" si="261"/>
        <v>0.996</v>
      </c>
      <c r="Y145" s="11">
        <f>SUMIFS(MainData!H:H,MainData!$A:$A,$A145)</f>
        <v>34533.428439393938</v>
      </c>
      <c r="Z145" s="12">
        <f t="shared" si="262"/>
        <v>5.3959432485041932E-2</v>
      </c>
      <c r="AA145" s="11">
        <f>SUMIFS(MainData!I:I,MainData!$A:$A,$A145)</f>
        <v>7674.7956054971319</v>
      </c>
      <c r="AB145" s="12">
        <f t="shared" si="263"/>
        <v>1.1992079385865545E-2</v>
      </c>
      <c r="AC145" s="182"/>
      <c r="AD145" s="18">
        <f t="shared" si="264"/>
        <v>10</v>
      </c>
      <c r="AE145" s="18">
        <f t="shared" si="265"/>
        <v>0</v>
      </c>
      <c r="AF145" s="18">
        <f t="shared" si="266"/>
        <v>45</v>
      </c>
      <c r="AG145" s="18">
        <f t="shared" si="267"/>
        <v>0</v>
      </c>
      <c r="AH145" s="18">
        <f t="shared" si="268"/>
        <v>0</v>
      </c>
      <c r="AI145" s="18">
        <f t="shared" si="269"/>
        <v>34.501980153533616</v>
      </c>
      <c r="AJ145" s="18">
        <f t="shared" si="270"/>
        <v>4.96</v>
      </c>
      <c r="AK145" s="18">
        <f t="shared" si="271"/>
        <v>3.2941176470588243</v>
      </c>
      <c r="AL145" s="18">
        <f t="shared" si="272"/>
        <v>5</v>
      </c>
      <c r="AM145" s="36">
        <f t="shared" si="273"/>
        <v>103</v>
      </c>
      <c r="AN145" s="36">
        <f t="shared" si="274"/>
        <v>103</v>
      </c>
      <c r="AO145" s="183">
        <v>715</v>
      </c>
      <c r="AP145" s="184">
        <v>0</v>
      </c>
      <c r="AQ145" s="184">
        <v>9</v>
      </c>
      <c r="AR145" s="28">
        <f t="shared" ref="AR145:AR157" si="326">SUM(AO145:AQ145)</f>
        <v>724</v>
      </c>
      <c r="AS145" s="28">
        <f t="shared" ref="AS145:AS157" si="327">IF(AO145&gt;0,ROUNDUP($AO145*AS$3,0),0)</f>
        <v>572</v>
      </c>
      <c r="AT145" s="163">
        <f t="shared" ref="AT145:AT157" si="328">AR145-AS145</f>
        <v>152</v>
      </c>
      <c r="AU145" s="28">
        <f t="shared" si="321"/>
        <v>670</v>
      </c>
      <c r="AV145" s="147">
        <f t="shared" ref="AV145:AV157" si="329">AU145+AS145</f>
        <v>1242</v>
      </c>
      <c r="AW145" s="147">
        <f t="shared" ref="AW145:AW157" si="330">AV145-AR145</f>
        <v>518</v>
      </c>
      <c r="AX145" s="148">
        <f t="shared" ref="AX145:AX157" si="331">IFERROR(AV145/AR145,0)</f>
        <v>1.7154696132596685</v>
      </c>
      <c r="AY145" s="167">
        <f t="shared" ref="AY145:AY146" si="332">AU145</f>
        <v>670</v>
      </c>
      <c r="AZ145" s="167">
        <f t="shared" si="323"/>
        <v>90</v>
      </c>
      <c r="BB145" s="170">
        <f t="shared" si="324"/>
        <v>0</v>
      </c>
      <c r="BC145" s="202" t="e">
        <f>VLOOKUP(A145,ImportDataWA!A$14:AG$112,33,0)</f>
        <v>#N/A</v>
      </c>
      <c r="BD145" s="170">
        <f t="shared" ref="BD145:BD146" si="333">AU145-AY145</f>
        <v>0</v>
      </c>
    </row>
    <row r="146" spans="1:56" hidden="1" x14ac:dyDescent="0.25">
      <c r="A146" s="195" t="s">
        <v>116</v>
      </c>
      <c r="B146" s="9" t="str">
        <f>VLOOKUP($A146,MainData!$A$4:$E$1967,2,FALSE)</f>
        <v>VSE</v>
      </c>
      <c r="C146" s="9" t="str">
        <f>VLOOKUP($A146,MainData!$A$4:$E$1967,3,FALSE)</f>
        <v>Ahmed Hadi Muhammad</v>
      </c>
      <c r="D146" s="9" t="str">
        <f>VLOOKUP($A146,MainData!$A$4:$E$1967,4,FALSE)</f>
        <v>Nasriya</v>
      </c>
      <c r="E146" s="9" t="str">
        <f>VLOOKUP($A146,MainData!$A$4:$E$1967,5,FALSE)</f>
        <v>Adel Abdul Ameer Farhod  </v>
      </c>
      <c r="F146" s="11">
        <f>SUMIFS(MainData!G:G,MainData!$A:$A,$A146)</f>
        <v>985514.97298871621</v>
      </c>
      <c r="G146" s="11">
        <f t="shared" si="279"/>
        <v>777777.77777777775</v>
      </c>
      <c r="H146" s="53">
        <f t="shared" si="255"/>
        <v>1.2670906795569208</v>
      </c>
      <c r="I146" s="10">
        <f>SUMIFS(MainData!F:F,MainData!$A:$A,$A146)</f>
        <v>192</v>
      </c>
      <c r="J146" s="10">
        <f t="shared" si="318"/>
        <v>889</v>
      </c>
      <c r="K146" s="53">
        <f t="shared" si="256"/>
        <v>0.21597300337457817</v>
      </c>
      <c r="L146" s="11">
        <f>SUMIFS(MainData!K:K,MainData!$A:$A,$A146)</f>
        <v>81515.151515151505</v>
      </c>
      <c r="M146" s="11">
        <f t="shared" si="295"/>
        <v>79545.45</v>
      </c>
      <c r="N146" s="53">
        <f t="shared" si="257"/>
        <v>1.0247619633197311</v>
      </c>
      <c r="O146" s="256">
        <f>SUMIFS(MainData!J:J,MainData!$A:$A,$A146)</f>
        <v>9</v>
      </c>
      <c r="P146" s="10">
        <f>IF($B146=$B$4,0,IF($B146=$B$1,VLOOKUP(D146,Target_Entry!$A$8:$AF$23,5,0),IF(LO!B146=LO!$B$2,VLOOKUP(LO!D146,Target_Entry!$A$8:$AF$23,25,0),IF(LO!B146=LO!$B$3,VLOOKUP(LO!D146,Target_Entry!$A$8:$AF$23,15,0)))))</f>
        <v>8</v>
      </c>
      <c r="Q146" s="53">
        <f t="shared" si="258"/>
        <v>1.125</v>
      </c>
      <c r="R146" s="10">
        <f>SUMIFS(MainData!J:J,MainData!$A:$A,$A146)</f>
        <v>9</v>
      </c>
      <c r="S146" s="10">
        <f>SUMIFS(MainData!M:M,MainData!$A:$A,$A146)</f>
        <v>5</v>
      </c>
      <c r="T146" s="53">
        <f t="shared" si="259"/>
        <v>0.55555555555555558</v>
      </c>
      <c r="U146" s="10">
        <f>SUMIFS(MainData!L:L,MainData!$A:$A,$A146)</f>
        <v>3</v>
      </c>
      <c r="V146" s="12">
        <f t="shared" si="260"/>
        <v>0.33333333333333331</v>
      </c>
      <c r="W146" s="10">
        <f>SUMIFS(MainData!F:F,MainData!$A:$A,$A146)</f>
        <v>192</v>
      </c>
      <c r="X146" s="12">
        <f t="shared" si="261"/>
        <v>0.76800000000000002</v>
      </c>
      <c r="Y146" s="11">
        <f>SUMIFS(MainData!H:H,MainData!$A:$A,$A146)</f>
        <v>19908.411715003513</v>
      </c>
      <c r="Z146" s="12">
        <f t="shared" si="262"/>
        <v>2.0201024094670408E-2</v>
      </c>
      <c r="AA146" s="11">
        <f>SUMIFS(MainData!I:I,MainData!$A:$A,$A146)</f>
        <v>7643.4647866295254</v>
      </c>
      <c r="AB146" s="231">
        <f t="shared" si="263"/>
        <v>7.7558078731666718E-3</v>
      </c>
      <c r="AC146" s="182"/>
      <c r="AD146" s="18">
        <f t="shared" si="264"/>
        <v>10</v>
      </c>
      <c r="AE146" s="18">
        <f t="shared" si="265"/>
        <v>0</v>
      </c>
      <c r="AF146" s="18">
        <f t="shared" si="266"/>
        <v>32.476196331973114</v>
      </c>
      <c r="AG146" s="18">
        <f t="shared" si="267"/>
        <v>0</v>
      </c>
      <c r="AH146" s="18">
        <f t="shared" si="268"/>
        <v>8.9396927715988781</v>
      </c>
      <c r="AI146" s="18">
        <f t="shared" si="269"/>
        <v>35.561048031708332</v>
      </c>
      <c r="AJ146" s="18">
        <f t="shared" si="270"/>
        <v>2.68</v>
      </c>
      <c r="AK146" s="18">
        <f t="shared" si="271"/>
        <v>3.5555555555555562</v>
      </c>
      <c r="AL146" s="18">
        <f t="shared" si="272"/>
        <v>5</v>
      </c>
      <c r="AM146" s="36">
        <f t="shared" si="273"/>
        <v>98</v>
      </c>
      <c r="AN146" s="36">
        <f t="shared" si="274"/>
        <v>98</v>
      </c>
      <c r="AO146" s="183">
        <v>750</v>
      </c>
      <c r="AP146" s="184">
        <v>0</v>
      </c>
      <c r="AQ146" s="184">
        <v>0</v>
      </c>
      <c r="AR146" s="28">
        <f t="shared" si="326"/>
        <v>750</v>
      </c>
      <c r="AS146" s="28">
        <f t="shared" si="327"/>
        <v>600</v>
      </c>
      <c r="AT146" s="163">
        <f t="shared" si="328"/>
        <v>150</v>
      </c>
      <c r="AU146" s="28">
        <f t="shared" si="321"/>
        <v>637</v>
      </c>
      <c r="AV146" s="147">
        <f t="shared" si="329"/>
        <v>1237</v>
      </c>
      <c r="AW146" s="147">
        <f t="shared" si="330"/>
        <v>487</v>
      </c>
      <c r="AX146" s="148">
        <f t="shared" si="331"/>
        <v>1.6493333333333333</v>
      </c>
      <c r="AY146" s="167">
        <f t="shared" si="332"/>
        <v>637</v>
      </c>
      <c r="AZ146" s="167">
        <f t="shared" si="323"/>
        <v>80</v>
      </c>
      <c r="BB146" s="170">
        <f t="shared" si="324"/>
        <v>0</v>
      </c>
      <c r="BC146" s="202" t="e">
        <f>VLOOKUP(A146,ImportDataWA!A$14:AG$112,33,0)</f>
        <v>#N/A</v>
      </c>
      <c r="BD146" s="170">
        <f t="shared" si="333"/>
        <v>0</v>
      </c>
    </row>
    <row r="147" spans="1:56" hidden="1" x14ac:dyDescent="0.25">
      <c r="A147" s="201" t="s">
        <v>203</v>
      </c>
      <c r="B147" s="32" t="str">
        <f>VLOOKUP($A147,MainData!$A$4:$E$1967,2,FALSE)</f>
        <v>Inactive</v>
      </c>
      <c r="C147" s="32" t="str">
        <f>VLOOKUP($A147,MainData!$A$4:$E$1967,3,FALSE)</f>
        <v>Inactive</v>
      </c>
      <c r="D147" s="32" t="str">
        <f>VLOOKUP($A147,MainData!$A$4:$E$1967,4,FALSE)</f>
        <v>Semawa</v>
      </c>
      <c r="E147" s="32" t="str">
        <f>VLOOKUP($A147,MainData!$A$4:$E$1967,5,FALSE)</f>
        <v>Inactive</v>
      </c>
      <c r="F147" s="11">
        <f>SUMIFS(MainData!G:G,MainData!$A:$A,$A147)</f>
        <v>0</v>
      </c>
      <c r="G147" s="11">
        <f t="shared" si="279"/>
        <v>0</v>
      </c>
      <c r="H147" s="53">
        <f t="shared" si="255"/>
        <v>0</v>
      </c>
      <c r="I147" s="10">
        <f>SUMIFS(MainData!F:F,MainData!$A:$A,$A147)</f>
        <v>0</v>
      </c>
      <c r="J147" s="10">
        <f t="shared" si="318"/>
        <v>0</v>
      </c>
      <c r="K147" s="53">
        <f t="shared" si="256"/>
        <v>0</v>
      </c>
      <c r="L147" s="11">
        <f>SUMIFS(MainData!K:K,MainData!$A:$A,$A147)</f>
        <v>0</v>
      </c>
      <c r="M147" s="11">
        <f t="shared" si="295"/>
        <v>0</v>
      </c>
      <c r="N147" s="53">
        <f t="shared" si="257"/>
        <v>0</v>
      </c>
      <c r="O147" s="256">
        <f>SUMIFS(MainData!J:J,MainData!$A:$A,$A147)</f>
        <v>0</v>
      </c>
      <c r="P147" s="10">
        <f>IF($B147=$B$4,0,IF($B147=$B$1,VLOOKUP(D147,Target_Entry!$A$8:$AF$23,5,0),IF(LO!B147=LO!$B$2,VLOOKUP(LO!D147,Target_Entry!$A$8:$AF$23,25,0),IF(LO!B147=LO!$B$3,VLOOKUP(LO!D147,Target_Entry!$A$8:$AF$23,15,0)))))</f>
        <v>0</v>
      </c>
      <c r="Q147" s="53">
        <f t="shared" si="258"/>
        <v>0</v>
      </c>
      <c r="R147" s="10">
        <f>SUMIFS(MainData!J:J,MainData!$A:$A,$A147)</f>
        <v>0</v>
      </c>
      <c r="S147" s="10">
        <f>SUMIFS(MainData!M:M,MainData!$A:$A,$A147)</f>
        <v>0</v>
      </c>
      <c r="T147" s="53">
        <f t="shared" si="259"/>
        <v>0</v>
      </c>
      <c r="U147" s="10">
        <f>SUMIFS(MainData!L:L,MainData!$A:$A,$A147)</f>
        <v>0</v>
      </c>
      <c r="V147" s="12">
        <f t="shared" si="260"/>
        <v>0</v>
      </c>
      <c r="W147" s="10">
        <f>SUMIFS(MainData!F:F,MainData!$A:$A,$A147)</f>
        <v>0</v>
      </c>
      <c r="X147" s="12">
        <f t="shared" si="261"/>
        <v>0</v>
      </c>
      <c r="Y147" s="11">
        <f>SUMIFS(MainData!H:H,MainData!$A:$A,$A147)</f>
        <v>0</v>
      </c>
      <c r="Z147" s="12">
        <f t="shared" si="262"/>
        <v>0</v>
      </c>
      <c r="AA147" s="11">
        <f>SUMIFS(MainData!I:I,MainData!$A:$A,$A147)</f>
        <v>0</v>
      </c>
      <c r="AB147" s="12">
        <f t="shared" si="263"/>
        <v>0</v>
      </c>
      <c r="AC147" s="182"/>
      <c r="AD147" s="18">
        <f t="shared" si="264"/>
        <v>0</v>
      </c>
      <c r="AE147" s="18">
        <f t="shared" si="265"/>
        <v>0</v>
      </c>
      <c r="AF147" s="18">
        <f t="shared" si="266"/>
        <v>0</v>
      </c>
      <c r="AG147" s="18">
        <f t="shared" si="267"/>
        <v>0</v>
      </c>
      <c r="AH147" s="18">
        <f t="shared" si="268"/>
        <v>15</v>
      </c>
      <c r="AI147" s="18">
        <f t="shared" si="269"/>
        <v>37.5</v>
      </c>
      <c r="AJ147" s="18">
        <f t="shared" si="270"/>
        <v>0</v>
      </c>
      <c r="AK147" s="18">
        <f t="shared" si="271"/>
        <v>0</v>
      </c>
      <c r="AL147" s="18">
        <f t="shared" si="272"/>
        <v>0</v>
      </c>
      <c r="AM147" s="36">
        <f t="shared" si="273"/>
        <v>53</v>
      </c>
      <c r="AN147" s="36">
        <f t="shared" si="274"/>
        <v>0</v>
      </c>
      <c r="AO147" s="183">
        <v>0</v>
      </c>
      <c r="AP147" s="184">
        <v>0</v>
      </c>
      <c r="AQ147" s="184">
        <v>0</v>
      </c>
      <c r="AR147" s="28">
        <f t="shared" si="326"/>
        <v>0</v>
      </c>
      <c r="AS147" s="28">
        <f t="shared" si="327"/>
        <v>0</v>
      </c>
      <c r="AT147" s="28">
        <f t="shared" si="328"/>
        <v>0</v>
      </c>
      <c r="AU147" s="28">
        <f t="shared" ref="AU147:AU154" si="334">IF(AS147&gt;0,ROUND(AN147/$AN$1*AU$3,0),0)</f>
        <v>0</v>
      </c>
      <c r="AV147" s="147">
        <f t="shared" si="329"/>
        <v>0</v>
      </c>
      <c r="AW147" s="147">
        <f t="shared" si="330"/>
        <v>0</v>
      </c>
      <c r="AX147" s="148">
        <f t="shared" si="331"/>
        <v>0</v>
      </c>
      <c r="AY147" s="167"/>
      <c r="AZ147" s="167"/>
      <c r="BB147" s="170">
        <f t="shared" si="324"/>
        <v>0</v>
      </c>
      <c r="BC147" s="202" t="e">
        <f>VLOOKUP(A147,ImportDataWA!A$14:AG$112,33,0)</f>
        <v>#N/A</v>
      </c>
    </row>
    <row r="148" spans="1:56" hidden="1" x14ac:dyDescent="0.25">
      <c r="A148" s="201" t="s">
        <v>204</v>
      </c>
      <c r="B148" s="32" t="str">
        <f>VLOOKUP($A148,MainData!$A$4:$E$1967,2,FALSE)</f>
        <v>Inactive</v>
      </c>
      <c r="C148" s="32" t="str">
        <f>VLOOKUP($A148,MainData!$A$4:$E$1967,3,FALSE)</f>
        <v>Inactive</v>
      </c>
      <c r="D148" s="32" t="str">
        <f>VLOOKUP($A148,MainData!$A$4:$E$1967,4,FALSE)</f>
        <v>Semawa</v>
      </c>
      <c r="E148" s="32" t="str">
        <f>VLOOKUP($A148,MainData!$A$4:$E$1967,5,FALSE)</f>
        <v>Inactive</v>
      </c>
      <c r="F148" s="11">
        <f>SUMIFS(MainData!G:G,MainData!$A:$A,$A148)</f>
        <v>0</v>
      </c>
      <c r="G148" s="11">
        <f t="shared" si="279"/>
        <v>0</v>
      </c>
      <c r="H148" s="53">
        <f t="shared" si="255"/>
        <v>0</v>
      </c>
      <c r="I148" s="10">
        <f>SUMIFS(MainData!F:F,MainData!$A:$A,$A148)</f>
        <v>0</v>
      </c>
      <c r="J148" s="10">
        <f t="shared" si="318"/>
        <v>0</v>
      </c>
      <c r="K148" s="53">
        <f t="shared" si="256"/>
        <v>0</v>
      </c>
      <c r="L148" s="11">
        <f>SUMIFS(MainData!K:K,MainData!$A:$A,$A148)</f>
        <v>0</v>
      </c>
      <c r="M148" s="11">
        <f t="shared" si="295"/>
        <v>0</v>
      </c>
      <c r="N148" s="53">
        <f t="shared" si="257"/>
        <v>0</v>
      </c>
      <c r="O148" s="256">
        <f>SUMIFS(MainData!J:J,MainData!$A:$A,$A148)</f>
        <v>0</v>
      </c>
      <c r="P148" s="10">
        <f>IF($B148=$B$4,0,IF($B148=$B$1,VLOOKUP(D148,Target_Entry!$A$8:$AF$23,5,0),IF(LO!B148=LO!$B$2,VLOOKUP(LO!D148,Target_Entry!$A$8:$AF$23,25,0),IF(LO!B148=LO!$B$3,VLOOKUP(LO!D148,Target_Entry!$A$8:$AF$23,15,0)))))</f>
        <v>0</v>
      </c>
      <c r="Q148" s="53">
        <f t="shared" si="258"/>
        <v>0</v>
      </c>
      <c r="R148" s="10">
        <f>SUMIFS(MainData!J:J,MainData!$A:$A,$A148)</f>
        <v>0</v>
      </c>
      <c r="S148" s="10">
        <f>SUMIFS(MainData!M:M,MainData!$A:$A,$A148)</f>
        <v>0</v>
      </c>
      <c r="T148" s="53">
        <f t="shared" si="259"/>
        <v>0</v>
      </c>
      <c r="U148" s="10">
        <f>SUMIFS(MainData!L:L,MainData!$A:$A,$A148)</f>
        <v>0</v>
      </c>
      <c r="V148" s="12">
        <f t="shared" si="260"/>
        <v>0</v>
      </c>
      <c r="W148" s="10">
        <f>SUMIFS(MainData!F:F,MainData!$A:$A,$A148)</f>
        <v>0</v>
      </c>
      <c r="X148" s="12">
        <f t="shared" si="261"/>
        <v>0</v>
      </c>
      <c r="Y148" s="11">
        <f>SUMIFS(MainData!H:H,MainData!$A:$A,$A148)</f>
        <v>0</v>
      </c>
      <c r="Z148" s="12">
        <f t="shared" si="262"/>
        <v>0</v>
      </c>
      <c r="AA148" s="11">
        <f>SUMIFS(MainData!I:I,MainData!$A:$A,$A148)</f>
        <v>0</v>
      </c>
      <c r="AB148" s="12">
        <f t="shared" si="263"/>
        <v>0</v>
      </c>
      <c r="AC148" s="182"/>
      <c r="AD148" s="18">
        <f t="shared" si="264"/>
        <v>0</v>
      </c>
      <c r="AE148" s="18">
        <f t="shared" si="265"/>
        <v>0</v>
      </c>
      <c r="AF148" s="18">
        <f t="shared" si="266"/>
        <v>0</v>
      </c>
      <c r="AG148" s="18">
        <f t="shared" si="267"/>
        <v>0</v>
      </c>
      <c r="AH148" s="18">
        <f t="shared" si="268"/>
        <v>15</v>
      </c>
      <c r="AI148" s="18">
        <f t="shared" si="269"/>
        <v>37.5</v>
      </c>
      <c r="AJ148" s="18">
        <f t="shared" si="270"/>
        <v>0</v>
      </c>
      <c r="AK148" s="18">
        <f t="shared" si="271"/>
        <v>0</v>
      </c>
      <c r="AL148" s="18">
        <f t="shared" si="272"/>
        <v>0</v>
      </c>
      <c r="AM148" s="36">
        <f t="shared" si="273"/>
        <v>53</v>
      </c>
      <c r="AN148" s="36">
        <f t="shared" si="274"/>
        <v>0</v>
      </c>
      <c r="AO148" s="183">
        <v>0</v>
      </c>
      <c r="AP148" s="184">
        <v>0</v>
      </c>
      <c r="AQ148" s="184">
        <v>0</v>
      </c>
      <c r="AR148" s="28">
        <f t="shared" si="326"/>
        <v>0</v>
      </c>
      <c r="AS148" s="28">
        <f t="shared" si="327"/>
        <v>0</v>
      </c>
      <c r="AT148" s="28">
        <f t="shared" si="328"/>
        <v>0</v>
      </c>
      <c r="AU148" s="28">
        <f t="shared" si="334"/>
        <v>0</v>
      </c>
      <c r="AV148" s="147">
        <f t="shared" si="329"/>
        <v>0</v>
      </c>
      <c r="AW148" s="147">
        <f t="shared" si="330"/>
        <v>0</v>
      </c>
      <c r="AX148" s="148">
        <f t="shared" si="331"/>
        <v>0</v>
      </c>
      <c r="AY148" s="167"/>
      <c r="AZ148" s="167"/>
      <c r="BB148" s="170">
        <f t="shared" si="324"/>
        <v>0</v>
      </c>
      <c r="BC148" s="202" t="e">
        <f>VLOOKUP(A148,ImportDataWA!A$14:AG$112,33,0)</f>
        <v>#N/A</v>
      </c>
    </row>
    <row r="149" spans="1:56" hidden="1" x14ac:dyDescent="0.25">
      <c r="A149" s="205" t="s">
        <v>206</v>
      </c>
      <c r="B149" s="32" t="str">
        <f>VLOOKUP($A149,MainData!$A$4:$E$1967,2,FALSE)</f>
        <v>Inactive</v>
      </c>
      <c r="C149" s="32" t="str">
        <f>VLOOKUP($A149,MainData!$A$4:$E$1967,3,FALSE)</f>
        <v>Inactive</v>
      </c>
      <c r="D149" s="32" t="str">
        <f>VLOOKUP($A149,MainData!$A$4:$E$1967,4,FALSE)</f>
        <v>Semawa</v>
      </c>
      <c r="E149" s="32" t="str">
        <f>VLOOKUP($A149,MainData!$A$4:$E$1967,5,FALSE)</f>
        <v>Inactive</v>
      </c>
      <c r="F149" s="11">
        <f>SUMIFS(MainData!G:G,MainData!$A:$A,$A149)</f>
        <v>0</v>
      </c>
      <c r="G149" s="11">
        <f t="shared" si="279"/>
        <v>0</v>
      </c>
      <c r="H149" s="53">
        <f t="shared" si="255"/>
        <v>0</v>
      </c>
      <c r="I149" s="10">
        <f>SUMIFS(MainData!F:F,MainData!$A:$A,$A149)</f>
        <v>0</v>
      </c>
      <c r="J149" s="10">
        <f t="shared" si="318"/>
        <v>0</v>
      </c>
      <c r="K149" s="53">
        <f t="shared" si="256"/>
        <v>0</v>
      </c>
      <c r="L149" s="11">
        <f>SUMIFS(MainData!K:K,MainData!$A:$A,$A149)</f>
        <v>0</v>
      </c>
      <c r="M149" s="11">
        <f t="shared" si="295"/>
        <v>0</v>
      </c>
      <c r="N149" s="53">
        <f t="shared" si="257"/>
        <v>0</v>
      </c>
      <c r="O149" s="256">
        <f>SUMIFS(MainData!J:J,MainData!$A:$A,$A149)</f>
        <v>0</v>
      </c>
      <c r="P149" s="10">
        <f>IF($B149=$B$4,0,IF($B149=$B$1,VLOOKUP(D149,Target_Entry!$A$8:$AF$23,5,0),IF(LO!B149=LO!$B$2,VLOOKUP(LO!D149,Target_Entry!$A$8:$AF$23,25,0),IF(LO!B149=LO!$B$3,VLOOKUP(LO!D149,Target_Entry!$A$8:$AF$23,15,0)))))</f>
        <v>0</v>
      </c>
      <c r="Q149" s="53">
        <f t="shared" si="258"/>
        <v>0</v>
      </c>
      <c r="R149" s="10">
        <f>SUMIFS(MainData!J:J,MainData!$A:$A,$A149)</f>
        <v>0</v>
      </c>
      <c r="S149" s="10">
        <f>SUMIFS(MainData!M:M,MainData!$A:$A,$A149)</f>
        <v>0</v>
      </c>
      <c r="T149" s="53">
        <f t="shared" si="259"/>
        <v>0</v>
      </c>
      <c r="U149" s="10">
        <f>SUMIFS(MainData!L:L,MainData!$A:$A,$A149)</f>
        <v>0</v>
      </c>
      <c r="V149" s="12">
        <f t="shared" si="260"/>
        <v>0</v>
      </c>
      <c r="W149" s="10">
        <f>SUMIFS(MainData!F:F,MainData!$A:$A,$A149)</f>
        <v>0</v>
      </c>
      <c r="X149" s="12">
        <f t="shared" si="261"/>
        <v>0</v>
      </c>
      <c r="Y149" s="11">
        <f>SUMIFS(MainData!H:H,MainData!$A:$A,$A149)</f>
        <v>0</v>
      </c>
      <c r="Z149" s="12">
        <f t="shared" si="262"/>
        <v>0</v>
      </c>
      <c r="AA149" s="11">
        <f>SUMIFS(MainData!I:I,MainData!$A:$A,$A149)</f>
        <v>0</v>
      </c>
      <c r="AB149" s="12">
        <f t="shared" si="263"/>
        <v>0</v>
      </c>
      <c r="AC149" s="182"/>
      <c r="AD149" s="18">
        <f t="shared" si="264"/>
        <v>0</v>
      </c>
      <c r="AE149" s="18">
        <f t="shared" si="265"/>
        <v>0</v>
      </c>
      <c r="AF149" s="18">
        <f t="shared" si="266"/>
        <v>0</v>
      </c>
      <c r="AG149" s="18">
        <f t="shared" si="267"/>
        <v>0</v>
      </c>
      <c r="AH149" s="18">
        <f t="shared" si="268"/>
        <v>15</v>
      </c>
      <c r="AI149" s="18">
        <f t="shared" si="269"/>
        <v>37.5</v>
      </c>
      <c r="AJ149" s="18">
        <f t="shared" si="270"/>
        <v>0</v>
      </c>
      <c r="AK149" s="18">
        <f t="shared" si="271"/>
        <v>0</v>
      </c>
      <c r="AL149" s="18">
        <f t="shared" si="272"/>
        <v>0</v>
      </c>
      <c r="AM149" s="36">
        <f t="shared" si="273"/>
        <v>53</v>
      </c>
      <c r="AN149" s="36">
        <f t="shared" si="274"/>
        <v>0</v>
      </c>
      <c r="AO149" s="183">
        <v>0</v>
      </c>
      <c r="AP149" s="184">
        <v>0</v>
      </c>
      <c r="AQ149" s="184">
        <v>0</v>
      </c>
      <c r="AR149" s="28">
        <f t="shared" si="326"/>
        <v>0</v>
      </c>
      <c r="AS149" s="28">
        <f t="shared" si="327"/>
        <v>0</v>
      </c>
      <c r="AT149" s="28">
        <f t="shared" si="328"/>
        <v>0</v>
      </c>
      <c r="AU149" s="28">
        <f t="shared" si="334"/>
        <v>0</v>
      </c>
      <c r="AV149" s="147">
        <f t="shared" si="329"/>
        <v>0</v>
      </c>
      <c r="AW149" s="147">
        <f t="shared" si="330"/>
        <v>0</v>
      </c>
      <c r="AX149" s="148">
        <f t="shared" si="331"/>
        <v>0</v>
      </c>
      <c r="AY149" s="167"/>
      <c r="AZ149" s="167"/>
      <c r="BB149" s="170">
        <f t="shared" si="324"/>
        <v>0</v>
      </c>
      <c r="BC149" s="202" t="e">
        <f>VLOOKUP(A149,ImportDataWA!A$14:AG$112,33,0)</f>
        <v>#N/A</v>
      </c>
    </row>
    <row r="150" spans="1:56" hidden="1" x14ac:dyDescent="0.25">
      <c r="A150" s="199" t="s">
        <v>207</v>
      </c>
      <c r="B150" s="32" t="str">
        <f>VLOOKUP($A150,MainData!$A$4:$E$1967,2,FALSE)</f>
        <v>Inactive</v>
      </c>
      <c r="C150" s="32" t="str">
        <f>VLOOKUP($A150,MainData!$A$4:$E$1967,3,FALSE)</f>
        <v>Inactive</v>
      </c>
      <c r="D150" s="32" t="str">
        <f>VLOOKUP($A150,MainData!$A$4:$E$1967,4,FALSE)</f>
        <v>Semawa</v>
      </c>
      <c r="E150" s="32" t="str">
        <f>VLOOKUP($A150,MainData!$A$4:$E$1967,5,FALSE)</f>
        <v>Inactive</v>
      </c>
      <c r="F150" s="11">
        <f>SUMIFS(MainData!G:G,MainData!$A:$A,$A150)</f>
        <v>0</v>
      </c>
      <c r="G150" s="11">
        <f t="shared" si="279"/>
        <v>0</v>
      </c>
      <c r="H150" s="53">
        <f t="shared" si="255"/>
        <v>0</v>
      </c>
      <c r="I150" s="10">
        <f>SUMIFS(MainData!F:F,MainData!$A:$A,$A150)</f>
        <v>0</v>
      </c>
      <c r="J150" s="10">
        <f t="shared" si="318"/>
        <v>0</v>
      </c>
      <c r="K150" s="53">
        <f t="shared" si="256"/>
        <v>0</v>
      </c>
      <c r="L150" s="11">
        <f>SUMIFS(MainData!K:K,MainData!$A:$A,$A150)</f>
        <v>0</v>
      </c>
      <c r="M150" s="11">
        <f t="shared" si="295"/>
        <v>0</v>
      </c>
      <c r="N150" s="53">
        <f t="shared" si="257"/>
        <v>0</v>
      </c>
      <c r="O150" s="256">
        <f>SUMIFS(MainData!J:J,MainData!$A:$A,$A150)</f>
        <v>0</v>
      </c>
      <c r="P150" s="10">
        <f>IF($B150=$B$4,0,IF($B150=$B$1,VLOOKUP(D150,Target_Entry!$A$8:$AF$23,5,0),IF(LO!B150=LO!$B$2,VLOOKUP(LO!D150,Target_Entry!$A$8:$AF$23,25,0),IF(LO!B150=LO!$B$3,VLOOKUP(LO!D150,Target_Entry!$A$8:$AF$23,15,0)))))</f>
        <v>0</v>
      </c>
      <c r="Q150" s="53">
        <f t="shared" si="258"/>
        <v>0</v>
      </c>
      <c r="R150" s="10">
        <f>SUMIFS(MainData!J:J,MainData!$A:$A,$A150)</f>
        <v>0</v>
      </c>
      <c r="S150" s="10">
        <f>SUMIFS(MainData!M:M,MainData!$A:$A,$A150)</f>
        <v>0</v>
      </c>
      <c r="T150" s="53">
        <f t="shared" si="259"/>
        <v>0</v>
      </c>
      <c r="U150" s="10">
        <f>SUMIFS(MainData!L:L,MainData!$A:$A,$A150)</f>
        <v>0</v>
      </c>
      <c r="V150" s="12">
        <f t="shared" si="260"/>
        <v>0</v>
      </c>
      <c r="W150" s="10">
        <f>SUMIFS(MainData!F:F,MainData!$A:$A,$A150)</f>
        <v>0</v>
      </c>
      <c r="X150" s="12">
        <f t="shared" si="261"/>
        <v>0</v>
      </c>
      <c r="Y150" s="11">
        <f>SUMIFS(MainData!H:H,MainData!$A:$A,$A150)</f>
        <v>0</v>
      </c>
      <c r="Z150" s="12">
        <f t="shared" si="262"/>
        <v>0</v>
      </c>
      <c r="AA150" s="11">
        <f>SUMIFS(MainData!I:I,MainData!$A:$A,$A150)</f>
        <v>0</v>
      </c>
      <c r="AB150" s="12">
        <f t="shared" si="263"/>
        <v>0</v>
      </c>
      <c r="AC150" s="182"/>
      <c r="AD150" s="18">
        <f t="shared" si="264"/>
        <v>0</v>
      </c>
      <c r="AE150" s="18">
        <f t="shared" si="265"/>
        <v>0</v>
      </c>
      <c r="AF150" s="18">
        <f t="shared" si="266"/>
        <v>0</v>
      </c>
      <c r="AG150" s="18">
        <f t="shared" si="267"/>
        <v>0</v>
      </c>
      <c r="AH150" s="18">
        <f t="shared" si="268"/>
        <v>15</v>
      </c>
      <c r="AI150" s="18">
        <f t="shared" si="269"/>
        <v>37.5</v>
      </c>
      <c r="AJ150" s="18">
        <f t="shared" si="270"/>
        <v>0</v>
      </c>
      <c r="AK150" s="18">
        <f t="shared" si="271"/>
        <v>0</v>
      </c>
      <c r="AL150" s="18">
        <f t="shared" si="272"/>
        <v>0</v>
      </c>
      <c r="AM150" s="36">
        <f t="shared" si="273"/>
        <v>53</v>
      </c>
      <c r="AN150" s="36">
        <f t="shared" si="274"/>
        <v>0</v>
      </c>
      <c r="AO150" s="183">
        <v>0</v>
      </c>
      <c r="AP150" s="184">
        <v>0</v>
      </c>
      <c r="AQ150" s="184">
        <v>0</v>
      </c>
      <c r="AR150" s="28">
        <f t="shared" si="326"/>
        <v>0</v>
      </c>
      <c r="AS150" s="28">
        <f t="shared" si="327"/>
        <v>0</v>
      </c>
      <c r="AT150" s="28">
        <f t="shared" si="328"/>
        <v>0</v>
      </c>
      <c r="AU150" s="28">
        <f t="shared" si="334"/>
        <v>0</v>
      </c>
      <c r="AV150" s="147">
        <f t="shared" si="329"/>
        <v>0</v>
      </c>
      <c r="AW150" s="147">
        <f t="shared" si="330"/>
        <v>0</v>
      </c>
      <c r="AX150" s="148">
        <f t="shared" si="331"/>
        <v>0</v>
      </c>
      <c r="AY150" s="167"/>
      <c r="AZ150" s="167"/>
      <c r="BB150" s="170">
        <f t="shared" si="324"/>
        <v>0</v>
      </c>
      <c r="BC150" s="202" t="e">
        <f>VLOOKUP(A150,ImportDataWA!A$14:AG$112,33,0)</f>
        <v>#N/A</v>
      </c>
    </row>
    <row r="151" spans="1:56" hidden="1" x14ac:dyDescent="0.25">
      <c r="A151" s="199" t="s">
        <v>208</v>
      </c>
      <c r="B151" s="32" t="str">
        <f>VLOOKUP($A151,MainData!$A$4:$E$1967,2,FALSE)</f>
        <v>Inactive</v>
      </c>
      <c r="C151" s="32" t="str">
        <f>VLOOKUP($A151,MainData!$A$4:$E$1967,3,FALSE)</f>
        <v>Inactive</v>
      </c>
      <c r="D151" s="32" t="str">
        <f>VLOOKUP($A151,MainData!$A$4:$E$1967,4,FALSE)</f>
        <v>Semawa</v>
      </c>
      <c r="E151" s="32" t="str">
        <f>VLOOKUP($A151,MainData!$A$4:$E$1967,5,FALSE)</f>
        <v>Inactive</v>
      </c>
      <c r="F151" s="11">
        <f>SUMIFS(MainData!G:G,MainData!$A:$A,$A151)</f>
        <v>0</v>
      </c>
      <c r="G151" s="11">
        <f t="shared" si="279"/>
        <v>0</v>
      </c>
      <c r="H151" s="53">
        <f t="shared" si="255"/>
        <v>0</v>
      </c>
      <c r="I151" s="10">
        <f>SUMIFS(MainData!F:F,MainData!$A:$A,$A151)</f>
        <v>0</v>
      </c>
      <c r="J151" s="10">
        <f t="shared" si="318"/>
        <v>0</v>
      </c>
      <c r="K151" s="53">
        <f t="shared" si="256"/>
        <v>0</v>
      </c>
      <c r="L151" s="11">
        <f>SUMIFS(MainData!K:K,MainData!$A:$A,$A151)</f>
        <v>0</v>
      </c>
      <c r="M151" s="11">
        <f t="shared" si="295"/>
        <v>0</v>
      </c>
      <c r="N151" s="53">
        <f t="shared" si="257"/>
        <v>0</v>
      </c>
      <c r="O151" s="256">
        <f>SUMIFS(MainData!J:J,MainData!$A:$A,$A151)</f>
        <v>0</v>
      </c>
      <c r="P151" s="10">
        <f>IF($B151=$B$4,0,IF($B151=$B$1,VLOOKUP(D151,Target_Entry!$A$8:$AF$23,5,0),IF(LO!B151=LO!$B$2,VLOOKUP(LO!D151,Target_Entry!$A$8:$AF$23,25,0),IF(LO!B151=LO!$B$3,VLOOKUP(LO!D151,Target_Entry!$A$8:$AF$23,15,0)))))</f>
        <v>0</v>
      </c>
      <c r="Q151" s="53">
        <f t="shared" si="258"/>
        <v>0</v>
      </c>
      <c r="R151" s="10">
        <f>SUMIFS(MainData!J:J,MainData!$A:$A,$A151)</f>
        <v>0</v>
      </c>
      <c r="S151" s="10">
        <f>SUMIFS(MainData!M:M,MainData!$A:$A,$A151)</f>
        <v>0</v>
      </c>
      <c r="T151" s="53">
        <f t="shared" si="259"/>
        <v>0</v>
      </c>
      <c r="U151" s="10">
        <f>SUMIFS(MainData!L:L,MainData!$A:$A,$A151)</f>
        <v>0</v>
      </c>
      <c r="V151" s="12">
        <f t="shared" si="260"/>
        <v>0</v>
      </c>
      <c r="W151" s="10">
        <f>SUMIFS(MainData!F:F,MainData!$A:$A,$A151)</f>
        <v>0</v>
      </c>
      <c r="X151" s="12">
        <f t="shared" si="261"/>
        <v>0</v>
      </c>
      <c r="Y151" s="11">
        <f>SUMIFS(MainData!H:H,MainData!$A:$A,$A151)</f>
        <v>0</v>
      </c>
      <c r="Z151" s="12">
        <f t="shared" si="262"/>
        <v>0</v>
      </c>
      <c r="AA151" s="11">
        <f>SUMIFS(MainData!I:I,MainData!$A:$A,$A151)</f>
        <v>0</v>
      </c>
      <c r="AB151" s="12">
        <f t="shared" si="263"/>
        <v>0</v>
      </c>
      <c r="AC151" s="182"/>
      <c r="AD151" s="18">
        <f t="shared" si="264"/>
        <v>0</v>
      </c>
      <c r="AE151" s="18">
        <f t="shared" si="265"/>
        <v>0</v>
      </c>
      <c r="AF151" s="18">
        <f t="shared" si="266"/>
        <v>0</v>
      </c>
      <c r="AG151" s="18">
        <f t="shared" si="267"/>
        <v>0</v>
      </c>
      <c r="AH151" s="18">
        <f t="shared" si="268"/>
        <v>15</v>
      </c>
      <c r="AI151" s="18">
        <f t="shared" si="269"/>
        <v>37.5</v>
      </c>
      <c r="AJ151" s="18">
        <f t="shared" si="270"/>
        <v>0</v>
      </c>
      <c r="AK151" s="18">
        <f t="shared" si="271"/>
        <v>0</v>
      </c>
      <c r="AL151" s="18">
        <f t="shared" si="272"/>
        <v>0</v>
      </c>
      <c r="AM151" s="36">
        <f t="shared" si="273"/>
        <v>53</v>
      </c>
      <c r="AN151" s="36">
        <f t="shared" si="274"/>
        <v>0</v>
      </c>
      <c r="AO151" s="183">
        <v>0</v>
      </c>
      <c r="AP151" s="184">
        <v>0</v>
      </c>
      <c r="AQ151" s="184">
        <v>0</v>
      </c>
      <c r="AR151" s="28">
        <f t="shared" si="326"/>
        <v>0</v>
      </c>
      <c r="AS151" s="28">
        <f t="shared" si="327"/>
        <v>0</v>
      </c>
      <c r="AT151" s="28">
        <f t="shared" si="328"/>
        <v>0</v>
      </c>
      <c r="AU151" s="28">
        <f t="shared" si="334"/>
        <v>0</v>
      </c>
      <c r="AV151" s="147">
        <f t="shared" si="329"/>
        <v>0</v>
      </c>
      <c r="AW151" s="147">
        <f t="shared" si="330"/>
        <v>0</v>
      </c>
      <c r="AX151" s="148">
        <f t="shared" si="331"/>
        <v>0</v>
      </c>
      <c r="AY151" s="167"/>
      <c r="AZ151" s="167"/>
      <c r="BB151" s="170">
        <f t="shared" si="324"/>
        <v>0</v>
      </c>
      <c r="BC151" s="202" t="e">
        <f>VLOOKUP(A151,ImportDataWA!A$14:AG$112,33,0)</f>
        <v>#N/A</v>
      </c>
    </row>
    <row r="152" spans="1:56" hidden="1" x14ac:dyDescent="0.25">
      <c r="A152" s="199" t="s">
        <v>183</v>
      </c>
      <c r="B152" s="32" t="str">
        <f>VLOOKUP($A152,MainData!$A$4:$E$1967,2,FALSE)</f>
        <v>Inactive</v>
      </c>
      <c r="C152" s="32" t="str">
        <f>VLOOKUP($A152,MainData!$A$4:$E$1967,3,FALSE)</f>
        <v>Inactive</v>
      </c>
      <c r="D152" s="32" t="str">
        <f>VLOOKUP($A152,MainData!$A$4:$E$1967,4,FALSE)</f>
        <v>Semawa</v>
      </c>
      <c r="E152" s="32" t="str">
        <f>VLOOKUP($A152,MainData!$A$4:$E$1967,5,FALSE)</f>
        <v>Inactive</v>
      </c>
      <c r="F152" s="11">
        <f>SUMIFS(MainData!G:G,MainData!$A:$A,$A152)</f>
        <v>0</v>
      </c>
      <c r="G152" s="11">
        <f t="shared" si="279"/>
        <v>0</v>
      </c>
      <c r="H152" s="53">
        <f t="shared" si="255"/>
        <v>0</v>
      </c>
      <c r="I152" s="10">
        <f>SUMIFS(MainData!F:F,MainData!$A:$A,$A152)</f>
        <v>0</v>
      </c>
      <c r="J152" s="10">
        <f t="shared" si="318"/>
        <v>0</v>
      </c>
      <c r="K152" s="53">
        <f t="shared" si="256"/>
        <v>0</v>
      </c>
      <c r="L152" s="11">
        <f>SUMIFS(MainData!K:K,MainData!$A:$A,$A152)</f>
        <v>0</v>
      </c>
      <c r="M152" s="11">
        <f t="shared" si="295"/>
        <v>0</v>
      </c>
      <c r="N152" s="53">
        <f t="shared" si="257"/>
        <v>0</v>
      </c>
      <c r="O152" s="256">
        <f>SUMIFS(MainData!J:J,MainData!$A:$A,$A152)</f>
        <v>0</v>
      </c>
      <c r="P152" s="10">
        <f>IF($B152=$B$4,0,IF($B152=$B$1,VLOOKUP(D152,Target_Entry!$A$8:$AF$23,5,0),IF(LO!B152=LO!$B$2,VLOOKUP(LO!D152,Target_Entry!$A$8:$AF$23,25,0),IF(LO!B152=LO!$B$3,VLOOKUP(LO!D152,Target_Entry!$A$8:$AF$23,15,0)))))</f>
        <v>0</v>
      </c>
      <c r="Q152" s="53">
        <f t="shared" si="258"/>
        <v>0</v>
      </c>
      <c r="R152" s="10">
        <f>SUMIFS(MainData!J:J,MainData!$A:$A,$A152)</f>
        <v>0</v>
      </c>
      <c r="S152" s="10">
        <f>SUMIFS(MainData!M:M,MainData!$A:$A,$A152)</f>
        <v>0</v>
      </c>
      <c r="T152" s="53">
        <f t="shared" si="259"/>
        <v>0</v>
      </c>
      <c r="U152" s="10">
        <f>SUMIFS(MainData!L:L,MainData!$A:$A,$A152)</f>
        <v>0</v>
      </c>
      <c r="V152" s="12">
        <f t="shared" si="260"/>
        <v>0</v>
      </c>
      <c r="W152" s="10">
        <f>SUMIFS(MainData!F:F,MainData!$A:$A,$A152)</f>
        <v>0</v>
      </c>
      <c r="X152" s="12">
        <f t="shared" si="261"/>
        <v>0</v>
      </c>
      <c r="Y152" s="11">
        <f>SUMIFS(MainData!H:H,MainData!$A:$A,$A152)</f>
        <v>0</v>
      </c>
      <c r="Z152" s="12">
        <f t="shared" si="262"/>
        <v>0</v>
      </c>
      <c r="AA152" s="11">
        <f>SUMIFS(MainData!I:I,MainData!$A:$A,$A152)</f>
        <v>0</v>
      </c>
      <c r="AB152" s="12">
        <f t="shared" si="263"/>
        <v>0</v>
      </c>
      <c r="AC152" s="182"/>
      <c r="AD152" s="18">
        <f t="shared" si="264"/>
        <v>0</v>
      </c>
      <c r="AE152" s="18">
        <f t="shared" si="265"/>
        <v>0</v>
      </c>
      <c r="AF152" s="18">
        <f t="shared" si="266"/>
        <v>0</v>
      </c>
      <c r="AG152" s="18">
        <f t="shared" si="267"/>
        <v>0</v>
      </c>
      <c r="AH152" s="18">
        <f t="shared" si="268"/>
        <v>15</v>
      </c>
      <c r="AI152" s="18">
        <f t="shared" si="269"/>
        <v>37.5</v>
      </c>
      <c r="AJ152" s="18">
        <f t="shared" si="270"/>
        <v>0</v>
      </c>
      <c r="AK152" s="18">
        <f t="shared" si="271"/>
        <v>0</v>
      </c>
      <c r="AL152" s="18">
        <f t="shared" si="272"/>
        <v>0</v>
      </c>
      <c r="AM152" s="36">
        <f t="shared" si="273"/>
        <v>53</v>
      </c>
      <c r="AN152" s="36">
        <f t="shared" si="274"/>
        <v>0</v>
      </c>
      <c r="AO152" s="183">
        <v>0</v>
      </c>
      <c r="AP152" s="184">
        <v>0</v>
      </c>
      <c r="AQ152" s="184">
        <v>0</v>
      </c>
      <c r="AR152" s="28">
        <f t="shared" si="326"/>
        <v>0</v>
      </c>
      <c r="AS152" s="28">
        <f t="shared" si="327"/>
        <v>0</v>
      </c>
      <c r="AT152" s="28">
        <f t="shared" si="328"/>
        <v>0</v>
      </c>
      <c r="AU152" s="28">
        <f t="shared" si="334"/>
        <v>0</v>
      </c>
      <c r="AV152" s="147">
        <f t="shared" si="329"/>
        <v>0</v>
      </c>
      <c r="AW152" s="147">
        <f t="shared" si="330"/>
        <v>0</v>
      </c>
      <c r="AX152" s="148">
        <f t="shared" si="331"/>
        <v>0</v>
      </c>
      <c r="AY152" s="167"/>
      <c r="AZ152" s="167"/>
      <c r="BB152" s="170">
        <f t="shared" si="324"/>
        <v>0</v>
      </c>
      <c r="BC152" s="202" t="e">
        <f>VLOOKUP(A152,ImportDataWA!A$14:AG$112,33,0)</f>
        <v>#N/A</v>
      </c>
    </row>
    <row r="153" spans="1:56" hidden="1" x14ac:dyDescent="0.25">
      <c r="A153" s="205" t="s">
        <v>184</v>
      </c>
      <c r="B153" s="32" t="str">
        <f>VLOOKUP($A153,MainData!$A$4:$E$1967,2,FALSE)</f>
        <v>Inactive</v>
      </c>
      <c r="C153" s="32" t="str">
        <f>VLOOKUP($A153,MainData!$A$4:$E$1967,3,FALSE)</f>
        <v>Inactive</v>
      </c>
      <c r="D153" s="32" t="str">
        <f>VLOOKUP($A153,MainData!$A$4:$E$1967,4,FALSE)</f>
        <v>Semawa</v>
      </c>
      <c r="E153" s="32" t="str">
        <f>VLOOKUP($A153,MainData!$A$4:$E$1967,5,FALSE)</f>
        <v>Inactive</v>
      </c>
      <c r="F153" s="11">
        <f>SUMIFS(MainData!G:G,MainData!$A:$A,$A153)</f>
        <v>0</v>
      </c>
      <c r="G153" s="11">
        <f t="shared" si="279"/>
        <v>0</v>
      </c>
      <c r="H153" s="53">
        <f t="shared" si="255"/>
        <v>0</v>
      </c>
      <c r="I153" s="10">
        <f>SUMIFS(MainData!F:F,MainData!$A:$A,$A153)</f>
        <v>0</v>
      </c>
      <c r="J153" s="10">
        <f t="shared" si="318"/>
        <v>0</v>
      </c>
      <c r="K153" s="53">
        <f t="shared" si="256"/>
        <v>0</v>
      </c>
      <c r="L153" s="11">
        <f>SUMIFS(MainData!K:K,MainData!$A:$A,$A153)</f>
        <v>0</v>
      </c>
      <c r="M153" s="11">
        <f t="shared" si="295"/>
        <v>0</v>
      </c>
      <c r="N153" s="53">
        <f t="shared" si="257"/>
        <v>0</v>
      </c>
      <c r="O153" s="256">
        <f>SUMIFS(MainData!J:J,MainData!$A:$A,$A153)</f>
        <v>0</v>
      </c>
      <c r="P153" s="10">
        <f>IF($B153=$B$4,0,IF($B153=$B$1,VLOOKUP(D153,Target_Entry!$A$8:$AF$23,5,0),IF(LO!B153=LO!$B$2,VLOOKUP(LO!D153,Target_Entry!$A$8:$AF$23,25,0),IF(LO!B153=LO!$B$3,VLOOKUP(LO!D153,Target_Entry!$A$8:$AF$23,15,0)))))</f>
        <v>0</v>
      </c>
      <c r="Q153" s="53">
        <f t="shared" si="258"/>
        <v>0</v>
      </c>
      <c r="R153" s="10">
        <f>SUMIFS(MainData!J:J,MainData!$A:$A,$A153)</f>
        <v>0</v>
      </c>
      <c r="S153" s="10">
        <f>SUMIFS(MainData!M:M,MainData!$A:$A,$A153)</f>
        <v>0</v>
      </c>
      <c r="T153" s="53">
        <f t="shared" si="259"/>
        <v>0</v>
      </c>
      <c r="U153" s="10">
        <f>SUMIFS(MainData!L:L,MainData!$A:$A,$A153)</f>
        <v>0</v>
      </c>
      <c r="V153" s="12">
        <f t="shared" si="260"/>
        <v>0</v>
      </c>
      <c r="W153" s="10">
        <f>SUMIFS(MainData!F:F,MainData!$A:$A,$A153)</f>
        <v>0</v>
      </c>
      <c r="X153" s="12">
        <f t="shared" si="261"/>
        <v>0</v>
      </c>
      <c r="Y153" s="11">
        <f>SUMIFS(MainData!H:H,MainData!$A:$A,$A153)</f>
        <v>0</v>
      </c>
      <c r="Z153" s="12">
        <f t="shared" si="262"/>
        <v>0</v>
      </c>
      <c r="AA153" s="11">
        <f>SUMIFS(MainData!I:I,MainData!$A:$A,$A153)</f>
        <v>0</v>
      </c>
      <c r="AB153" s="12">
        <f t="shared" si="263"/>
        <v>0</v>
      </c>
      <c r="AC153" s="182"/>
      <c r="AD153" s="18">
        <f t="shared" si="264"/>
        <v>0</v>
      </c>
      <c r="AE153" s="18">
        <f t="shared" si="265"/>
        <v>0</v>
      </c>
      <c r="AF153" s="18">
        <f t="shared" si="266"/>
        <v>0</v>
      </c>
      <c r="AG153" s="18">
        <f t="shared" si="267"/>
        <v>0</v>
      </c>
      <c r="AH153" s="18">
        <f t="shared" si="268"/>
        <v>15</v>
      </c>
      <c r="AI153" s="18">
        <f t="shared" si="269"/>
        <v>37.5</v>
      </c>
      <c r="AJ153" s="18">
        <f t="shared" si="270"/>
        <v>0</v>
      </c>
      <c r="AK153" s="18">
        <f t="shared" si="271"/>
        <v>0</v>
      </c>
      <c r="AL153" s="18">
        <f t="shared" si="272"/>
        <v>0</v>
      </c>
      <c r="AM153" s="36">
        <f t="shared" si="273"/>
        <v>53</v>
      </c>
      <c r="AN153" s="36">
        <f t="shared" si="274"/>
        <v>0</v>
      </c>
      <c r="AO153" s="183">
        <v>0</v>
      </c>
      <c r="AP153" s="184">
        <v>0</v>
      </c>
      <c r="AQ153" s="184">
        <v>0</v>
      </c>
      <c r="AR153" s="28">
        <f t="shared" si="326"/>
        <v>0</v>
      </c>
      <c r="AS153" s="28">
        <f t="shared" si="327"/>
        <v>0</v>
      </c>
      <c r="AT153" s="28">
        <f t="shared" si="328"/>
        <v>0</v>
      </c>
      <c r="AU153" s="28">
        <f t="shared" si="334"/>
        <v>0</v>
      </c>
      <c r="AV153" s="147">
        <f t="shared" si="329"/>
        <v>0</v>
      </c>
      <c r="AW153" s="147">
        <f t="shared" si="330"/>
        <v>0</v>
      </c>
      <c r="AX153" s="148">
        <f t="shared" si="331"/>
        <v>0</v>
      </c>
      <c r="AY153" s="167"/>
      <c r="AZ153" s="167"/>
      <c r="BB153" s="170">
        <f t="shared" si="324"/>
        <v>0</v>
      </c>
      <c r="BC153" s="202" t="e">
        <f>VLOOKUP(A153,ImportDataWA!A$14:AG$112,33,0)</f>
        <v>#N/A</v>
      </c>
    </row>
    <row r="154" spans="1:56" hidden="1" x14ac:dyDescent="0.25">
      <c r="A154" s="205" t="s">
        <v>209</v>
      </c>
      <c r="B154" s="32" t="str">
        <f>VLOOKUP($A154,MainData!$A$4:$E$1967,2,FALSE)</f>
        <v>Inactive</v>
      </c>
      <c r="C154" s="32" t="str">
        <f>VLOOKUP($A154,MainData!$A$4:$E$1967,3,FALSE)</f>
        <v>Inactive</v>
      </c>
      <c r="D154" s="32" t="str">
        <f>VLOOKUP($A154,MainData!$A$4:$E$1967,4,FALSE)</f>
        <v>Semawa</v>
      </c>
      <c r="E154" s="32" t="str">
        <f>VLOOKUP($A154,MainData!$A$4:$E$1967,5,FALSE)</f>
        <v>Inactive</v>
      </c>
      <c r="F154" s="11">
        <f>SUMIFS(MainData!G:G,MainData!$A:$A,$A154)</f>
        <v>0</v>
      </c>
      <c r="G154" s="11">
        <f t="shared" si="279"/>
        <v>0</v>
      </c>
      <c r="H154" s="53">
        <f t="shared" si="255"/>
        <v>0</v>
      </c>
      <c r="I154" s="10">
        <f>SUMIFS(MainData!F:F,MainData!$A:$A,$A154)</f>
        <v>0</v>
      </c>
      <c r="J154" s="10">
        <f t="shared" si="318"/>
        <v>0</v>
      </c>
      <c r="K154" s="53">
        <f t="shared" si="256"/>
        <v>0</v>
      </c>
      <c r="L154" s="11">
        <f>SUMIFS(MainData!K:K,MainData!$A:$A,$A154)</f>
        <v>0</v>
      </c>
      <c r="M154" s="11">
        <f t="shared" si="295"/>
        <v>0</v>
      </c>
      <c r="N154" s="53">
        <f t="shared" si="257"/>
        <v>0</v>
      </c>
      <c r="O154" s="256">
        <f>SUMIFS(MainData!J:J,MainData!$A:$A,$A154)</f>
        <v>0</v>
      </c>
      <c r="P154" s="10">
        <f>IF($B154=$B$4,0,IF($B154=$B$1,VLOOKUP(D154,Target_Entry!$A$8:$AF$23,5,0),IF(LO!B154=LO!$B$2,VLOOKUP(LO!D154,Target_Entry!$A$8:$AF$23,25,0),IF(LO!B154=LO!$B$3,VLOOKUP(LO!D154,Target_Entry!$A$8:$AF$23,15,0)))))</f>
        <v>0</v>
      </c>
      <c r="Q154" s="53">
        <f t="shared" si="258"/>
        <v>0</v>
      </c>
      <c r="R154" s="10">
        <f>SUMIFS(MainData!J:J,MainData!$A:$A,$A154)</f>
        <v>0</v>
      </c>
      <c r="S154" s="10">
        <f>SUMIFS(MainData!M:M,MainData!$A:$A,$A154)</f>
        <v>0</v>
      </c>
      <c r="T154" s="53">
        <f t="shared" si="259"/>
        <v>0</v>
      </c>
      <c r="U154" s="10">
        <f>SUMIFS(MainData!L:L,MainData!$A:$A,$A154)</f>
        <v>0</v>
      </c>
      <c r="V154" s="12">
        <f t="shared" si="260"/>
        <v>0</v>
      </c>
      <c r="W154" s="10">
        <f>SUMIFS(MainData!F:F,MainData!$A:$A,$A154)</f>
        <v>0</v>
      </c>
      <c r="X154" s="12">
        <f t="shared" si="261"/>
        <v>0</v>
      </c>
      <c r="Y154" s="11">
        <f>SUMIFS(MainData!H:H,MainData!$A:$A,$A154)</f>
        <v>0</v>
      </c>
      <c r="Z154" s="12">
        <f t="shared" si="262"/>
        <v>0</v>
      </c>
      <c r="AA154" s="11">
        <f>SUMIFS(MainData!I:I,MainData!$A:$A,$A154)</f>
        <v>0</v>
      </c>
      <c r="AB154" s="12">
        <f t="shared" si="263"/>
        <v>0</v>
      </c>
      <c r="AC154" s="182"/>
      <c r="AD154" s="18">
        <f t="shared" si="264"/>
        <v>0</v>
      </c>
      <c r="AE154" s="18">
        <f t="shared" si="265"/>
        <v>0</v>
      </c>
      <c r="AF154" s="18">
        <f t="shared" si="266"/>
        <v>0</v>
      </c>
      <c r="AG154" s="18">
        <f t="shared" si="267"/>
        <v>0</v>
      </c>
      <c r="AH154" s="18">
        <f t="shared" si="268"/>
        <v>15</v>
      </c>
      <c r="AI154" s="18">
        <f t="shared" si="269"/>
        <v>37.5</v>
      </c>
      <c r="AJ154" s="18">
        <f t="shared" si="270"/>
        <v>0</v>
      </c>
      <c r="AK154" s="18">
        <f t="shared" si="271"/>
        <v>0</v>
      </c>
      <c r="AL154" s="18">
        <f t="shared" si="272"/>
        <v>0</v>
      </c>
      <c r="AM154" s="36">
        <f t="shared" si="273"/>
        <v>53</v>
      </c>
      <c r="AN154" s="36">
        <f t="shared" si="274"/>
        <v>0</v>
      </c>
      <c r="AO154" s="183">
        <v>0</v>
      </c>
      <c r="AP154" s="184">
        <v>0</v>
      </c>
      <c r="AQ154" s="184">
        <v>0</v>
      </c>
      <c r="AR154" s="28">
        <f t="shared" si="326"/>
        <v>0</v>
      </c>
      <c r="AS154" s="28">
        <f t="shared" si="327"/>
        <v>0</v>
      </c>
      <c r="AT154" s="28">
        <f t="shared" si="328"/>
        <v>0</v>
      </c>
      <c r="AU154" s="28">
        <f t="shared" si="334"/>
        <v>0</v>
      </c>
      <c r="AV154" s="147">
        <f t="shared" si="329"/>
        <v>0</v>
      </c>
      <c r="AW154" s="147">
        <f t="shared" si="330"/>
        <v>0</v>
      </c>
      <c r="AX154" s="148">
        <f t="shared" si="331"/>
        <v>0</v>
      </c>
      <c r="AY154" s="167"/>
      <c r="AZ154" s="167"/>
      <c r="BB154" s="170">
        <f t="shared" si="324"/>
        <v>0</v>
      </c>
      <c r="BC154" s="202" t="e">
        <f>VLOOKUP(A154,ImportDataWA!A$14:AG$112,33,0)</f>
        <v>#N/A</v>
      </c>
    </row>
    <row r="155" spans="1:56" hidden="1" x14ac:dyDescent="0.25">
      <c r="A155" s="197" t="s">
        <v>426</v>
      </c>
      <c r="B155" s="9" t="str">
        <f>VLOOKUP($A155,MainData!$A$4:$E$1967,2,FALSE)</f>
        <v>Micro</v>
      </c>
      <c r="C155" s="9" t="str">
        <f>VLOOKUP($A155,MainData!$A$4:$E$1967,3,FALSE)</f>
        <v>Azad Kareem Muhamed</v>
      </c>
      <c r="D155" s="9" t="str">
        <f>VLOOKUP($A155,MainData!$A$4:$E$1967,4,FALSE)</f>
        <v>Sulymaniya</v>
      </c>
      <c r="E155" s="9" t="str">
        <f>VLOOKUP($A155,MainData!$A$4:$E$1967,5,FALSE)</f>
        <v>Inactive</v>
      </c>
      <c r="F155" s="11">
        <f>SUMIFS(MainData!G:G,MainData!$A:$A,$A155)</f>
        <v>150108.14393939395</v>
      </c>
      <c r="G155" s="11">
        <f t="shared" si="279"/>
        <v>333333.33333333331</v>
      </c>
      <c r="H155" s="53">
        <f t="shared" si="255"/>
        <v>0.45032443181818188</v>
      </c>
      <c r="I155" s="10">
        <f>SUMIFS(MainData!F:F,MainData!$A:$A,$A155)</f>
        <v>49</v>
      </c>
      <c r="J155" s="10">
        <f t="shared" si="318"/>
        <v>400</v>
      </c>
      <c r="K155" s="53">
        <f t="shared" si="256"/>
        <v>0.1225</v>
      </c>
      <c r="L155" s="11">
        <f>SUMIFS(MainData!K:K,MainData!$A:$A,$A155)</f>
        <v>4090.909090909091</v>
      </c>
      <c r="M155" s="11">
        <f t="shared" si="295"/>
        <v>56818.18</v>
      </c>
      <c r="N155" s="53">
        <f t="shared" si="257"/>
        <v>7.2000002304000069E-2</v>
      </c>
      <c r="O155" s="256">
        <f>SUMIFS(MainData!J:J,MainData!$A:$A,$A155)</f>
        <v>1</v>
      </c>
      <c r="P155" s="10">
        <f>IF($B155=$B$4,0,IF($B155=$B$1,VLOOKUP(D155,Target_Entry!$A$8:$AF$23,5,0),IF(LO!B155=LO!$B$2,VLOOKUP(LO!D155,Target_Entry!$A$8:$AF$23,25,0),IF(LO!B155=LO!$B$3,VLOOKUP(LO!D155,Target_Entry!$A$8:$AF$23,15,0)))))</f>
        <v>15</v>
      </c>
      <c r="Q155" s="53">
        <f t="shared" si="258"/>
        <v>6.6666666666666666E-2</v>
      </c>
      <c r="R155" s="10">
        <f>SUMIFS(MainData!J:J,MainData!$A:$A,$A155)</f>
        <v>1</v>
      </c>
      <c r="S155" s="10">
        <f>SUMIFS(MainData!M:M,MainData!$A:$A,$A155)</f>
        <v>1</v>
      </c>
      <c r="T155" s="53">
        <f t="shared" si="259"/>
        <v>1</v>
      </c>
      <c r="U155" s="10">
        <f>SUMIFS(MainData!L:L,MainData!$A:$A,$A155)</f>
        <v>1</v>
      </c>
      <c r="V155" s="12">
        <f t="shared" si="260"/>
        <v>1</v>
      </c>
      <c r="W155" s="10">
        <f>SUMIFS(MainData!F:F,MainData!$A:$A,$A155)</f>
        <v>49</v>
      </c>
      <c r="X155" s="12">
        <f t="shared" si="261"/>
        <v>0.19600000000000001</v>
      </c>
      <c r="Y155" s="11">
        <f>SUMIFS(MainData!H:H,MainData!$A:$A,$A155)</f>
        <v>0</v>
      </c>
      <c r="Z155" s="12">
        <f t="shared" si="262"/>
        <v>0</v>
      </c>
      <c r="AA155" s="11">
        <f>SUMIFS(MainData!I:I,MainData!$A:$A,$A155)</f>
        <v>0</v>
      </c>
      <c r="AB155" s="12">
        <f t="shared" si="263"/>
        <v>0</v>
      </c>
      <c r="AC155" s="182"/>
      <c r="AD155" s="18">
        <f t="shared" si="264"/>
        <v>0</v>
      </c>
      <c r="AE155" s="18">
        <f t="shared" si="265"/>
        <v>0</v>
      </c>
      <c r="AF155" s="18">
        <f t="shared" si="266"/>
        <v>0</v>
      </c>
      <c r="AG155" s="18">
        <f t="shared" si="267"/>
        <v>0</v>
      </c>
      <c r="AH155" s="18">
        <f t="shared" si="268"/>
        <v>15</v>
      </c>
      <c r="AI155" s="18">
        <f t="shared" si="269"/>
        <v>37.5</v>
      </c>
      <c r="AJ155" s="18">
        <f t="shared" si="270"/>
        <v>0</v>
      </c>
      <c r="AK155" s="18">
        <f t="shared" si="271"/>
        <v>5</v>
      </c>
      <c r="AL155" s="18">
        <f t="shared" si="272"/>
        <v>5</v>
      </c>
      <c r="AM155" s="36">
        <f t="shared" si="273"/>
        <v>63</v>
      </c>
      <c r="AN155" s="36">
        <f t="shared" si="274"/>
        <v>0</v>
      </c>
      <c r="AO155" s="183">
        <v>808</v>
      </c>
      <c r="AP155" s="184">
        <v>59</v>
      </c>
      <c r="AQ155" s="184">
        <v>277</v>
      </c>
      <c r="AR155" s="28">
        <f t="shared" si="326"/>
        <v>1144</v>
      </c>
      <c r="AS155" s="28">
        <f t="shared" si="327"/>
        <v>647</v>
      </c>
      <c r="AT155" s="163">
        <f t="shared" si="328"/>
        <v>497</v>
      </c>
      <c r="AU155" s="28">
        <f>IF(AO155&gt;0,ROUND(AN155/$AN$1*AU$3,0),0)</f>
        <v>0</v>
      </c>
      <c r="AV155" s="147">
        <f t="shared" si="329"/>
        <v>647</v>
      </c>
      <c r="AW155" s="147">
        <f t="shared" si="330"/>
        <v>-497</v>
      </c>
      <c r="AX155" s="148">
        <f t="shared" si="331"/>
        <v>0.56555944055944052</v>
      </c>
      <c r="AY155" s="167">
        <f t="shared" ref="AY155:AY157" si="335">AU155</f>
        <v>0</v>
      </c>
      <c r="AZ155" s="167">
        <v>70</v>
      </c>
      <c r="BB155" s="170">
        <f t="shared" si="324"/>
        <v>0</v>
      </c>
      <c r="BC155" s="202">
        <f>VLOOKUP(A155,ImportDataWA!A$14:AG$112,33,0)</f>
        <v>100.00000000000004</v>
      </c>
      <c r="BD155" s="170">
        <f t="shared" ref="BD155:BD157" si="336">AU155-AY155</f>
        <v>0</v>
      </c>
    </row>
    <row r="156" spans="1:56" hidden="1" x14ac:dyDescent="0.25">
      <c r="A156" s="195" t="s">
        <v>13</v>
      </c>
      <c r="B156" s="9" t="str">
        <f>VLOOKUP($A156,MainData!$A$4:$E$1967,2,FALSE)</f>
        <v>Micro</v>
      </c>
      <c r="C156" s="9" t="str">
        <f>VLOOKUP($A156,MainData!$A$4:$E$1967,3,FALSE)</f>
        <v>Azad Kareem Muhamed</v>
      </c>
      <c r="D156" s="9" t="str">
        <f>VLOOKUP($A156,MainData!$A$4:$E$1967,4,FALSE)</f>
        <v>Sulymaniya</v>
      </c>
      <c r="E156" s="9" t="str">
        <f>VLOOKUP($A156,MainData!$A$4:$E$1967,5,FALSE)</f>
        <v>Inactive</v>
      </c>
      <c r="F156" s="11">
        <f>SUMIFS(MainData!G:G,MainData!$A:$A,$A156)</f>
        <v>177440.5303030303</v>
      </c>
      <c r="G156" s="11">
        <f t="shared" si="279"/>
        <v>333333.33333333331</v>
      </c>
      <c r="H156" s="53">
        <f t="shared" si="255"/>
        <v>0.53232159090909092</v>
      </c>
      <c r="I156" s="10">
        <f>SUMIFS(MainData!F:F,MainData!$A:$A,$A156)</f>
        <v>60</v>
      </c>
      <c r="J156" s="10">
        <f t="shared" si="318"/>
        <v>400</v>
      </c>
      <c r="K156" s="53">
        <f t="shared" si="256"/>
        <v>0.15</v>
      </c>
      <c r="L156" s="11">
        <f>SUMIFS(MainData!K:K,MainData!$A:$A,$A156)</f>
        <v>31969.696969696972</v>
      </c>
      <c r="M156" s="11">
        <f t="shared" si="295"/>
        <v>56818.18</v>
      </c>
      <c r="N156" s="53">
        <f t="shared" si="257"/>
        <v>0.56266668467200065</v>
      </c>
      <c r="O156" s="256">
        <f>SUMIFS(MainData!J:J,MainData!$A:$A,$A156)</f>
        <v>7</v>
      </c>
      <c r="P156" s="10">
        <f>IF($B156=$B$4,0,IF($B156=$B$1,VLOOKUP(D156,Target_Entry!$A$8:$AF$23,5,0),IF(LO!B156=LO!$B$2,VLOOKUP(LO!D156,Target_Entry!$A$8:$AF$23,25,0),IF(LO!B156=LO!$B$3,VLOOKUP(LO!D156,Target_Entry!$A$8:$AF$23,15,0)))))</f>
        <v>15</v>
      </c>
      <c r="Q156" s="53">
        <f t="shared" si="258"/>
        <v>0.46666666666666667</v>
      </c>
      <c r="R156" s="10">
        <f>SUMIFS(MainData!J:J,MainData!$A:$A,$A156)</f>
        <v>7</v>
      </c>
      <c r="S156" s="10">
        <f>SUMIFS(MainData!M:M,MainData!$A:$A,$A156)</f>
        <v>2</v>
      </c>
      <c r="T156" s="53">
        <f t="shared" si="259"/>
        <v>0.2857142857142857</v>
      </c>
      <c r="U156" s="10">
        <f>SUMIFS(MainData!L:L,MainData!$A:$A,$A156)</f>
        <v>4</v>
      </c>
      <c r="V156" s="12">
        <f t="shared" si="260"/>
        <v>0.5714285714285714</v>
      </c>
      <c r="W156" s="10">
        <f>SUMIFS(MainData!F:F,MainData!$A:$A,$A156)</f>
        <v>60</v>
      </c>
      <c r="X156" s="12">
        <f t="shared" si="261"/>
        <v>0.24</v>
      </c>
      <c r="Y156" s="11">
        <f>SUMIFS(MainData!H:H,MainData!$A:$A,$A156)</f>
        <v>0</v>
      </c>
      <c r="Z156" s="12">
        <f t="shared" si="262"/>
        <v>0</v>
      </c>
      <c r="AA156" s="11">
        <f>SUMIFS(MainData!I:I,MainData!$A:$A,$A156)</f>
        <v>0</v>
      </c>
      <c r="AB156" s="12">
        <f t="shared" si="263"/>
        <v>0</v>
      </c>
      <c r="AC156" s="182"/>
      <c r="AD156" s="18">
        <f t="shared" si="264"/>
        <v>0</v>
      </c>
      <c r="AE156" s="18">
        <f t="shared" si="265"/>
        <v>0</v>
      </c>
      <c r="AF156" s="18">
        <f t="shared" si="266"/>
        <v>0</v>
      </c>
      <c r="AG156" s="18">
        <f t="shared" si="267"/>
        <v>0</v>
      </c>
      <c r="AH156" s="18">
        <f t="shared" si="268"/>
        <v>15</v>
      </c>
      <c r="AI156" s="18">
        <f t="shared" si="269"/>
        <v>37.5</v>
      </c>
      <c r="AJ156" s="18">
        <f t="shared" si="270"/>
        <v>0</v>
      </c>
      <c r="AK156" s="18">
        <f t="shared" si="271"/>
        <v>0.85714285714285721</v>
      </c>
      <c r="AL156" s="18">
        <f t="shared" si="272"/>
        <v>5</v>
      </c>
      <c r="AM156" s="36">
        <f t="shared" si="273"/>
        <v>58</v>
      </c>
      <c r="AN156" s="36">
        <f t="shared" si="274"/>
        <v>0</v>
      </c>
      <c r="AO156" s="183">
        <v>715</v>
      </c>
      <c r="AP156" s="184">
        <v>0</v>
      </c>
      <c r="AQ156" s="184">
        <v>0</v>
      </c>
      <c r="AR156" s="28">
        <f t="shared" si="326"/>
        <v>715</v>
      </c>
      <c r="AS156" s="28">
        <f t="shared" si="327"/>
        <v>572</v>
      </c>
      <c r="AT156" s="163">
        <f t="shared" si="328"/>
        <v>143</v>
      </c>
      <c r="AU156" s="28">
        <f>IF(AO156&gt;0,ROUND(AN156/$AN$1*AU$3,0),0)</f>
        <v>0</v>
      </c>
      <c r="AV156" s="147">
        <f t="shared" si="329"/>
        <v>572</v>
      </c>
      <c r="AW156" s="147">
        <f t="shared" si="330"/>
        <v>-143</v>
      </c>
      <c r="AX156" s="148">
        <f t="shared" si="331"/>
        <v>0.8</v>
      </c>
      <c r="AY156" s="167">
        <f t="shared" si="335"/>
        <v>0</v>
      </c>
      <c r="AZ156" s="167">
        <v>70</v>
      </c>
      <c r="BB156" s="170">
        <f t="shared" si="324"/>
        <v>0</v>
      </c>
      <c r="BC156" s="202">
        <f>VLOOKUP(A156,ImportDataWA!A$14:AG$112,33,0)</f>
        <v>100</v>
      </c>
      <c r="BD156" s="170">
        <f t="shared" si="336"/>
        <v>0</v>
      </c>
    </row>
    <row r="157" spans="1:56" hidden="1" x14ac:dyDescent="0.25">
      <c r="A157" s="197" t="s">
        <v>343</v>
      </c>
      <c r="B157" s="9" t="str">
        <f>VLOOKUP($A157,MainData!$A$4:$E$1967,2,FALSE)</f>
        <v>Micro</v>
      </c>
      <c r="C157" s="9" t="str">
        <f>VLOOKUP($A157,MainData!$A$4:$E$1967,3,FALSE)</f>
        <v>Azad Kareem Muhamed</v>
      </c>
      <c r="D157" s="9" t="str">
        <f>VLOOKUP($A157,MainData!$A$4:$E$1967,4,FALSE)</f>
        <v>Sulymaniya</v>
      </c>
      <c r="E157" s="9" t="str">
        <f>VLOOKUP($A157,MainData!$A$4:$E$1967,5,FALSE)</f>
        <v>Inactive</v>
      </c>
      <c r="F157" s="11">
        <f>SUMIFS(MainData!G:G,MainData!$A:$A,$A157)</f>
        <v>98458.522727272721</v>
      </c>
      <c r="G157" s="11">
        <f t="shared" si="279"/>
        <v>333333.33333333331</v>
      </c>
      <c r="H157" s="53">
        <f t="shared" si="255"/>
        <v>0.2953755681818182</v>
      </c>
      <c r="I157" s="10">
        <f>SUMIFS(MainData!F:F,MainData!$A:$A,$A157)</f>
        <v>34</v>
      </c>
      <c r="J157" s="10">
        <f t="shared" si="318"/>
        <v>400</v>
      </c>
      <c r="K157" s="53">
        <f t="shared" si="256"/>
        <v>8.5000000000000006E-2</v>
      </c>
      <c r="L157" s="11">
        <f>SUMIFS(MainData!K:K,MainData!$A:$A,$A157)</f>
        <v>7424.242424242424</v>
      </c>
      <c r="M157" s="11">
        <f t="shared" si="295"/>
        <v>56818.18</v>
      </c>
      <c r="N157" s="53">
        <f t="shared" si="257"/>
        <v>0.13066667084800013</v>
      </c>
      <c r="O157" s="256">
        <f>SUMIFS(MainData!J:J,MainData!$A:$A,$A157)</f>
        <v>2</v>
      </c>
      <c r="P157" s="10">
        <f>IF($B157=$B$4,0,IF($B157=$B$1,VLOOKUP(D157,Target_Entry!$A$8:$AF$23,5,0),IF(LO!B157=LO!$B$2,VLOOKUP(LO!D157,Target_Entry!$A$8:$AF$23,25,0),IF(LO!B157=LO!$B$3,VLOOKUP(LO!D157,Target_Entry!$A$8:$AF$23,15,0)))))</f>
        <v>15</v>
      </c>
      <c r="Q157" s="53">
        <f t="shared" si="258"/>
        <v>0.13333333333333333</v>
      </c>
      <c r="R157" s="10">
        <f>SUMIFS(MainData!J:J,MainData!$A:$A,$A157)</f>
        <v>2</v>
      </c>
      <c r="S157" s="10">
        <f>SUMIFS(MainData!M:M,MainData!$A:$A,$A157)</f>
        <v>1</v>
      </c>
      <c r="T157" s="53">
        <f t="shared" si="259"/>
        <v>0.5</v>
      </c>
      <c r="U157" s="10">
        <f>SUMIFS(MainData!L:L,MainData!$A:$A,$A157)</f>
        <v>1</v>
      </c>
      <c r="V157" s="12">
        <f t="shared" si="260"/>
        <v>0.5</v>
      </c>
      <c r="W157" s="10">
        <f>SUMIFS(MainData!F:F,MainData!$A:$A,$A157)</f>
        <v>34</v>
      </c>
      <c r="X157" s="12">
        <f t="shared" si="261"/>
        <v>0.13600000000000001</v>
      </c>
      <c r="Y157" s="11">
        <f>SUMIFS(MainData!H:H,MainData!$A:$A,$A157)</f>
        <v>0</v>
      </c>
      <c r="Z157" s="12">
        <f t="shared" si="262"/>
        <v>0</v>
      </c>
      <c r="AA157" s="11">
        <f>SUMIFS(MainData!I:I,MainData!$A:$A,$A157)</f>
        <v>0</v>
      </c>
      <c r="AB157" s="12">
        <f t="shared" si="263"/>
        <v>0</v>
      </c>
      <c r="AC157" s="182"/>
      <c r="AD157" s="18">
        <f t="shared" si="264"/>
        <v>0</v>
      </c>
      <c r="AE157" s="18">
        <f t="shared" si="265"/>
        <v>0</v>
      </c>
      <c r="AF157" s="18">
        <f t="shared" si="266"/>
        <v>0</v>
      </c>
      <c r="AG157" s="18">
        <f t="shared" si="267"/>
        <v>0</v>
      </c>
      <c r="AH157" s="18">
        <f t="shared" si="268"/>
        <v>15</v>
      </c>
      <c r="AI157" s="18">
        <f t="shared" si="269"/>
        <v>37.5</v>
      </c>
      <c r="AJ157" s="18">
        <f t="shared" si="270"/>
        <v>0</v>
      </c>
      <c r="AK157" s="18">
        <f t="shared" si="271"/>
        <v>2.9999999999999991</v>
      </c>
      <c r="AL157" s="18">
        <f t="shared" si="272"/>
        <v>5</v>
      </c>
      <c r="AM157" s="36">
        <f t="shared" si="273"/>
        <v>61</v>
      </c>
      <c r="AN157" s="36">
        <f t="shared" si="274"/>
        <v>0</v>
      </c>
      <c r="AO157" s="183">
        <v>715</v>
      </c>
      <c r="AP157" s="184">
        <v>0</v>
      </c>
      <c r="AQ157" s="184">
        <v>0</v>
      </c>
      <c r="AR157" s="28">
        <f t="shared" si="326"/>
        <v>715</v>
      </c>
      <c r="AS157" s="28">
        <f t="shared" si="327"/>
        <v>572</v>
      </c>
      <c r="AT157" s="163">
        <f t="shared" si="328"/>
        <v>143</v>
      </c>
      <c r="AU157" s="28">
        <f>IF(AO157&gt;0,ROUND(AN157/$AN$1*AU$3,0),0)</f>
        <v>0</v>
      </c>
      <c r="AV157" s="147">
        <f t="shared" si="329"/>
        <v>572</v>
      </c>
      <c r="AW157" s="147">
        <f t="shared" si="330"/>
        <v>-143</v>
      </c>
      <c r="AX157" s="148">
        <f t="shared" si="331"/>
        <v>0.8</v>
      </c>
      <c r="AY157" s="167">
        <f t="shared" si="335"/>
        <v>0</v>
      </c>
      <c r="AZ157" s="167">
        <v>70</v>
      </c>
      <c r="BB157" s="170"/>
      <c r="BC157" s="202">
        <f>VLOOKUP(A157,ImportDataWA!A$14:AG$112,33,0)</f>
        <v>100</v>
      </c>
      <c r="BD157" s="170">
        <f t="shared" si="336"/>
        <v>0</v>
      </c>
    </row>
    <row r="158" spans="1:56" hidden="1" x14ac:dyDescent="0.25">
      <c r="A158" s="204" t="s">
        <v>399</v>
      </c>
      <c r="B158" s="189" t="str">
        <f>VLOOKUP($A158,MainData!$A$4:$E$1967,2,FALSE)</f>
        <v>Inactive</v>
      </c>
      <c r="C158" s="189" t="str">
        <f>VLOOKUP($A158,MainData!$A$4:$E$1967,3,FALSE)</f>
        <v>Inactive</v>
      </c>
      <c r="D158" s="189" t="str">
        <f>VLOOKUP($A158,MainData!$A$4:$E$1967,4,FALSE)</f>
        <v>Sulymaniya</v>
      </c>
      <c r="E158" s="189" t="str">
        <f>VLOOKUP($A158,MainData!$A$4:$E$1967,5,FALSE)</f>
        <v>Inactive</v>
      </c>
      <c r="F158" s="11">
        <f>SUMIFS(MainData!G:G,MainData!$A:$A,$A158)</f>
        <v>0</v>
      </c>
      <c r="G158" s="11">
        <f t="shared" si="279"/>
        <v>0</v>
      </c>
      <c r="H158" s="53">
        <f t="shared" si="255"/>
        <v>0</v>
      </c>
      <c r="I158" s="10">
        <f>SUMIFS(MainData!F:F,MainData!$A:$A,$A158)</f>
        <v>0</v>
      </c>
      <c r="J158" s="10">
        <f t="shared" si="318"/>
        <v>0</v>
      </c>
      <c r="K158" s="53">
        <f t="shared" si="256"/>
        <v>0</v>
      </c>
      <c r="L158" s="11">
        <f>SUMIFS(MainData!K:K,MainData!$A:$A,$A158)</f>
        <v>0</v>
      </c>
      <c r="M158" s="11">
        <f t="shared" si="295"/>
        <v>0</v>
      </c>
      <c r="N158" s="53">
        <f t="shared" si="257"/>
        <v>0</v>
      </c>
      <c r="O158" s="256">
        <f>SUMIFS(MainData!J:J,MainData!$A:$A,$A158)</f>
        <v>0</v>
      </c>
      <c r="P158" s="10">
        <f>IF($B158=$B$4,0,IF($B158=$B$1,VLOOKUP(D158,Target_Entry!$A$8:$AF$23,5,0),IF(LO!B158=LO!$B$2,VLOOKUP(LO!D158,Target_Entry!$A$8:$AF$23,25,0),IF(LO!B158=LO!$B$3,VLOOKUP(LO!D158,Target_Entry!$A$8:$AF$23,15,0)))))</f>
        <v>0</v>
      </c>
      <c r="Q158" s="53">
        <f t="shared" si="258"/>
        <v>0</v>
      </c>
      <c r="R158" s="10">
        <f>SUMIFS(MainData!J:J,MainData!$A:$A,$A158)</f>
        <v>0</v>
      </c>
      <c r="S158" s="10">
        <f>SUMIFS(MainData!M:M,MainData!$A:$A,$A158)</f>
        <v>0</v>
      </c>
      <c r="T158" s="53">
        <f t="shared" si="259"/>
        <v>0</v>
      </c>
      <c r="U158" s="10">
        <f>SUMIFS(MainData!L:L,MainData!$A:$A,$A158)</f>
        <v>0</v>
      </c>
      <c r="V158" s="12">
        <f t="shared" si="260"/>
        <v>0</v>
      </c>
      <c r="W158" s="10">
        <f>SUMIFS(MainData!F:F,MainData!$A:$A,$A158)</f>
        <v>0</v>
      </c>
      <c r="X158" s="12">
        <f t="shared" si="261"/>
        <v>0</v>
      </c>
      <c r="Y158" s="11">
        <f>SUMIFS(MainData!H:H,MainData!$A:$A,$A158)</f>
        <v>0</v>
      </c>
      <c r="Z158" s="12">
        <f t="shared" si="262"/>
        <v>0</v>
      </c>
      <c r="AA158" s="11">
        <f>SUMIFS(MainData!I:I,MainData!$A:$A,$A158)</f>
        <v>0</v>
      </c>
      <c r="AB158" s="12">
        <f t="shared" si="263"/>
        <v>0</v>
      </c>
      <c r="AC158" s="182"/>
      <c r="AD158" s="18">
        <f t="shared" si="264"/>
        <v>0</v>
      </c>
      <c r="AE158" s="18">
        <f t="shared" si="265"/>
        <v>0</v>
      </c>
      <c r="AF158" s="18">
        <f t="shared" si="266"/>
        <v>0</v>
      </c>
      <c r="AG158" s="18">
        <f t="shared" si="267"/>
        <v>0</v>
      </c>
      <c r="AH158" s="18">
        <f t="shared" si="268"/>
        <v>15</v>
      </c>
      <c r="AI158" s="18">
        <f t="shared" si="269"/>
        <v>37.5</v>
      </c>
      <c r="AJ158" s="18">
        <f t="shared" si="270"/>
        <v>0</v>
      </c>
      <c r="AK158" s="18">
        <f t="shared" si="271"/>
        <v>0</v>
      </c>
      <c r="AL158" s="18">
        <f t="shared" si="272"/>
        <v>0</v>
      </c>
      <c r="AM158" s="36">
        <f t="shared" si="273"/>
        <v>53</v>
      </c>
      <c r="AN158" s="36">
        <f t="shared" si="274"/>
        <v>0</v>
      </c>
      <c r="AO158" s="183"/>
      <c r="AP158" s="184"/>
      <c r="AQ158" s="184"/>
      <c r="AR158" s="28"/>
      <c r="AS158" s="28"/>
      <c r="AT158" s="28"/>
      <c r="AU158" s="28"/>
      <c r="AV158" s="147"/>
      <c r="AW158" s="147"/>
      <c r="AX158" s="148"/>
      <c r="AY158" s="167"/>
      <c r="AZ158" s="167"/>
      <c r="BB158" s="170"/>
      <c r="BC158" s="202" t="e">
        <f>VLOOKUP(A158,ImportDataWA!A$14:AG$112,33,0)</f>
        <v>#N/A</v>
      </c>
    </row>
    <row r="159" spans="1:56" hidden="1" x14ac:dyDescent="0.25">
      <c r="A159" s="195" t="s">
        <v>95</v>
      </c>
      <c r="B159" s="9" t="str">
        <f>VLOOKUP($A159,MainData!$A$4:$E$1967,2,FALSE)</f>
        <v>Micro</v>
      </c>
      <c r="C159" s="9" t="str">
        <f>VLOOKUP($A159,MainData!$A$4:$E$1967,3,FALSE)</f>
        <v>Azad Kareem Muhamed</v>
      </c>
      <c r="D159" s="9" t="str">
        <f>VLOOKUP($A159,MainData!$A$4:$E$1967,4,FALSE)</f>
        <v>Sulymaniya</v>
      </c>
      <c r="E159" s="9" t="str">
        <f>VLOOKUP($A159,MainData!$A$4:$E$1967,5,FALSE)</f>
        <v>Inactive</v>
      </c>
      <c r="F159" s="11">
        <f>SUMIFS(MainData!G:G,MainData!$A:$A,$A159)</f>
        <v>116908.33333333331</v>
      </c>
      <c r="G159" s="11">
        <f t="shared" si="279"/>
        <v>333333.33333333331</v>
      </c>
      <c r="H159" s="53">
        <f t="shared" si="255"/>
        <v>0.35072499999999995</v>
      </c>
      <c r="I159" s="10">
        <f>SUMIFS(MainData!F:F,MainData!$A:$A,$A159)</f>
        <v>38</v>
      </c>
      <c r="J159" s="10">
        <f t="shared" si="318"/>
        <v>400</v>
      </c>
      <c r="K159" s="53">
        <f t="shared" si="256"/>
        <v>9.5000000000000001E-2</v>
      </c>
      <c r="L159" s="11">
        <f>SUMIFS(MainData!K:K,MainData!$A:$A,$A159)</f>
        <v>27272.727272727276</v>
      </c>
      <c r="M159" s="11">
        <f t="shared" si="295"/>
        <v>56818.18</v>
      </c>
      <c r="N159" s="53">
        <f t="shared" si="257"/>
        <v>0.48000001536000053</v>
      </c>
      <c r="O159" s="256">
        <f>SUMIFS(MainData!J:J,MainData!$A:$A,$A159)</f>
        <v>7</v>
      </c>
      <c r="P159" s="10">
        <f>IF($B159=$B$4,0,IF($B159=$B$1,VLOOKUP(D159,Target_Entry!$A$8:$AF$23,5,0),IF(LO!B159=LO!$B$2,VLOOKUP(LO!D159,Target_Entry!$A$8:$AF$23,25,0),IF(LO!B159=LO!$B$3,VLOOKUP(LO!D159,Target_Entry!$A$8:$AF$23,15,0)))))</f>
        <v>15</v>
      </c>
      <c r="Q159" s="53">
        <f t="shared" si="258"/>
        <v>0.46666666666666667</v>
      </c>
      <c r="R159" s="10">
        <f>SUMIFS(MainData!J:J,MainData!$A:$A,$A159)</f>
        <v>7</v>
      </c>
      <c r="S159" s="10">
        <f>SUMIFS(MainData!M:M,MainData!$A:$A,$A159)</f>
        <v>2</v>
      </c>
      <c r="T159" s="53">
        <f t="shared" si="259"/>
        <v>0.2857142857142857</v>
      </c>
      <c r="U159" s="10">
        <f>SUMIFS(MainData!L:L,MainData!$A:$A,$A159)</f>
        <v>5</v>
      </c>
      <c r="V159" s="12">
        <f t="shared" si="260"/>
        <v>0.7142857142857143</v>
      </c>
      <c r="W159" s="10">
        <f>SUMIFS(MainData!F:F,MainData!$A:$A,$A159)</f>
        <v>38</v>
      </c>
      <c r="X159" s="12">
        <f t="shared" si="261"/>
        <v>0.152</v>
      </c>
      <c r="Y159" s="11">
        <f>SUMIFS(MainData!H:H,MainData!$A:$A,$A159)</f>
        <v>2590.151515151515</v>
      </c>
      <c r="Z159" s="12">
        <f t="shared" si="262"/>
        <v>2.2155405361621059E-2</v>
      </c>
      <c r="AA159" s="11">
        <f>SUMIFS(MainData!I:I,MainData!$A:$A,$A159)</f>
        <v>0</v>
      </c>
      <c r="AB159" s="12">
        <f t="shared" si="263"/>
        <v>0</v>
      </c>
      <c r="AC159" s="182"/>
      <c r="AD159" s="18">
        <f t="shared" si="264"/>
        <v>0</v>
      </c>
      <c r="AE159" s="18">
        <f t="shared" si="265"/>
        <v>0</v>
      </c>
      <c r="AF159" s="18">
        <f t="shared" si="266"/>
        <v>0</v>
      </c>
      <c r="AG159" s="18">
        <f t="shared" si="267"/>
        <v>0</v>
      </c>
      <c r="AH159" s="18">
        <f t="shared" si="268"/>
        <v>8.353378391513683</v>
      </c>
      <c r="AI159" s="18">
        <f t="shared" si="269"/>
        <v>37.5</v>
      </c>
      <c r="AJ159" s="18">
        <f t="shared" si="270"/>
        <v>0</v>
      </c>
      <c r="AK159" s="18">
        <f t="shared" si="271"/>
        <v>0.85714285714285721</v>
      </c>
      <c r="AL159" s="18">
        <f t="shared" si="272"/>
        <v>5</v>
      </c>
      <c r="AM159" s="36">
        <f t="shared" si="273"/>
        <v>52</v>
      </c>
      <c r="AN159" s="36">
        <f t="shared" si="274"/>
        <v>0</v>
      </c>
      <c r="AO159" s="183">
        <v>769</v>
      </c>
      <c r="AP159" s="184">
        <v>0</v>
      </c>
      <c r="AQ159" s="184">
        <v>36</v>
      </c>
      <c r="AR159" s="28">
        <f>SUM(AO159:AQ159)</f>
        <v>805</v>
      </c>
      <c r="AS159" s="28">
        <f>IF(AO159&gt;0,ROUNDUP($AO159*AS$3,0),0)</f>
        <v>616</v>
      </c>
      <c r="AT159" s="163">
        <f>AR159-AS159</f>
        <v>189</v>
      </c>
      <c r="AU159" s="28">
        <f>IF(AO159&gt;0,ROUND(AN159/$AN$1*AU$3,0),0)</f>
        <v>0</v>
      </c>
      <c r="AV159" s="147">
        <f>AU159+AS159</f>
        <v>616</v>
      </c>
      <c r="AW159" s="147">
        <f>AV159-AR159</f>
        <v>-189</v>
      </c>
      <c r="AX159" s="148">
        <f>IFERROR(AV159/AR159,0)</f>
        <v>0.76521739130434785</v>
      </c>
      <c r="AY159" s="167">
        <f t="shared" ref="AY159:AY160" si="337">AU159</f>
        <v>0</v>
      </c>
      <c r="AZ159" s="167">
        <v>70</v>
      </c>
      <c r="BB159" s="170">
        <f>AU159-AY159</f>
        <v>0</v>
      </c>
      <c r="BC159" s="202">
        <f>VLOOKUP(A159,ImportDataWA!A$14:AG$112,33,0)</f>
        <v>99.189217953307477</v>
      </c>
      <c r="BD159" s="170">
        <f t="shared" ref="BD159:BD160" si="338">AU159-AY159</f>
        <v>0</v>
      </c>
    </row>
    <row r="160" spans="1:56" ht="15" hidden="1" customHeight="1" x14ac:dyDescent="0.25">
      <c r="A160" s="232" t="s">
        <v>480</v>
      </c>
      <c r="B160" s="189" t="str">
        <f>VLOOKUP($A160,MainData!$A$4:$E$1967,2,FALSE)</f>
        <v>Inactive</v>
      </c>
      <c r="C160" s="189" t="str">
        <f>VLOOKUP($A160,MainData!$A$4:$E$1967,3,FALSE)</f>
        <v>Inactive</v>
      </c>
      <c r="D160" s="189" t="str">
        <f>VLOOKUP($A160,MainData!$A$4:$E$1967,4,FALSE)</f>
        <v>Sulymaniya</v>
      </c>
      <c r="E160" s="189" t="str">
        <f>VLOOKUP($A160,MainData!$A$4:$E$1967,5,FALSE)</f>
        <v>Inactive</v>
      </c>
      <c r="F160" s="11">
        <f>SUMIFS(MainData!G:G,MainData!$A:$A,$A160)</f>
        <v>69899.431818181823</v>
      </c>
      <c r="G160" s="11">
        <f t="shared" si="279"/>
        <v>0</v>
      </c>
      <c r="H160" s="53">
        <f t="shared" si="255"/>
        <v>0</v>
      </c>
      <c r="I160" s="10">
        <f>SUMIFS(MainData!F:F,MainData!$A:$A,$A160)</f>
        <v>29</v>
      </c>
      <c r="J160" s="10">
        <f t="shared" si="318"/>
        <v>0</v>
      </c>
      <c r="K160" s="53">
        <f t="shared" si="256"/>
        <v>0</v>
      </c>
      <c r="L160" s="11">
        <f>SUMIFS(MainData!K:K,MainData!$A:$A,$A160)</f>
        <v>0</v>
      </c>
      <c r="M160" s="11">
        <f t="shared" si="295"/>
        <v>0</v>
      </c>
      <c r="N160" s="53">
        <f t="shared" si="257"/>
        <v>0</v>
      </c>
      <c r="O160" s="256">
        <f>SUMIFS(MainData!J:J,MainData!$A:$A,$A160)</f>
        <v>0</v>
      </c>
      <c r="P160" s="10">
        <f>IF($B160=$B$4,0,IF($B160=$B$1,VLOOKUP(D160,Target_Entry!$A$8:$AF$23,5,0),IF(LO!B160=LO!$B$2,VLOOKUP(LO!D160,Target_Entry!$A$8:$AF$23,25,0),IF(LO!B160=LO!$B$3,VLOOKUP(LO!D160,Target_Entry!$A$8:$AF$23,15,0)))))</f>
        <v>0</v>
      </c>
      <c r="Q160" s="53">
        <f t="shared" si="258"/>
        <v>0</v>
      </c>
      <c r="R160" s="10">
        <f>SUMIFS(MainData!J:J,MainData!$A:$A,$A160)</f>
        <v>0</v>
      </c>
      <c r="S160" s="10">
        <f>SUMIFS(MainData!M:M,MainData!$A:$A,$A160)</f>
        <v>0</v>
      </c>
      <c r="T160" s="53">
        <f t="shared" si="259"/>
        <v>0</v>
      </c>
      <c r="U160" s="10">
        <f>SUMIFS(MainData!L:L,MainData!$A:$A,$A160)</f>
        <v>0</v>
      </c>
      <c r="V160" s="12">
        <f t="shared" si="260"/>
        <v>0</v>
      </c>
      <c r="W160" s="10">
        <f>SUMIFS(MainData!F:F,MainData!$A:$A,$A160)</f>
        <v>29</v>
      </c>
      <c r="X160" s="12">
        <f t="shared" si="261"/>
        <v>0.11600000000000001</v>
      </c>
      <c r="Y160" s="11">
        <f>SUMIFS(MainData!H:H,MainData!$A:$A,$A160)</f>
        <v>4376.893939393939</v>
      </c>
      <c r="Z160" s="12">
        <f t="shared" si="262"/>
        <v>6.2617017414087872E-2</v>
      </c>
      <c r="AA160" s="11">
        <f>SUMIFS(MainData!I:I,MainData!$A:$A,$A160)</f>
        <v>0</v>
      </c>
      <c r="AB160" s="12">
        <f t="shared" si="263"/>
        <v>0</v>
      </c>
      <c r="AC160" s="182"/>
      <c r="AD160" s="18">
        <f t="shared" si="264"/>
        <v>0</v>
      </c>
      <c r="AE160" s="18">
        <f t="shared" si="265"/>
        <v>0</v>
      </c>
      <c r="AF160" s="18">
        <f t="shared" si="266"/>
        <v>0</v>
      </c>
      <c r="AG160" s="18">
        <f t="shared" si="267"/>
        <v>0</v>
      </c>
      <c r="AH160" s="18">
        <f t="shared" si="268"/>
        <v>0</v>
      </c>
      <c r="AI160" s="18">
        <f t="shared" si="269"/>
        <v>37.5</v>
      </c>
      <c r="AJ160" s="18">
        <f t="shared" si="270"/>
        <v>0</v>
      </c>
      <c r="AK160" s="18">
        <f t="shared" si="271"/>
        <v>0</v>
      </c>
      <c r="AL160" s="18">
        <f t="shared" si="272"/>
        <v>0</v>
      </c>
      <c r="AM160" s="36">
        <f t="shared" si="273"/>
        <v>38</v>
      </c>
      <c r="AN160" s="36">
        <f t="shared" si="274"/>
        <v>0</v>
      </c>
      <c r="AO160" s="183">
        <v>715</v>
      </c>
      <c r="AP160" s="184">
        <v>0</v>
      </c>
      <c r="AQ160" s="184">
        <v>200</v>
      </c>
      <c r="AR160" s="28">
        <f>SUM(AO160:AQ160)</f>
        <v>915</v>
      </c>
      <c r="AS160" s="28">
        <f>IF(AO160&gt;0,ROUNDUP($AO160*AS$3,0),0)</f>
        <v>572</v>
      </c>
      <c r="AT160" s="163">
        <f>AR160-AS160</f>
        <v>343</v>
      </c>
      <c r="AU160" s="28">
        <f>IF(AO160&gt;0,ROUND(AN160/$AN$1*AU$3,0),0)</f>
        <v>0</v>
      </c>
      <c r="AV160" s="147">
        <f>AU160+AS160</f>
        <v>572</v>
      </c>
      <c r="AW160" s="147">
        <f>AV160-AR160</f>
        <v>-343</v>
      </c>
      <c r="AX160" s="148">
        <f>IFERROR(AV160/AR160,0)</f>
        <v>0.62513661202185788</v>
      </c>
      <c r="AY160" s="167">
        <f t="shared" si="337"/>
        <v>0</v>
      </c>
      <c r="AZ160" s="167">
        <v>70</v>
      </c>
      <c r="BB160" s="170">
        <f>AU160-AY160</f>
        <v>0</v>
      </c>
      <c r="BC160" s="202">
        <f>VLOOKUP(A160,ImportDataWA!A$14:AG$112,33,0)</f>
        <v>99.410713994421144</v>
      </c>
      <c r="BD160" s="170">
        <f t="shared" si="338"/>
        <v>0</v>
      </c>
    </row>
    <row r="161" spans="1:56" hidden="1" x14ac:dyDescent="0.25">
      <c r="A161" s="204" t="s">
        <v>396</v>
      </c>
      <c r="B161" s="189" t="str">
        <f>VLOOKUP($A161,MainData!$A$4:$E$1967,2,FALSE)</f>
        <v>Inactive</v>
      </c>
      <c r="C161" s="189" t="str">
        <f>VLOOKUP($A161,MainData!$A$4:$E$1967,3,FALSE)</f>
        <v>Inactive</v>
      </c>
      <c r="D161" s="189" t="str">
        <f>VLOOKUP($A161,MainData!$A$4:$E$1967,4,FALSE)</f>
        <v>Wehda</v>
      </c>
      <c r="E161" s="189" t="str">
        <f>VLOOKUP($A161,MainData!$A$4:$E$1967,5,FALSE)</f>
        <v>Inactive</v>
      </c>
      <c r="F161" s="11">
        <f>SUMIFS(MainData!G:G,MainData!$A:$A,$A161)</f>
        <v>0</v>
      </c>
      <c r="G161" s="11">
        <f t="shared" si="279"/>
        <v>0</v>
      </c>
      <c r="H161" s="53">
        <f t="shared" si="255"/>
        <v>0</v>
      </c>
      <c r="I161" s="10">
        <f>SUMIFS(MainData!F:F,MainData!$A:$A,$A161)</f>
        <v>0</v>
      </c>
      <c r="J161" s="10">
        <f t="shared" si="318"/>
        <v>0</v>
      </c>
      <c r="K161" s="53">
        <f t="shared" si="256"/>
        <v>0</v>
      </c>
      <c r="L161" s="11">
        <f>SUMIFS(MainData!K:K,MainData!$A:$A,$A161)</f>
        <v>0</v>
      </c>
      <c r="M161" s="11">
        <f t="shared" si="295"/>
        <v>0</v>
      </c>
      <c r="N161" s="53">
        <f t="shared" si="257"/>
        <v>0</v>
      </c>
      <c r="O161" s="256">
        <f>SUMIFS(MainData!J:J,MainData!$A:$A,$A161)</f>
        <v>0</v>
      </c>
      <c r="P161" s="10">
        <f>IF($B161=$B$4,0,IF($B161=$B$1,VLOOKUP(D161,Target_Entry!$A$8:$AF$23,5,0),IF(LO!B161=LO!$B$2,VLOOKUP(LO!D161,Target_Entry!$A$8:$AF$23,25,0),IF(LO!B161=LO!$B$3,VLOOKUP(LO!D161,Target_Entry!$A$8:$AF$23,15,0)))))</f>
        <v>0</v>
      </c>
      <c r="Q161" s="53">
        <f t="shared" si="258"/>
        <v>0</v>
      </c>
      <c r="R161" s="10">
        <f>SUMIFS(MainData!J:J,MainData!$A:$A,$A161)</f>
        <v>0</v>
      </c>
      <c r="S161" s="10">
        <f>SUMIFS(MainData!M:M,MainData!$A:$A,$A161)</f>
        <v>0</v>
      </c>
      <c r="T161" s="53">
        <f t="shared" si="259"/>
        <v>0</v>
      </c>
      <c r="U161" s="10">
        <f>SUMIFS(MainData!L:L,MainData!$A:$A,$A161)</f>
        <v>0</v>
      </c>
      <c r="V161" s="12">
        <f t="shared" si="260"/>
        <v>0</v>
      </c>
      <c r="W161" s="10">
        <f>SUMIFS(MainData!F:F,MainData!$A:$A,$A161)</f>
        <v>0</v>
      </c>
      <c r="X161" s="12">
        <f t="shared" si="261"/>
        <v>0</v>
      </c>
      <c r="Y161" s="11">
        <f>SUMIFS(MainData!H:H,MainData!$A:$A,$A161)</f>
        <v>0</v>
      </c>
      <c r="Z161" s="12">
        <f t="shared" si="262"/>
        <v>0</v>
      </c>
      <c r="AA161" s="11">
        <f>SUMIFS(MainData!I:I,MainData!$A:$A,$A161)</f>
        <v>0</v>
      </c>
      <c r="AB161" s="12">
        <f t="shared" si="263"/>
        <v>0</v>
      </c>
      <c r="AC161" s="182"/>
      <c r="AD161" s="18">
        <f t="shared" si="264"/>
        <v>0</v>
      </c>
      <c r="AE161" s="18">
        <f t="shared" si="265"/>
        <v>0</v>
      </c>
      <c r="AF161" s="18">
        <f t="shared" si="266"/>
        <v>0</v>
      </c>
      <c r="AG161" s="18">
        <f t="shared" si="267"/>
        <v>0</v>
      </c>
      <c r="AH161" s="18">
        <f t="shared" si="268"/>
        <v>15</v>
      </c>
      <c r="AI161" s="18">
        <f t="shared" si="269"/>
        <v>37.5</v>
      </c>
      <c r="AJ161" s="18">
        <f t="shared" si="270"/>
        <v>0</v>
      </c>
      <c r="AK161" s="18">
        <f t="shared" si="271"/>
        <v>0</v>
      </c>
      <c r="AL161" s="18">
        <f t="shared" si="272"/>
        <v>0</v>
      </c>
      <c r="AM161" s="36">
        <f t="shared" si="273"/>
        <v>53</v>
      </c>
      <c r="AN161" s="36">
        <f t="shared" si="274"/>
        <v>0</v>
      </c>
      <c r="AO161" s="183"/>
      <c r="AP161" s="184"/>
      <c r="AQ161" s="184"/>
      <c r="AR161" s="28"/>
      <c r="AS161" s="28"/>
      <c r="AT161" s="163"/>
      <c r="AU161" s="28"/>
      <c r="AV161" s="147"/>
      <c r="AW161" s="147"/>
      <c r="AX161" s="148"/>
      <c r="AY161" s="167"/>
      <c r="AZ161" s="167"/>
      <c r="BB161" s="170"/>
      <c r="BC161" s="202" t="e">
        <f>VLOOKUP(A161,ImportDataWA!A$14:AG$112,33,0)</f>
        <v>#N/A</v>
      </c>
    </row>
    <row r="162" spans="1:56" hidden="1" x14ac:dyDescent="0.25">
      <c r="A162" s="196" t="s">
        <v>397</v>
      </c>
      <c r="B162" s="189" t="str">
        <f>VLOOKUP($A162,MainData!$A$4:$E$1967,2,FALSE)</f>
        <v>Inactive</v>
      </c>
      <c r="C162" s="189" t="str">
        <f>VLOOKUP($A162,MainData!$A$4:$E$1967,3,FALSE)</f>
        <v>Inactive</v>
      </c>
      <c r="D162" s="189" t="str">
        <f>VLOOKUP($A162,MainData!$A$4:$E$1967,4,FALSE)</f>
        <v>Wehda</v>
      </c>
      <c r="E162" s="189" t="str">
        <f>VLOOKUP($A162,MainData!$A$4:$E$1967,5,FALSE)</f>
        <v>Inactive</v>
      </c>
      <c r="F162" s="11">
        <f>SUMIFS(MainData!G:G,MainData!$A:$A,$A162)</f>
        <v>0</v>
      </c>
      <c r="G162" s="11">
        <f t="shared" si="279"/>
        <v>0</v>
      </c>
      <c r="H162" s="53">
        <f t="shared" ref="H162:H173" si="339">IFERROR(F162/G162,0)</f>
        <v>0</v>
      </c>
      <c r="I162" s="10">
        <f>SUMIFS(MainData!F:F,MainData!$A:$A,$A162)</f>
        <v>0</v>
      </c>
      <c r="J162" s="10">
        <f t="shared" si="318"/>
        <v>0</v>
      </c>
      <c r="K162" s="53">
        <f t="shared" ref="K162:K173" si="340">IFERROR(I162/J162,0)</f>
        <v>0</v>
      </c>
      <c r="L162" s="11">
        <f>SUMIFS(MainData!K:K,MainData!$A:$A,$A162)</f>
        <v>0</v>
      </c>
      <c r="M162" s="11">
        <f t="shared" si="295"/>
        <v>0</v>
      </c>
      <c r="N162" s="53">
        <f t="shared" ref="N162:N173" si="341">IFERROR(L162/M162,0)</f>
        <v>0</v>
      </c>
      <c r="O162" s="256">
        <f>SUMIFS(MainData!J:J,MainData!$A:$A,$A162)</f>
        <v>0</v>
      </c>
      <c r="P162" s="10">
        <f>IF($B162=$B$4,0,IF($B162=$B$1,VLOOKUP(D162,Target_Entry!$A$8:$AF$23,5,0),IF(LO!B162=LO!$B$2,VLOOKUP(LO!D162,Target_Entry!$A$8:$AF$23,25,0),IF(LO!B162=LO!$B$3,VLOOKUP(LO!D162,Target_Entry!$A$8:$AF$23,15,0)))))</f>
        <v>0</v>
      </c>
      <c r="Q162" s="53">
        <f t="shared" ref="Q162:Q173" si="342">IFERROR(O162/P162,0)</f>
        <v>0</v>
      </c>
      <c r="R162" s="10">
        <f>SUMIFS(MainData!J:J,MainData!$A:$A,$A162)</f>
        <v>0</v>
      </c>
      <c r="S162" s="10">
        <f>SUMIFS(MainData!M:M,MainData!$A:$A,$A162)</f>
        <v>0</v>
      </c>
      <c r="T162" s="53">
        <f t="shared" ref="T162:T173" si="343">IFERROR(S162/R162,0)</f>
        <v>0</v>
      </c>
      <c r="U162" s="10">
        <f>SUMIFS(MainData!L:L,MainData!$A:$A,$A162)</f>
        <v>0</v>
      </c>
      <c r="V162" s="12">
        <f t="shared" ref="V162:V173" si="344">IFERROR(U162/R162,0)</f>
        <v>0</v>
      </c>
      <c r="W162" s="10">
        <f>SUMIFS(MainData!F:F,MainData!$A:$A,$A162)</f>
        <v>0</v>
      </c>
      <c r="X162" s="12">
        <f t="shared" ref="X162:X173" si="345">IF($B162=$B$2,W162/X$3,W162/X$2)</f>
        <v>0</v>
      </c>
      <c r="Y162" s="11">
        <f>SUMIFS(MainData!H:H,MainData!$A:$A,$A162)</f>
        <v>0</v>
      </c>
      <c r="Z162" s="12">
        <f t="shared" ref="Z162:Z173" si="346">IFERROR(Y162/$F162,0)</f>
        <v>0</v>
      </c>
      <c r="AA162" s="11">
        <f>SUMIFS(MainData!I:I,MainData!$A:$A,$A162)</f>
        <v>0</v>
      </c>
      <c r="AB162" s="12">
        <f t="shared" ref="AB162:AB173" si="347">IFERROR(AA162/$F162,0)</f>
        <v>0</v>
      </c>
      <c r="AC162" s="182"/>
      <c r="AD162" s="18">
        <f t="shared" ref="AD162:AD173" si="348">MAX(AD$5,MIN(AD$4,AD$1*(H162/(AD$2-AD$3)-(AD$3/(AD$2-AD$3)))))</f>
        <v>0</v>
      </c>
      <c r="AE162" s="18">
        <f t="shared" ref="AE162:AE173" si="349">MAX(AE$5,MIN(AE$4,AE$1*(K162/(AE$2-AE$3)-(AE$3/(AE$2-AE$3)))))</f>
        <v>0</v>
      </c>
      <c r="AF162" s="18">
        <f t="shared" ref="AF162:AF173" si="350">MAX(AF$5,MIN(AF$4,AF$1*(N162/(AF$2-AF$3)-(AF$3/(AF$2-AF$3)))))</f>
        <v>0</v>
      </c>
      <c r="AG162" s="18">
        <f t="shared" ref="AG162:AG173" si="351">MAX(AG$5,MIN(AG$4,AG$1*(Q162/(AG$2-AG$3)-(AG$3/(AG$2-AG$3)))))</f>
        <v>0</v>
      </c>
      <c r="AH162" s="18">
        <f t="shared" ref="AH162:AH173" si="352">MIN(AH$4,MAX(AH$5,AH$1-AH$1*(Z162/(AH$3-AH$2)-(AH$2/(AH$3-AH$2)))))</f>
        <v>15</v>
      </c>
      <c r="AI162" s="18">
        <f t="shared" ref="AI162:AI173" si="353">MIN(AI$4,MAX(AI$5,AI$1-AI$1*(AB162/(AI$3-AI$2)-(AI$2/(AI$3-AI$2)))))</f>
        <v>37.5</v>
      </c>
      <c r="AJ162" s="18">
        <f t="shared" ref="AJ162:AJ173" si="354">MAX(AJ$5,MIN(AJ$4,AJ$1*(X162/(AJ$2-AJ$3)-(AJ$3/(AJ$2-AJ$3)))))</f>
        <v>0</v>
      </c>
      <c r="AK162" s="18">
        <f t="shared" ref="AK162:AK173" si="355">MAX(AK$5,MIN(AK$4,AK$1*(T162/(AK$2-AK$3)-(AK$3/(AK$2-AK$3)))))</f>
        <v>0</v>
      </c>
      <c r="AL162" s="18">
        <f t="shared" ref="AL162:AL173" si="356">MAX(AL$5,MIN(AL$4,AL$1*(V162/(AL$2-AL$3)-(AL$3/(AL$2-AL$3)))))</f>
        <v>0</v>
      </c>
      <c r="AM162" s="36">
        <f t="shared" ref="AM162:AM173" si="357">ROUND(SUM(AD162:AL162),0)</f>
        <v>53</v>
      </c>
      <c r="AN162" s="36">
        <f t="shared" ref="AN162:AN173" si="358">IF(AND(AB162&lt;=AN$2,OR(AND(O162&gt;=AO$3,L162&gt;=AN$3),AND(O162&gt;=AO$4,L162&gt;=AN$4))),AM162,0)</f>
        <v>0</v>
      </c>
      <c r="AO162" s="183"/>
      <c r="AP162" s="184"/>
      <c r="AQ162" s="184"/>
      <c r="AR162" s="28"/>
      <c r="AS162" s="28"/>
      <c r="AT162" s="163"/>
      <c r="AU162" s="28"/>
      <c r="AV162" s="147"/>
      <c r="AW162" s="147"/>
      <c r="AX162" s="148"/>
      <c r="AY162" s="167"/>
      <c r="AZ162" s="167"/>
      <c r="BB162" s="170"/>
      <c r="BC162" s="202" t="e">
        <f>VLOOKUP(A162,ImportDataWA!A$14:AG$112,33,0)</f>
        <v>#N/A</v>
      </c>
    </row>
    <row r="163" spans="1:56" hidden="1" x14ac:dyDescent="0.25">
      <c r="A163" s="197" t="s">
        <v>44</v>
      </c>
      <c r="B163" s="9" t="str">
        <f>VLOOKUP($A163,MainData!$A$4:$E$1967,2,FALSE)</f>
        <v>VSE</v>
      </c>
      <c r="C163" s="9" t="str">
        <f>VLOOKUP($A163,MainData!$A$4:$E$1967,3,FALSE)</f>
        <v>Ali Mehdi Dawood</v>
      </c>
      <c r="D163" s="9" t="str">
        <f>VLOOKUP($A163,MainData!$A$4:$E$1967,4,FALSE)</f>
        <v>Wehda</v>
      </c>
      <c r="E163" s="9" t="str">
        <f>VLOOKUP($A163,MainData!$A$4:$E$1967,5,FALSE)</f>
        <v>Ezat Shamkhy Jaber</v>
      </c>
      <c r="F163" s="11">
        <f>SUMIFS(MainData!G:G,MainData!$A:$A,$A163)</f>
        <v>628551.17606801377</v>
      </c>
      <c r="G163" s="11">
        <f t="shared" si="279"/>
        <v>777777.77777777775</v>
      </c>
      <c r="H163" s="53">
        <f t="shared" si="339"/>
        <v>0.80813722637316054</v>
      </c>
      <c r="I163" s="10">
        <f>SUMIFS(MainData!F:F,MainData!$A:$A,$A163)</f>
        <v>166</v>
      </c>
      <c r="J163" s="10">
        <f t="shared" si="318"/>
        <v>889</v>
      </c>
      <c r="K163" s="53">
        <f t="shared" si="340"/>
        <v>0.18672665916760406</v>
      </c>
      <c r="L163" s="11">
        <f>SUMIFS(MainData!K:K,MainData!$A:$A,$A163)</f>
        <v>59469.696969696961</v>
      </c>
      <c r="M163" s="11">
        <f t="shared" si="295"/>
        <v>79545.45</v>
      </c>
      <c r="N163" s="53">
        <f t="shared" si="341"/>
        <v>0.7476190903401384</v>
      </c>
      <c r="O163" s="256">
        <f>SUMIFS(MainData!J:J,MainData!$A:$A,$A163)</f>
        <v>12</v>
      </c>
      <c r="P163" s="10">
        <f>IF($B163=$B$4,0,IF($B163=$B$1,VLOOKUP(D163,Target_Entry!$A$8:$AF$23,5,0),IF(LO!B163=LO!$B$2,VLOOKUP(LO!D163,Target_Entry!$A$8:$AF$23,25,0),IF(LO!B163=LO!$B$3,VLOOKUP(LO!D163,Target_Entry!$A$8:$AF$23,15,0)))))</f>
        <v>8</v>
      </c>
      <c r="Q163" s="53">
        <f t="shared" si="342"/>
        <v>1.5</v>
      </c>
      <c r="R163" s="10">
        <f>SUMIFS(MainData!J:J,MainData!$A:$A,$A163)</f>
        <v>12</v>
      </c>
      <c r="S163" s="10">
        <f>SUMIFS(MainData!M:M,MainData!$A:$A,$A163)</f>
        <v>9</v>
      </c>
      <c r="T163" s="53">
        <f t="shared" si="343"/>
        <v>0.75</v>
      </c>
      <c r="U163" s="10">
        <f>SUMIFS(MainData!L:L,MainData!$A:$A,$A163)</f>
        <v>0</v>
      </c>
      <c r="V163" s="12">
        <f t="shared" si="344"/>
        <v>0</v>
      </c>
      <c r="W163" s="10">
        <f>SUMIFS(MainData!F:F,MainData!$A:$A,$A163)</f>
        <v>166</v>
      </c>
      <c r="X163" s="12">
        <f t="shared" si="345"/>
        <v>0.66400000000000003</v>
      </c>
      <c r="Y163" s="11">
        <f>SUMIFS(MainData!H:H,MainData!$A:$A,$A163)</f>
        <v>7305.0067499999996</v>
      </c>
      <c r="Z163" s="12">
        <f t="shared" si="346"/>
        <v>1.1621976106539884E-2</v>
      </c>
      <c r="AA163" s="11">
        <f>SUMIFS(MainData!I:I,MainData!$A:$A,$A163)</f>
        <v>24204.261159090911</v>
      </c>
      <c r="AB163" s="231">
        <f t="shared" si="347"/>
        <v>3.8508019840968105E-2</v>
      </c>
      <c r="AC163" s="182"/>
      <c r="AD163" s="18">
        <f t="shared" si="348"/>
        <v>3.6045742124386848</v>
      </c>
      <c r="AE163" s="18">
        <f t="shared" si="349"/>
        <v>0</v>
      </c>
      <c r="AF163" s="18">
        <f t="shared" si="350"/>
        <v>4.7619090340138381</v>
      </c>
      <c r="AG163" s="18">
        <f t="shared" si="351"/>
        <v>0</v>
      </c>
      <c r="AH163" s="18">
        <f t="shared" si="352"/>
        <v>11.513407168038036</v>
      </c>
      <c r="AI163" s="18">
        <f t="shared" si="353"/>
        <v>27.872995039757974</v>
      </c>
      <c r="AJ163" s="18">
        <f t="shared" si="354"/>
        <v>1.6400000000000003</v>
      </c>
      <c r="AK163" s="18">
        <f t="shared" si="355"/>
        <v>5</v>
      </c>
      <c r="AL163" s="18">
        <f t="shared" si="356"/>
        <v>0</v>
      </c>
      <c r="AM163" s="36">
        <f t="shared" si="357"/>
        <v>54</v>
      </c>
      <c r="AN163" s="36">
        <f t="shared" si="358"/>
        <v>0</v>
      </c>
      <c r="AO163" s="183">
        <v>793</v>
      </c>
      <c r="AP163" s="184">
        <v>0</v>
      </c>
      <c r="AQ163" s="184">
        <v>0</v>
      </c>
      <c r="AR163" s="28">
        <f t="shared" ref="AR163:AR168" si="359">SUM(AO163:AQ163)</f>
        <v>793</v>
      </c>
      <c r="AS163" s="28">
        <f t="shared" ref="AS163:AS168" si="360">IF(AO163&gt;0,ROUNDUP($AO163*AS$3,0),0)</f>
        <v>635</v>
      </c>
      <c r="AT163" s="163">
        <f t="shared" ref="AT163:AT168" si="361">AR163-AS163</f>
        <v>158</v>
      </c>
      <c r="AU163" s="28">
        <f t="shared" ref="AU163:AU168" si="362">IF(AO163&gt;0,ROUND(AN163/$AN$1*AU$3,0),0)</f>
        <v>0</v>
      </c>
      <c r="AV163" s="147">
        <f t="shared" ref="AV163:AV168" si="363">AU163+AS163</f>
        <v>635</v>
      </c>
      <c r="AW163" s="147">
        <f t="shared" ref="AW163:AW168" si="364">AV163-AR163</f>
        <v>-158</v>
      </c>
      <c r="AX163" s="148">
        <f t="shared" ref="AX163:AX168" si="365">IFERROR(AV163/AR163,0)</f>
        <v>0.80075662042875162</v>
      </c>
      <c r="AY163" s="167">
        <f t="shared" ref="AY163:AY167" si="366">AU163</f>
        <v>0</v>
      </c>
      <c r="AZ163" s="167">
        <f t="shared" ref="AZ163:AZ167" si="367">IF(O163&lt;18,IF(AND(I163&gt;0,I163&lt;=60),60,IF(AND(I163&gt;60,I163&lt;=120),70,IF(AND(I163&gt;120,I163&lt;200),80,IF(I163&gt;=200,140,0)))),IF(O163&gt;=18,IF(AND(OR(D163="Mansour",D163="Wehda",D163="Alsadar",D163="Kadhimiya"),I163&gt;0,I163&lt;=60),100,IF(AND(OR(D163="Mansour",D163="Wehda",D163="Alsadar",D163&lt;&gt;"Kadhimiya"),I163&gt;60,I163&lt;=120),110,IF(AND(OR(D163="Mansour",D163="Wehda",D163="Alsadar",D163="Kadhimiya"),I163&gt;120,I163&lt;200),120,IF(AND(OR(D163="Mansour",D163="Wehda",D163&lt;&gt;"Alsadar",D163="Kadhimiya"),I163&gt;=200),180))))))</f>
        <v>80</v>
      </c>
      <c r="BB163" s="170">
        <f t="shared" ref="BB163:BB168" si="368">AU163-AY163</f>
        <v>0</v>
      </c>
      <c r="BC163" s="202">
        <f>VLOOKUP(A163,ImportDataWA!A$14:AG$112,33,0)</f>
        <v>94.921366863148108</v>
      </c>
      <c r="BD163" s="170">
        <f t="shared" ref="BD163:BD168" si="369">AU163-AY163</f>
        <v>0</v>
      </c>
    </row>
    <row r="164" spans="1:56" hidden="1" x14ac:dyDescent="0.25">
      <c r="A164" s="197" t="s">
        <v>47</v>
      </c>
      <c r="B164" s="9" t="str">
        <f>VLOOKUP($A164,MainData!$A$4:$E$1967,2,FALSE)</f>
        <v>VSE</v>
      </c>
      <c r="C164" s="9" t="str">
        <f>VLOOKUP($A164,MainData!$A$4:$E$1967,3,FALSE)</f>
        <v>Ali Salman Ali</v>
      </c>
      <c r="D164" s="9" t="str">
        <f>VLOOKUP($A164,MainData!$A$4:$E$1967,4,FALSE)</f>
        <v>Wehda</v>
      </c>
      <c r="E164" s="9" t="str">
        <f>VLOOKUP($A164,MainData!$A$4:$E$1967,5,FALSE)</f>
        <v>Ezat Shamkhy Jaber</v>
      </c>
      <c r="F164" s="11">
        <f>SUMIFS(MainData!G:G,MainData!$A:$A,$A164)</f>
        <v>824202.83918234368</v>
      </c>
      <c r="G164" s="11">
        <f t="shared" si="279"/>
        <v>777777.77777777775</v>
      </c>
      <c r="H164" s="53">
        <f t="shared" si="339"/>
        <v>1.0596893646630134</v>
      </c>
      <c r="I164" s="10">
        <f>SUMIFS(MainData!F:F,MainData!$A:$A,$A164)</f>
        <v>228</v>
      </c>
      <c r="J164" s="10">
        <f t="shared" si="318"/>
        <v>889</v>
      </c>
      <c r="K164" s="53">
        <f t="shared" si="340"/>
        <v>0.25646794150731156</v>
      </c>
      <c r="L164" s="11">
        <f>SUMIFS(MainData!K:K,MainData!$A:$A,$A164)</f>
        <v>51515.15151515152</v>
      </c>
      <c r="M164" s="11">
        <f t="shared" si="295"/>
        <v>79545.45</v>
      </c>
      <c r="N164" s="53">
        <f t="shared" si="341"/>
        <v>0.64761908462585249</v>
      </c>
      <c r="O164" s="256">
        <f>SUMIFS(MainData!J:J,MainData!$A:$A,$A164)</f>
        <v>7</v>
      </c>
      <c r="P164" s="10">
        <f>IF($B164=$B$4,0,IF($B164=$B$1,VLOOKUP(D164,Target_Entry!$A$8:$AF$23,5,0),IF(LO!B164=LO!$B$2,VLOOKUP(LO!D164,Target_Entry!$A$8:$AF$23,25,0),IF(LO!B164=LO!$B$3,VLOOKUP(LO!D164,Target_Entry!$A$8:$AF$23,15,0)))))</f>
        <v>8</v>
      </c>
      <c r="Q164" s="53">
        <f t="shared" si="342"/>
        <v>0.875</v>
      </c>
      <c r="R164" s="10">
        <f>SUMIFS(MainData!J:J,MainData!$A:$A,$A164)</f>
        <v>7</v>
      </c>
      <c r="S164" s="10">
        <f>SUMIFS(MainData!M:M,MainData!$A:$A,$A164)</f>
        <v>6</v>
      </c>
      <c r="T164" s="53">
        <f t="shared" si="343"/>
        <v>0.8571428571428571</v>
      </c>
      <c r="U164" s="10">
        <f>SUMIFS(MainData!L:L,MainData!$A:$A,$A164)</f>
        <v>0</v>
      </c>
      <c r="V164" s="12">
        <f t="shared" si="344"/>
        <v>0</v>
      </c>
      <c r="W164" s="10">
        <f>SUMIFS(MainData!F:F,MainData!$A:$A,$A164)</f>
        <v>228</v>
      </c>
      <c r="X164" s="12">
        <f t="shared" si="345"/>
        <v>0.91200000000000003</v>
      </c>
      <c r="Y164" s="11">
        <f>SUMIFS(MainData!H:H,MainData!$A:$A,$A164)</f>
        <v>30419.240545454541</v>
      </c>
      <c r="Z164" s="12">
        <f t="shared" si="346"/>
        <v>3.6907468767800128E-2</v>
      </c>
      <c r="AA164" s="11">
        <f>SUMIFS(MainData!I:I,MainData!$A:$A,$A164)</f>
        <v>21101.984990525132</v>
      </c>
      <c r="AB164" s="231">
        <f t="shared" si="347"/>
        <v>2.5602902571240239E-2</v>
      </c>
      <c r="AC164" s="182"/>
      <c r="AD164" s="18">
        <f t="shared" si="348"/>
        <v>10</v>
      </c>
      <c r="AE164" s="18">
        <f t="shared" si="349"/>
        <v>0</v>
      </c>
      <c r="AF164" s="18">
        <f t="shared" si="350"/>
        <v>0</v>
      </c>
      <c r="AG164" s="18">
        <f t="shared" si="351"/>
        <v>0</v>
      </c>
      <c r="AH164" s="18">
        <f t="shared" si="352"/>
        <v>3.9277593696599613</v>
      </c>
      <c r="AI164" s="18">
        <f t="shared" si="353"/>
        <v>31.099274357189941</v>
      </c>
      <c r="AJ164" s="18">
        <f t="shared" si="354"/>
        <v>4.12</v>
      </c>
      <c r="AK164" s="18">
        <f t="shared" si="355"/>
        <v>5</v>
      </c>
      <c r="AL164" s="18">
        <f t="shared" si="356"/>
        <v>0</v>
      </c>
      <c r="AM164" s="36">
        <f t="shared" si="357"/>
        <v>54</v>
      </c>
      <c r="AN164" s="36">
        <f t="shared" si="358"/>
        <v>0</v>
      </c>
      <c r="AO164" s="183">
        <v>1032</v>
      </c>
      <c r="AP164" s="184">
        <v>0</v>
      </c>
      <c r="AQ164" s="184">
        <v>78</v>
      </c>
      <c r="AR164" s="28">
        <f t="shared" si="359"/>
        <v>1110</v>
      </c>
      <c r="AS164" s="28">
        <f t="shared" si="360"/>
        <v>826</v>
      </c>
      <c r="AT164" s="163">
        <f t="shared" si="361"/>
        <v>284</v>
      </c>
      <c r="AU164" s="28">
        <f t="shared" si="362"/>
        <v>0</v>
      </c>
      <c r="AV164" s="147">
        <f t="shared" si="363"/>
        <v>826</v>
      </c>
      <c r="AW164" s="147">
        <f t="shared" si="364"/>
        <v>-284</v>
      </c>
      <c r="AX164" s="148">
        <f t="shared" si="365"/>
        <v>0.74414414414414409</v>
      </c>
      <c r="AY164" s="167">
        <f t="shared" si="366"/>
        <v>0</v>
      </c>
      <c r="AZ164" s="167">
        <f t="shared" si="367"/>
        <v>140</v>
      </c>
      <c r="BB164" s="170">
        <f t="shared" si="368"/>
        <v>0</v>
      </c>
      <c r="BC164" s="202">
        <f>VLOOKUP(A164,ImportDataWA!A$14:AG$112,33,0)</f>
        <v>98.316546990313796</v>
      </c>
      <c r="BD164" s="170">
        <f t="shared" si="369"/>
        <v>0</v>
      </c>
    </row>
    <row r="165" spans="1:56" hidden="1" x14ac:dyDescent="0.25">
      <c r="A165" s="198" t="s">
        <v>225</v>
      </c>
      <c r="B165" s="9" t="str">
        <f>VLOOKUP($A165,MainData!$A$4:$E$1967,2,FALSE)</f>
        <v>VSE</v>
      </c>
      <c r="C165" s="9" t="str">
        <f>VLOOKUP($A165,MainData!$A$4:$E$1967,3,FALSE)</f>
        <v>Ali Mehdi Dawood</v>
      </c>
      <c r="D165" s="9" t="str">
        <f>VLOOKUP($A165,MainData!$A$4:$E$1967,4,FALSE)</f>
        <v>Wehda</v>
      </c>
      <c r="E165" s="9" t="str">
        <f>VLOOKUP($A165,MainData!$A$4:$E$1967,5,FALSE)</f>
        <v>Ezat Shamkhy Jaber</v>
      </c>
      <c r="F165" s="11">
        <f>SUMIFS(MainData!G:G,MainData!$A:$A,$A165)</f>
        <v>845194.59965879668</v>
      </c>
      <c r="G165" s="11">
        <f t="shared" si="279"/>
        <v>777777.77777777775</v>
      </c>
      <c r="H165" s="53">
        <f t="shared" si="339"/>
        <v>1.0866787709898815</v>
      </c>
      <c r="I165" s="10">
        <f>SUMIFS(MainData!F:F,MainData!$A:$A,$A165)</f>
        <v>208</v>
      </c>
      <c r="J165" s="10">
        <f t="shared" si="318"/>
        <v>889</v>
      </c>
      <c r="K165" s="53">
        <f t="shared" si="340"/>
        <v>0.23397075365579303</v>
      </c>
      <c r="L165" s="11">
        <f>SUMIFS(MainData!K:K,MainData!$A:$A,$A165)</f>
        <v>65909.090909090912</v>
      </c>
      <c r="M165" s="11">
        <f t="shared" si="295"/>
        <v>79545.45</v>
      </c>
      <c r="N165" s="53">
        <f t="shared" si="341"/>
        <v>0.8285714759183701</v>
      </c>
      <c r="O165" s="256">
        <f>SUMIFS(MainData!J:J,MainData!$A:$A,$A165)</f>
        <v>12</v>
      </c>
      <c r="P165" s="10">
        <f>IF($B165=$B$4,0,IF($B165=$B$1,VLOOKUP(D165,Target_Entry!$A$8:$AF$23,5,0),IF(LO!B165=LO!$B$2,VLOOKUP(LO!D165,Target_Entry!$A$8:$AF$23,25,0),IF(LO!B165=LO!$B$3,VLOOKUP(LO!D165,Target_Entry!$A$8:$AF$23,15,0)))))</f>
        <v>8</v>
      </c>
      <c r="Q165" s="53">
        <f t="shared" si="342"/>
        <v>1.5</v>
      </c>
      <c r="R165" s="10">
        <f>SUMIFS(MainData!J:J,MainData!$A:$A,$A165)</f>
        <v>12</v>
      </c>
      <c r="S165" s="10">
        <f>SUMIFS(MainData!M:M,MainData!$A:$A,$A165)</f>
        <v>7</v>
      </c>
      <c r="T165" s="53">
        <f t="shared" si="343"/>
        <v>0.58333333333333337</v>
      </c>
      <c r="U165" s="10">
        <f>SUMIFS(MainData!L:L,MainData!$A:$A,$A165)</f>
        <v>0</v>
      </c>
      <c r="V165" s="12">
        <f t="shared" si="344"/>
        <v>0</v>
      </c>
      <c r="W165" s="10">
        <f>SUMIFS(MainData!F:F,MainData!$A:$A,$A165)</f>
        <v>208</v>
      </c>
      <c r="X165" s="12">
        <f t="shared" si="345"/>
        <v>0.83199999999999996</v>
      </c>
      <c r="Y165" s="11">
        <f>SUMIFS(MainData!H:H,MainData!$A:$A,$A165)</f>
        <v>41028.916651515159</v>
      </c>
      <c r="Z165" s="12">
        <f t="shared" si="346"/>
        <v>4.8543751543228562E-2</v>
      </c>
      <c r="AA165" s="11">
        <f>SUMIFS(MainData!I:I,MainData!$A:$A,$A165)</f>
        <v>25067.171810606058</v>
      </c>
      <c r="AB165" s="231">
        <f t="shared" si="347"/>
        <v>2.9658461874609261E-2</v>
      </c>
      <c r="AC165" s="182"/>
      <c r="AD165" s="18">
        <f t="shared" si="348"/>
        <v>10</v>
      </c>
      <c r="AE165" s="18">
        <f t="shared" si="349"/>
        <v>0</v>
      </c>
      <c r="AF165" s="18">
        <f t="shared" si="350"/>
        <v>12.857147591837009</v>
      </c>
      <c r="AG165" s="18">
        <f t="shared" si="351"/>
        <v>0</v>
      </c>
      <c r="AH165" s="18">
        <f t="shared" si="352"/>
        <v>0.4368745370314322</v>
      </c>
      <c r="AI165" s="18">
        <f t="shared" si="353"/>
        <v>30.085384531347685</v>
      </c>
      <c r="AJ165" s="18">
        <f t="shared" si="354"/>
        <v>3.3199999999999994</v>
      </c>
      <c r="AK165" s="18">
        <f t="shared" si="355"/>
        <v>3.8333333333333339</v>
      </c>
      <c r="AL165" s="18">
        <f t="shared" si="356"/>
        <v>0</v>
      </c>
      <c r="AM165" s="36">
        <f t="shared" si="357"/>
        <v>61</v>
      </c>
      <c r="AN165" s="36">
        <f t="shared" si="358"/>
        <v>0</v>
      </c>
      <c r="AO165" s="183">
        <v>1061</v>
      </c>
      <c r="AP165" s="184">
        <v>0</v>
      </c>
      <c r="AQ165" s="184">
        <v>125</v>
      </c>
      <c r="AR165" s="28">
        <f t="shared" si="359"/>
        <v>1186</v>
      </c>
      <c r="AS165" s="28">
        <f t="shared" si="360"/>
        <v>849</v>
      </c>
      <c r="AT165" s="163">
        <f t="shared" si="361"/>
        <v>337</v>
      </c>
      <c r="AU165" s="28">
        <f t="shared" si="362"/>
        <v>0</v>
      </c>
      <c r="AV165" s="147">
        <f t="shared" si="363"/>
        <v>849</v>
      </c>
      <c r="AW165" s="147">
        <f t="shared" si="364"/>
        <v>-337</v>
      </c>
      <c r="AX165" s="148">
        <f t="shared" si="365"/>
        <v>0.71585160202360876</v>
      </c>
      <c r="AY165" s="167">
        <f t="shared" si="366"/>
        <v>0</v>
      </c>
      <c r="AZ165" s="167">
        <f t="shared" si="367"/>
        <v>140</v>
      </c>
      <c r="BB165" s="170">
        <f t="shared" si="368"/>
        <v>0</v>
      </c>
      <c r="BC165" s="202">
        <f>VLOOKUP(A165,ImportDataWA!A$14:AG$112,33,0)</f>
        <v>98.2867195690621</v>
      </c>
      <c r="BD165" s="170">
        <f t="shared" si="369"/>
        <v>0</v>
      </c>
    </row>
    <row r="166" spans="1:56" hidden="1" x14ac:dyDescent="0.25">
      <c r="A166" s="198" t="s">
        <v>55</v>
      </c>
      <c r="B166" s="9" t="str">
        <f>VLOOKUP($A166,MainData!$A$4:$E$1967,2,FALSE)</f>
        <v>VSE</v>
      </c>
      <c r="C166" s="9" t="str">
        <f>VLOOKUP($A166,MainData!$A$4:$E$1967,3,FALSE)</f>
        <v>Ali Mehdi Dawood</v>
      </c>
      <c r="D166" s="9" t="str">
        <f>VLOOKUP($A166,MainData!$A$4:$E$1967,4,FALSE)</f>
        <v>Wehda</v>
      </c>
      <c r="E166" s="9" t="str">
        <f>VLOOKUP($A166,MainData!$A$4:$E$1967,5,FALSE)</f>
        <v>Ezat Shamkhy Jaber</v>
      </c>
      <c r="F166" s="11">
        <f>SUMIFS(MainData!G:G,MainData!$A:$A,$A166)</f>
        <v>691551.61456154822</v>
      </c>
      <c r="G166" s="11">
        <f t="shared" si="279"/>
        <v>777777.77777777775</v>
      </c>
      <c r="H166" s="53">
        <f t="shared" si="339"/>
        <v>0.88913779015056205</v>
      </c>
      <c r="I166" s="10">
        <f>SUMIFS(MainData!F:F,MainData!$A:$A,$A166)</f>
        <v>183</v>
      </c>
      <c r="J166" s="10">
        <f t="shared" si="318"/>
        <v>889</v>
      </c>
      <c r="K166" s="53">
        <f t="shared" si="340"/>
        <v>0.20584926884139482</v>
      </c>
      <c r="L166" s="11">
        <f>SUMIFS(MainData!K:K,MainData!$A:$A,$A166)</f>
        <v>20454.545454545456</v>
      </c>
      <c r="M166" s="11">
        <f t="shared" si="295"/>
        <v>79545.45</v>
      </c>
      <c r="N166" s="53">
        <f t="shared" si="341"/>
        <v>0.25714287183673556</v>
      </c>
      <c r="O166" s="256">
        <f>SUMIFS(MainData!J:J,MainData!$A:$A,$A166)</f>
        <v>2</v>
      </c>
      <c r="P166" s="10">
        <f>IF($B166=$B$4,0,IF($B166=$B$1,VLOOKUP(D166,Target_Entry!$A$8:$AF$23,5,0),IF(LO!B166=LO!$B$2,VLOOKUP(LO!D166,Target_Entry!$A$8:$AF$23,25,0),IF(LO!B166=LO!$B$3,VLOOKUP(LO!D166,Target_Entry!$A$8:$AF$23,15,0)))))</f>
        <v>8</v>
      </c>
      <c r="Q166" s="53">
        <f t="shared" si="342"/>
        <v>0.25</v>
      </c>
      <c r="R166" s="10">
        <f>SUMIFS(MainData!J:J,MainData!$A:$A,$A166)</f>
        <v>2</v>
      </c>
      <c r="S166" s="10">
        <f>SUMIFS(MainData!M:M,MainData!$A:$A,$A166)</f>
        <v>1</v>
      </c>
      <c r="T166" s="53">
        <f t="shared" si="343"/>
        <v>0.5</v>
      </c>
      <c r="U166" s="10">
        <f>SUMIFS(MainData!L:L,MainData!$A:$A,$A166)</f>
        <v>0</v>
      </c>
      <c r="V166" s="12">
        <f t="shared" si="344"/>
        <v>0</v>
      </c>
      <c r="W166" s="10">
        <f>SUMIFS(MainData!F:F,MainData!$A:$A,$A166)</f>
        <v>183</v>
      </c>
      <c r="X166" s="12">
        <f t="shared" si="345"/>
        <v>0.73199999999999998</v>
      </c>
      <c r="Y166" s="11">
        <f>SUMIFS(MainData!H:H,MainData!$A:$A,$A166)</f>
        <v>21300.689083333338</v>
      </c>
      <c r="Z166" s="12">
        <f t="shared" si="346"/>
        <v>3.0801300488378185E-2</v>
      </c>
      <c r="AA166" s="11">
        <f>SUMIFS(MainData!I:I,MainData!$A:$A,$A166)</f>
        <v>22547.815068181815</v>
      </c>
      <c r="AB166" s="231">
        <f t="shared" si="347"/>
        <v>3.260467417529983E-2</v>
      </c>
      <c r="AC166" s="182"/>
      <c r="AD166" s="18">
        <f t="shared" si="348"/>
        <v>6.3045930050187327</v>
      </c>
      <c r="AE166" s="18">
        <f t="shared" si="349"/>
        <v>0</v>
      </c>
      <c r="AF166" s="18">
        <f t="shared" si="350"/>
        <v>0</v>
      </c>
      <c r="AG166" s="18">
        <f t="shared" si="351"/>
        <v>0</v>
      </c>
      <c r="AH166" s="18">
        <f t="shared" si="352"/>
        <v>5.7596098534865448</v>
      </c>
      <c r="AI166" s="18">
        <f t="shared" si="353"/>
        <v>29.348831456175041</v>
      </c>
      <c r="AJ166" s="18">
        <f t="shared" si="354"/>
        <v>2.3199999999999998</v>
      </c>
      <c r="AK166" s="18">
        <f t="shared" si="355"/>
        <v>2.9999999999999991</v>
      </c>
      <c r="AL166" s="18">
        <f t="shared" si="356"/>
        <v>0</v>
      </c>
      <c r="AM166" s="36">
        <f t="shared" si="357"/>
        <v>47</v>
      </c>
      <c r="AN166" s="36">
        <f t="shared" si="358"/>
        <v>0</v>
      </c>
      <c r="AO166" s="183">
        <v>756</v>
      </c>
      <c r="AP166" s="184">
        <v>0</v>
      </c>
      <c r="AQ166" s="184">
        <v>0</v>
      </c>
      <c r="AR166" s="28">
        <f t="shared" si="359"/>
        <v>756</v>
      </c>
      <c r="AS166" s="28">
        <f t="shared" si="360"/>
        <v>605</v>
      </c>
      <c r="AT166" s="163">
        <f t="shared" si="361"/>
        <v>151</v>
      </c>
      <c r="AU166" s="28">
        <f t="shared" si="362"/>
        <v>0</v>
      </c>
      <c r="AV166" s="147">
        <f t="shared" si="363"/>
        <v>605</v>
      </c>
      <c r="AW166" s="147">
        <f t="shared" si="364"/>
        <v>-151</v>
      </c>
      <c r="AX166" s="148">
        <f t="shared" si="365"/>
        <v>0.80026455026455023</v>
      </c>
      <c r="AY166" s="167">
        <f t="shared" si="366"/>
        <v>0</v>
      </c>
      <c r="AZ166" s="167">
        <f t="shared" si="367"/>
        <v>80</v>
      </c>
      <c r="BB166" s="170">
        <f t="shared" si="368"/>
        <v>0</v>
      </c>
      <c r="BC166" s="202">
        <f>VLOOKUP(A166,ImportDataWA!A$14:AG$112,33,0)</f>
        <v>97.294101443658661</v>
      </c>
      <c r="BD166" s="170">
        <f t="shared" si="369"/>
        <v>0</v>
      </c>
    </row>
    <row r="167" spans="1:56" hidden="1" x14ac:dyDescent="0.25">
      <c r="A167" s="198" t="s">
        <v>59</v>
      </c>
      <c r="B167" s="9" t="str">
        <f>VLOOKUP($A167,MainData!$A$4:$E$1967,2,FALSE)</f>
        <v>Micro</v>
      </c>
      <c r="C167" s="9" t="str">
        <f>VLOOKUP($A167,MainData!$A$4:$E$1967,3,FALSE)</f>
        <v>Ali Salman Ali</v>
      </c>
      <c r="D167" s="9" t="str">
        <f>VLOOKUP($A167,MainData!$A$4:$E$1967,4,FALSE)</f>
        <v>Wehda</v>
      </c>
      <c r="E167" s="9" t="str">
        <f>VLOOKUP($A167,MainData!$A$4:$E$1967,5,FALSE)</f>
        <v>Ezat Shamkhy Jaber</v>
      </c>
      <c r="F167" s="11">
        <f>SUMIFS(MainData!G:G,MainData!$A:$A,$A167)</f>
        <v>789604.059323436</v>
      </c>
      <c r="G167" s="11">
        <f t="shared" si="279"/>
        <v>333333.33333333331</v>
      </c>
      <c r="H167" s="53">
        <f t="shared" si="339"/>
        <v>2.368812177970308</v>
      </c>
      <c r="I167" s="10">
        <f>SUMIFS(MainData!F:F,MainData!$A:$A,$A167)</f>
        <v>187</v>
      </c>
      <c r="J167" s="10">
        <f t="shared" si="318"/>
        <v>400</v>
      </c>
      <c r="K167" s="53">
        <f t="shared" si="340"/>
        <v>0.46750000000000003</v>
      </c>
      <c r="L167" s="11">
        <f>SUMIFS(MainData!K:K,MainData!$A:$A,$A167)</f>
        <v>74242.424242424255</v>
      </c>
      <c r="M167" s="11">
        <f t="shared" si="295"/>
        <v>56818.18</v>
      </c>
      <c r="N167" s="53">
        <f t="shared" si="341"/>
        <v>1.3066667084800017</v>
      </c>
      <c r="O167" s="256">
        <f>SUMIFS(MainData!J:J,MainData!$A:$A,$A167)</f>
        <v>10</v>
      </c>
      <c r="P167" s="10">
        <f>IF($B167=$B$4,0,IF($B167=$B$1,VLOOKUP(D167,Target_Entry!$A$8:$AF$23,5,0),IF(LO!B167=LO!$B$2,VLOOKUP(LO!D167,Target_Entry!$A$8:$AF$23,25,0),IF(LO!B167=LO!$B$3,VLOOKUP(LO!D167,Target_Entry!$A$8:$AF$23,15,0)))))</f>
        <v>15</v>
      </c>
      <c r="Q167" s="53">
        <f t="shared" si="342"/>
        <v>0.66666666666666663</v>
      </c>
      <c r="R167" s="10">
        <f>SUMIFS(MainData!J:J,MainData!$A:$A,$A167)</f>
        <v>10</v>
      </c>
      <c r="S167" s="10">
        <f>SUMIFS(MainData!M:M,MainData!$A:$A,$A167)</f>
        <v>4</v>
      </c>
      <c r="T167" s="53">
        <f t="shared" si="343"/>
        <v>0.4</v>
      </c>
      <c r="U167" s="10">
        <f>SUMIFS(MainData!L:L,MainData!$A:$A,$A167)</f>
        <v>1</v>
      </c>
      <c r="V167" s="12">
        <f t="shared" si="344"/>
        <v>0.1</v>
      </c>
      <c r="W167" s="10">
        <f>SUMIFS(MainData!F:F,MainData!$A:$A,$A167)</f>
        <v>187</v>
      </c>
      <c r="X167" s="12">
        <f t="shared" si="345"/>
        <v>0.748</v>
      </c>
      <c r="Y167" s="11">
        <f>SUMIFS(MainData!H:H,MainData!$A:$A,$A167)</f>
        <v>20478.450846991982</v>
      </c>
      <c r="Z167" s="12">
        <f t="shared" si="346"/>
        <v>2.5935088105472417E-2</v>
      </c>
      <c r="AA167" s="11">
        <f>SUMIFS(MainData!I:I,MainData!$A:$A,$A167)</f>
        <v>7617.5914772727274</v>
      </c>
      <c r="AB167" s="12">
        <f t="shared" si="347"/>
        <v>9.6473560227131831E-3</v>
      </c>
      <c r="AC167" s="182"/>
      <c r="AD167" s="18">
        <f t="shared" si="348"/>
        <v>10</v>
      </c>
      <c r="AE167" s="18">
        <f t="shared" si="349"/>
        <v>0</v>
      </c>
      <c r="AF167" s="18">
        <f t="shared" si="350"/>
        <v>45</v>
      </c>
      <c r="AG167" s="18">
        <f t="shared" si="351"/>
        <v>0</v>
      </c>
      <c r="AH167" s="18">
        <f t="shared" si="352"/>
        <v>7.2194735683582758</v>
      </c>
      <c r="AI167" s="18">
        <f t="shared" si="353"/>
        <v>35.088160994321704</v>
      </c>
      <c r="AJ167" s="18">
        <f t="shared" si="354"/>
        <v>2.48</v>
      </c>
      <c r="AK167" s="18">
        <f t="shared" si="355"/>
        <v>2.0000000000000004</v>
      </c>
      <c r="AL167" s="18">
        <f t="shared" si="356"/>
        <v>1.666666666666667</v>
      </c>
      <c r="AM167" s="36">
        <f t="shared" si="357"/>
        <v>103</v>
      </c>
      <c r="AN167" s="36">
        <f t="shared" si="358"/>
        <v>103</v>
      </c>
      <c r="AO167" s="183">
        <v>933</v>
      </c>
      <c r="AP167" s="184">
        <v>0</v>
      </c>
      <c r="AQ167" s="184">
        <v>0</v>
      </c>
      <c r="AR167" s="28">
        <f t="shared" si="359"/>
        <v>933</v>
      </c>
      <c r="AS167" s="28">
        <f t="shared" si="360"/>
        <v>747</v>
      </c>
      <c r="AT167" s="163">
        <f t="shared" si="361"/>
        <v>186</v>
      </c>
      <c r="AU167" s="28">
        <f t="shared" si="362"/>
        <v>670</v>
      </c>
      <c r="AV167" s="147">
        <f t="shared" si="363"/>
        <v>1417</v>
      </c>
      <c r="AW167" s="147">
        <f t="shared" si="364"/>
        <v>484</v>
      </c>
      <c r="AX167" s="148">
        <f t="shared" si="365"/>
        <v>1.5187566988210075</v>
      </c>
      <c r="AY167" s="167">
        <f t="shared" si="366"/>
        <v>670</v>
      </c>
      <c r="AZ167" s="167">
        <f t="shared" si="367"/>
        <v>80</v>
      </c>
      <c r="BB167" s="170">
        <f t="shared" si="368"/>
        <v>0</v>
      </c>
      <c r="BC167" s="202">
        <f>VLOOKUP(A167,ImportDataWA!A$14:AG$112,33,0)</f>
        <v>98.627797224574692</v>
      </c>
      <c r="BD167" s="170">
        <f t="shared" si="369"/>
        <v>0</v>
      </c>
    </row>
    <row r="168" spans="1:56" hidden="1" x14ac:dyDescent="0.25">
      <c r="A168" s="195" t="s">
        <v>67</v>
      </c>
      <c r="B168" s="9" t="str">
        <f>VLOOKUP($A168,MainData!$A$4:$E$1967,2,FALSE)</f>
        <v>VSE</v>
      </c>
      <c r="C168" s="9" t="str">
        <f>VLOOKUP($A168,MainData!$A$4:$E$1967,3,FALSE)</f>
        <v>Ali Salman Ali</v>
      </c>
      <c r="D168" s="9" t="str">
        <f>VLOOKUP($A168,MainData!$A$4:$E$1967,4,FALSE)</f>
        <v>Wehda</v>
      </c>
      <c r="E168" s="9" t="str">
        <f>VLOOKUP($A168,MainData!$A$4:$E$1967,5,FALSE)</f>
        <v>Ezat Shamkhy Jaber</v>
      </c>
      <c r="F168" s="11">
        <f>SUMIFS(MainData!G:G,MainData!$A:$A,$A168)</f>
        <v>741034.5637575757</v>
      </c>
      <c r="G168" s="11">
        <f t="shared" si="279"/>
        <v>777777.77777777775</v>
      </c>
      <c r="H168" s="53">
        <f t="shared" si="339"/>
        <v>0.95275872483116875</v>
      </c>
      <c r="I168" s="10">
        <f>SUMIFS(MainData!F:F,MainData!$A:$A,$A168)</f>
        <v>114</v>
      </c>
      <c r="J168" s="10">
        <f t="shared" si="318"/>
        <v>889</v>
      </c>
      <c r="K168" s="53">
        <f t="shared" si="340"/>
        <v>0.12823397075365578</v>
      </c>
      <c r="L168" s="11">
        <f>SUMIFS(MainData!K:K,MainData!$A:$A,$A168)</f>
        <v>23484.848484848488</v>
      </c>
      <c r="M168" s="11">
        <f t="shared" si="295"/>
        <v>79545.45</v>
      </c>
      <c r="N168" s="53">
        <f t="shared" si="341"/>
        <v>0.29523811210884454</v>
      </c>
      <c r="O168" s="256">
        <f>SUMIFS(MainData!J:J,MainData!$A:$A,$A168)</f>
        <v>3</v>
      </c>
      <c r="P168" s="10">
        <f>IF($B168=$B$4,0,IF($B168=$B$1,VLOOKUP(D168,Target_Entry!$A$8:$AF$23,5,0),IF(LO!B168=LO!$B$2,VLOOKUP(LO!D168,Target_Entry!$A$8:$AF$23,25,0),IF(LO!B168=LO!$B$3,VLOOKUP(LO!D168,Target_Entry!$A$8:$AF$23,15,0)))))</f>
        <v>8</v>
      </c>
      <c r="Q168" s="53">
        <f t="shared" si="342"/>
        <v>0.375</v>
      </c>
      <c r="R168" s="10">
        <f>SUMIFS(MainData!J:J,MainData!$A:$A,$A168)</f>
        <v>3</v>
      </c>
      <c r="S168" s="10">
        <f>SUMIFS(MainData!M:M,MainData!$A:$A,$A168)</f>
        <v>1</v>
      </c>
      <c r="T168" s="53">
        <f t="shared" si="343"/>
        <v>0.33333333333333331</v>
      </c>
      <c r="U168" s="10">
        <f>SUMIFS(MainData!L:L,MainData!$A:$A,$A168)</f>
        <v>1</v>
      </c>
      <c r="V168" s="12">
        <f t="shared" si="344"/>
        <v>0.33333333333333331</v>
      </c>
      <c r="W168" s="10">
        <f>SUMIFS(MainData!F:F,MainData!$A:$A,$A168)</f>
        <v>114</v>
      </c>
      <c r="X168" s="12">
        <f t="shared" si="345"/>
        <v>0.45600000000000002</v>
      </c>
      <c r="Y168" s="11">
        <f>SUMIFS(MainData!H:H,MainData!$A:$A,$A168)</f>
        <v>28095.82340909091</v>
      </c>
      <c r="Z168" s="12">
        <f t="shared" si="346"/>
        <v>3.7914322466451461E-2</v>
      </c>
      <c r="AA168" s="11">
        <f>SUMIFS(MainData!I:I,MainData!$A:$A,$A168)</f>
        <v>21604.986431818179</v>
      </c>
      <c r="AB168" s="12">
        <f t="shared" si="347"/>
        <v>2.9155166963151399E-2</v>
      </c>
      <c r="AC168" s="182"/>
      <c r="AD168" s="18">
        <f t="shared" si="348"/>
        <v>8.4252908277056235</v>
      </c>
      <c r="AE168" s="18">
        <f t="shared" si="349"/>
        <v>0</v>
      </c>
      <c r="AF168" s="18">
        <f t="shared" si="350"/>
        <v>0</v>
      </c>
      <c r="AG168" s="18">
        <f t="shared" si="351"/>
        <v>0</v>
      </c>
      <c r="AH168" s="18">
        <f t="shared" si="352"/>
        <v>3.6257032600645616</v>
      </c>
      <c r="AI168" s="18">
        <f t="shared" si="353"/>
        <v>30.21120825921215</v>
      </c>
      <c r="AJ168" s="18">
        <f t="shared" si="354"/>
        <v>0</v>
      </c>
      <c r="AK168" s="18">
        <f t="shared" si="355"/>
        <v>1.3333333333333333</v>
      </c>
      <c r="AL168" s="18">
        <f t="shared" si="356"/>
        <v>5</v>
      </c>
      <c r="AM168" s="36">
        <f t="shared" si="357"/>
        <v>49</v>
      </c>
      <c r="AN168" s="36">
        <f t="shared" si="358"/>
        <v>0</v>
      </c>
      <c r="AO168" s="183"/>
      <c r="AP168" s="184"/>
      <c r="AQ168" s="184"/>
      <c r="AR168" s="28">
        <f t="shared" si="359"/>
        <v>0</v>
      </c>
      <c r="AS168" s="28">
        <f t="shared" si="360"/>
        <v>0</v>
      </c>
      <c r="AT168" s="28">
        <f t="shared" si="361"/>
        <v>0</v>
      </c>
      <c r="AU168" s="28">
        <f t="shared" si="362"/>
        <v>0</v>
      </c>
      <c r="AV168" s="147">
        <f t="shared" si="363"/>
        <v>0</v>
      </c>
      <c r="AW168" s="147">
        <f t="shared" si="364"/>
        <v>0</v>
      </c>
      <c r="AX168" s="148">
        <f t="shared" si="365"/>
        <v>0</v>
      </c>
      <c r="AY168" s="167">
        <f>IF(O168&lt;3,0,0)+IF(O168=3,300,0)+IF(O168=4,400,0)+IF(O168=5,500,0)+IF(O168=6,600,0)</f>
        <v>300</v>
      </c>
      <c r="AZ168" s="167">
        <f>IF(O168&lt;3,75)+IF(O168=3,150)+IF(O168=4,150)+IF(O168=5,150)+IF(O168&gt;=6,200)</f>
        <v>150</v>
      </c>
      <c r="BA168">
        <v>69</v>
      </c>
      <c r="BB168" s="170">
        <f t="shared" si="368"/>
        <v>-300</v>
      </c>
      <c r="BC168" s="202">
        <f>VLOOKUP(A168,ImportDataWA!A$14:AG$112,33,0)</f>
        <v>98.480138854505924</v>
      </c>
      <c r="BD168" s="170">
        <f t="shared" si="369"/>
        <v>-300</v>
      </c>
    </row>
    <row r="169" spans="1:56" hidden="1" x14ac:dyDescent="0.25">
      <c r="A169" s="195" t="s">
        <v>72</v>
      </c>
      <c r="B169" s="9" t="str">
        <f>VLOOKUP($A169,MainData!$A$4:$E$1967,2,FALSE)</f>
        <v>VSE</v>
      </c>
      <c r="C169" s="9" t="str">
        <f>VLOOKUP($A169,MainData!$A$4:$E$1967,3,FALSE)</f>
        <v>Ali Salman Ali</v>
      </c>
      <c r="D169" s="9" t="str">
        <f>VLOOKUP($A169,MainData!$A$4:$E$1967,4,FALSE)</f>
        <v>Wehda</v>
      </c>
      <c r="E169" s="9" t="str">
        <f>VLOOKUP($A169,MainData!$A$4:$E$1967,5,FALSE)</f>
        <v>Ezat Shamkhy Jaber</v>
      </c>
      <c r="F169" s="11">
        <f>SUMIFS(MainData!G:G,MainData!$A:$A,$A169)</f>
        <v>756438.40926782566</v>
      </c>
      <c r="G169" s="11">
        <f t="shared" si="279"/>
        <v>777777.77777777775</v>
      </c>
      <c r="H169" s="53">
        <f t="shared" si="339"/>
        <v>0.97256366905863301</v>
      </c>
      <c r="I169" s="10">
        <f>SUMIFS(MainData!F:F,MainData!$A:$A,$A169)</f>
        <v>199</v>
      </c>
      <c r="J169" s="10">
        <f t="shared" si="318"/>
        <v>889</v>
      </c>
      <c r="K169" s="53">
        <f t="shared" si="340"/>
        <v>0.22384701912260968</v>
      </c>
      <c r="L169" s="11">
        <f>SUMIFS(MainData!K:K,MainData!$A:$A,$A169)</f>
        <v>56969.696969696983</v>
      </c>
      <c r="M169" s="11">
        <f t="shared" si="295"/>
        <v>79545.45</v>
      </c>
      <c r="N169" s="53">
        <f t="shared" si="341"/>
        <v>0.71619051711564874</v>
      </c>
      <c r="O169" s="256">
        <f>SUMIFS(MainData!J:J,MainData!$A:$A,$A169)</f>
        <v>12</v>
      </c>
      <c r="P169" s="10">
        <f>IF($B169=$B$4,0,IF($B169=$B$1,VLOOKUP(D169,Target_Entry!$A$8:$AF$23,5,0),IF(LO!B169=LO!$B$2,VLOOKUP(LO!D169,Target_Entry!$A$8:$AF$23,25,0),IF(LO!B169=LO!$B$3,VLOOKUP(LO!D169,Target_Entry!$A$8:$AF$23,15,0)))))</f>
        <v>8</v>
      </c>
      <c r="Q169" s="53">
        <f t="shared" si="342"/>
        <v>1.5</v>
      </c>
      <c r="R169" s="10">
        <f>SUMIFS(MainData!J:J,MainData!$A:$A,$A169)</f>
        <v>12</v>
      </c>
      <c r="S169" s="10">
        <f>SUMIFS(MainData!M:M,MainData!$A:$A,$A169)</f>
        <v>8</v>
      </c>
      <c r="T169" s="53">
        <f t="shared" si="343"/>
        <v>0.66666666666666663</v>
      </c>
      <c r="U169" s="10">
        <f>SUMIFS(MainData!L:L,MainData!$A:$A,$A169)</f>
        <v>2</v>
      </c>
      <c r="V169" s="12">
        <f t="shared" si="344"/>
        <v>0.16666666666666666</v>
      </c>
      <c r="W169" s="10">
        <f>SUMIFS(MainData!F:F,MainData!$A:$A,$A169)</f>
        <v>199</v>
      </c>
      <c r="X169" s="12">
        <f t="shared" si="345"/>
        <v>0.79600000000000004</v>
      </c>
      <c r="Y169" s="11">
        <f>SUMIFS(MainData!H:H,MainData!$A:$A,$A169)</f>
        <v>22295.461765151515</v>
      </c>
      <c r="Z169" s="12">
        <f t="shared" si="346"/>
        <v>2.947425922849662E-2</v>
      </c>
      <c r="AA169" s="11">
        <f>SUMIFS(MainData!I:I,MainData!$A:$A,$A169)</f>
        <v>19341.108651515151</v>
      </c>
      <c r="AB169" s="231">
        <f t="shared" si="347"/>
        <v>2.5568649627715045E-2</v>
      </c>
      <c r="AC169" s="182"/>
      <c r="AD169" s="18">
        <f t="shared" si="348"/>
        <v>9.0854556352877669</v>
      </c>
      <c r="AE169" s="18">
        <f t="shared" si="349"/>
        <v>0</v>
      </c>
      <c r="AF169" s="18">
        <f t="shared" si="350"/>
        <v>1.6190517115648717</v>
      </c>
      <c r="AG169" s="18">
        <f t="shared" si="351"/>
        <v>0</v>
      </c>
      <c r="AH169" s="18">
        <f t="shared" si="352"/>
        <v>6.1577222314510145</v>
      </c>
      <c r="AI169" s="18">
        <f t="shared" si="353"/>
        <v>31.107837593071238</v>
      </c>
      <c r="AJ169" s="18">
        <f t="shared" si="354"/>
        <v>2.9600000000000004</v>
      </c>
      <c r="AK169" s="18">
        <f t="shared" si="355"/>
        <v>4.666666666666667</v>
      </c>
      <c r="AL169" s="18">
        <f t="shared" si="356"/>
        <v>2.7777777777777777</v>
      </c>
      <c r="AM169" s="36">
        <f t="shared" si="357"/>
        <v>58</v>
      </c>
      <c r="AN169" s="36">
        <f t="shared" si="358"/>
        <v>0</v>
      </c>
      <c r="AO169" s="183">
        <v>1048</v>
      </c>
      <c r="AP169" s="184">
        <v>0</v>
      </c>
      <c r="AQ169" s="184">
        <v>0</v>
      </c>
      <c r="AR169" s="28">
        <f>SUM(AO169:AQ169)</f>
        <v>1048</v>
      </c>
      <c r="AS169" s="28">
        <f>IF(AO169&gt;0,ROUNDUP($AO169*AS$3,0),0)</f>
        <v>839</v>
      </c>
      <c r="AT169" s="163">
        <f>AR169-AS169</f>
        <v>209</v>
      </c>
      <c r="AU169" s="28">
        <f>IF(AO169&gt;0,ROUND(AN169/$AN$1*AU$3,0),0)</f>
        <v>0</v>
      </c>
      <c r="AV169" s="147">
        <f>AU169+AS169</f>
        <v>839</v>
      </c>
      <c r="AW169" s="147">
        <f>AV169-AR169</f>
        <v>-209</v>
      </c>
      <c r="AX169" s="148">
        <f>IFERROR(AV169/AR169,0)</f>
        <v>0.80057251908396942</v>
      </c>
      <c r="AY169" s="167">
        <f>AU169</f>
        <v>0</v>
      </c>
      <c r="AZ169" s="167">
        <f>IF(O169&lt;18,IF(AND(I169&gt;0,I169&lt;=60),60,IF(AND(I169&gt;60,I169&lt;=120),70,IF(AND(I169&gt;120,I169&lt;200),80,IF(I169&gt;=200,140,0)))),IF(O169&gt;=18,IF(AND(OR(D169="Mansour",D169="Wehda",D169="Alsadar",D169="Kadhimiya"),I169&gt;0,I169&lt;=60),100,IF(AND(OR(D169="Mansour",D169="Wehda",D169="Alsadar",D169&lt;&gt;"Kadhimiya"),I169&gt;60,I169&lt;=120),110,IF(AND(OR(D169="Mansour",D169="Wehda",D169="Alsadar",D169="Kadhimiya"),I169&gt;120,I169&lt;200),120,IF(AND(OR(D169="Mansour",D169="Wehda",D169&lt;&gt;"Alsadar",D169="Kadhimiya"),I169&gt;=200),180))))))</f>
        <v>80</v>
      </c>
      <c r="BB169" s="170">
        <f>AU169-AY169</f>
        <v>0</v>
      </c>
      <c r="BC169" s="202">
        <f>VLOOKUP(A169,ImportDataWA!A$14:AG$112,33,0)</f>
        <v>96.768395486821333</v>
      </c>
      <c r="BD169" s="170">
        <f>AU169-AY169</f>
        <v>0</v>
      </c>
    </row>
    <row r="170" spans="1:56" hidden="1" x14ac:dyDescent="0.25">
      <c r="A170" s="192" t="s">
        <v>411</v>
      </c>
      <c r="B170" s="189" t="str">
        <f>VLOOKUP($A170,MainData!$A$4:$E$1967,2,FALSE)</f>
        <v>Inactive</v>
      </c>
      <c r="C170" s="189" t="str">
        <f>VLOOKUP($A170,MainData!$A$4:$E$1967,3,FALSE)</f>
        <v>Inactive</v>
      </c>
      <c r="D170" s="189" t="str">
        <f>VLOOKUP($A170,MainData!$A$4:$E$1967,4,FALSE)</f>
        <v>Wehda</v>
      </c>
      <c r="E170" s="189" t="str">
        <f>VLOOKUP($A170,MainData!$A$4:$E$1967,5,FALSE)</f>
        <v>Inactive</v>
      </c>
      <c r="F170" s="11">
        <f>SUMIFS(MainData!G:G,MainData!$A:$A,$A170)</f>
        <v>0</v>
      </c>
      <c r="G170" s="11">
        <f t="shared" ref="G170:G192" si="370">IF($B170=$B$4,0,IF($B170=$B$1,$E$1,IF($B170=$B$2,$E$2,IF($B170=$B$3,$E$3))))</f>
        <v>0</v>
      </c>
      <c r="H170" s="53">
        <f t="shared" si="339"/>
        <v>0</v>
      </c>
      <c r="I170" s="10">
        <f>SUMIFS(MainData!F:F,MainData!$A:$A,$A170)</f>
        <v>0</v>
      </c>
      <c r="J170" s="10">
        <f t="shared" si="318"/>
        <v>0</v>
      </c>
      <c r="K170" s="53">
        <f t="shared" si="340"/>
        <v>0</v>
      </c>
      <c r="L170" s="11">
        <f>SUMIFS(MainData!K:K,MainData!$A:$A,$A170)</f>
        <v>0</v>
      </c>
      <c r="M170" s="11">
        <f t="shared" si="295"/>
        <v>0</v>
      </c>
      <c r="N170" s="53">
        <f t="shared" si="341"/>
        <v>0</v>
      </c>
      <c r="O170" s="256">
        <f>SUMIFS(MainData!J:J,MainData!$A:$A,$A170)</f>
        <v>0</v>
      </c>
      <c r="P170" s="10">
        <f>IF($B170=$B$4,0,IF($B170=$B$1,VLOOKUP(D170,Target_Entry!$A$8:$AF$23,5,0),IF(LO!B170=LO!$B$2,VLOOKUP(LO!D170,Target_Entry!$A$8:$AF$23,25,0),IF(LO!B170=LO!$B$3,VLOOKUP(LO!D170,Target_Entry!$A$8:$AF$23,15,0)))))</f>
        <v>0</v>
      </c>
      <c r="Q170" s="53">
        <f t="shared" si="342"/>
        <v>0</v>
      </c>
      <c r="R170" s="10">
        <f>SUMIFS(MainData!J:J,MainData!$A:$A,$A170)</f>
        <v>0</v>
      </c>
      <c r="S170" s="10">
        <f>SUMIFS(MainData!M:M,MainData!$A:$A,$A170)</f>
        <v>0</v>
      </c>
      <c r="T170" s="53">
        <f t="shared" si="343"/>
        <v>0</v>
      </c>
      <c r="U170" s="10">
        <f>SUMIFS(MainData!L:L,MainData!$A:$A,$A170)</f>
        <v>0</v>
      </c>
      <c r="V170" s="12">
        <f t="shared" si="344"/>
        <v>0</v>
      </c>
      <c r="W170" s="10">
        <f>SUMIFS(MainData!F:F,MainData!$A:$A,$A170)</f>
        <v>0</v>
      </c>
      <c r="X170" s="12">
        <f t="shared" si="345"/>
        <v>0</v>
      </c>
      <c r="Y170" s="11">
        <f>SUMIFS(MainData!H:H,MainData!$A:$A,$A170)</f>
        <v>0</v>
      </c>
      <c r="Z170" s="12">
        <f t="shared" si="346"/>
        <v>0</v>
      </c>
      <c r="AA170" s="11">
        <f>SUMIFS(MainData!I:I,MainData!$A:$A,$A170)</f>
        <v>0</v>
      </c>
      <c r="AB170" s="12">
        <f t="shared" si="347"/>
        <v>0</v>
      </c>
      <c r="AC170" s="182"/>
      <c r="AD170" s="18">
        <f t="shared" si="348"/>
        <v>0</v>
      </c>
      <c r="AE170" s="18">
        <f t="shared" si="349"/>
        <v>0</v>
      </c>
      <c r="AF170" s="18">
        <f t="shared" si="350"/>
        <v>0</v>
      </c>
      <c r="AG170" s="18">
        <f t="shared" si="351"/>
        <v>0</v>
      </c>
      <c r="AH170" s="18">
        <f t="shared" si="352"/>
        <v>15</v>
      </c>
      <c r="AI170" s="18">
        <f t="shared" si="353"/>
        <v>37.5</v>
      </c>
      <c r="AJ170" s="18">
        <f t="shared" si="354"/>
        <v>0</v>
      </c>
      <c r="AK170" s="18">
        <f t="shared" si="355"/>
        <v>0</v>
      </c>
      <c r="AL170" s="18">
        <f t="shared" si="356"/>
        <v>0</v>
      </c>
      <c r="AM170" s="36">
        <f t="shared" si="357"/>
        <v>53</v>
      </c>
      <c r="AN170" s="36">
        <f t="shared" si="358"/>
        <v>0</v>
      </c>
      <c r="AO170" s="183"/>
      <c r="AP170" s="184"/>
      <c r="AQ170" s="184"/>
      <c r="AR170" s="28"/>
      <c r="AS170" s="28"/>
      <c r="AT170" s="163"/>
      <c r="AU170" s="28"/>
      <c r="AV170" s="147"/>
      <c r="AW170" s="147"/>
      <c r="AX170" s="148"/>
      <c r="AY170" s="167"/>
      <c r="AZ170" s="167"/>
      <c r="BB170" s="170"/>
      <c r="BC170" s="202"/>
    </row>
    <row r="171" spans="1:56" hidden="1" x14ac:dyDescent="0.25">
      <c r="A171" s="197" t="s">
        <v>43</v>
      </c>
      <c r="B171" s="9" t="str">
        <f>VLOOKUP($A171,MainData!$A$4:$E$1967,2,FALSE)</f>
        <v>Micro</v>
      </c>
      <c r="C171" s="9" t="str">
        <f>VLOOKUP($A171,MainData!$A$4:$E$1967,3,FALSE)</f>
        <v>Ali Mehdi Dawood</v>
      </c>
      <c r="D171" s="9" t="str">
        <f>VLOOKUP($A171,MainData!$A$4:$E$1967,4,FALSE)</f>
        <v>Wehda</v>
      </c>
      <c r="E171" s="9" t="str">
        <f>VLOOKUP($A171,MainData!$A$4:$E$1967,5,FALSE)</f>
        <v>Ezat Shamkhy Jaber</v>
      </c>
      <c r="F171" s="11">
        <f>SUMIFS(MainData!G:G,MainData!$A:$A,$A171)</f>
        <v>504313.54470163619</v>
      </c>
      <c r="G171" s="11">
        <f t="shared" si="370"/>
        <v>333333.33333333331</v>
      </c>
      <c r="H171" s="53">
        <f t="shared" si="339"/>
        <v>1.5129406341049088</v>
      </c>
      <c r="I171" s="10">
        <f>SUMIFS(MainData!F:F,MainData!$A:$A,$A171)</f>
        <v>193</v>
      </c>
      <c r="J171" s="10">
        <f t="shared" si="318"/>
        <v>400</v>
      </c>
      <c r="K171" s="53">
        <f t="shared" si="340"/>
        <v>0.48249999999999998</v>
      </c>
      <c r="L171" s="11">
        <f>SUMIFS(MainData!K:K,MainData!$A:$A,$A171)</f>
        <v>0</v>
      </c>
      <c r="M171" s="11">
        <f t="shared" si="295"/>
        <v>56818.18</v>
      </c>
      <c r="N171" s="53">
        <f t="shared" si="341"/>
        <v>0</v>
      </c>
      <c r="O171" s="256">
        <f>SUMIFS(MainData!J:J,MainData!$A:$A,$A171)</f>
        <v>0</v>
      </c>
      <c r="P171" s="10">
        <f>IF($B171=$B$4,0,IF($B171=$B$1,VLOOKUP(D171,Target_Entry!$A$8:$AF$23,5,0),IF(LO!B171=LO!$B$2,VLOOKUP(LO!D171,Target_Entry!$A$8:$AF$23,25,0),IF(LO!B171=LO!$B$3,VLOOKUP(LO!D171,Target_Entry!$A$8:$AF$23,15,0)))))</f>
        <v>15</v>
      </c>
      <c r="Q171" s="53">
        <f t="shared" si="342"/>
        <v>0</v>
      </c>
      <c r="R171" s="10">
        <f>SUMIFS(MainData!J:J,MainData!$A:$A,$A171)</f>
        <v>0</v>
      </c>
      <c r="S171" s="10">
        <f>SUMIFS(MainData!M:M,MainData!$A:$A,$A171)</f>
        <v>0</v>
      </c>
      <c r="T171" s="53">
        <f t="shared" si="343"/>
        <v>0</v>
      </c>
      <c r="U171" s="10">
        <f>SUMIFS(MainData!L:L,MainData!$A:$A,$A171)</f>
        <v>0</v>
      </c>
      <c r="V171" s="12">
        <f t="shared" si="344"/>
        <v>0</v>
      </c>
      <c r="W171" s="10">
        <f>SUMIFS(MainData!F:F,MainData!$A:$A,$A171)</f>
        <v>193</v>
      </c>
      <c r="X171" s="12">
        <f t="shared" si="345"/>
        <v>0.77200000000000002</v>
      </c>
      <c r="Y171" s="11">
        <f>SUMIFS(MainData!H:H,MainData!$A:$A,$A171)</f>
        <v>29917.53620649103</v>
      </c>
      <c r="Z171" s="12">
        <f t="shared" si="346"/>
        <v>5.9323285128482818E-2</v>
      </c>
      <c r="AA171" s="11">
        <f>SUMIFS(MainData!I:I,MainData!$A:$A,$A171)</f>
        <v>28863.099954545454</v>
      </c>
      <c r="AB171" s="12">
        <f t="shared" si="347"/>
        <v>5.7232450442356343E-2</v>
      </c>
      <c r="AC171" s="182"/>
      <c r="AD171" s="18">
        <f t="shared" si="348"/>
        <v>10</v>
      </c>
      <c r="AE171" s="18">
        <f t="shared" si="349"/>
        <v>0</v>
      </c>
      <c r="AF171" s="18">
        <f t="shared" si="350"/>
        <v>0</v>
      </c>
      <c r="AG171" s="18">
        <f t="shared" si="351"/>
        <v>0</v>
      </c>
      <c r="AH171" s="18">
        <f t="shared" si="352"/>
        <v>0</v>
      </c>
      <c r="AI171" s="18">
        <f t="shared" si="353"/>
        <v>23.191887389410915</v>
      </c>
      <c r="AJ171" s="18">
        <f t="shared" si="354"/>
        <v>2.72</v>
      </c>
      <c r="AK171" s="18">
        <f t="shared" si="355"/>
        <v>0</v>
      </c>
      <c r="AL171" s="18">
        <f t="shared" si="356"/>
        <v>0</v>
      </c>
      <c r="AM171" s="36">
        <f t="shared" si="357"/>
        <v>36</v>
      </c>
      <c r="AN171" s="36">
        <f t="shared" si="358"/>
        <v>0</v>
      </c>
      <c r="AO171" s="183">
        <v>1054</v>
      </c>
      <c r="AP171" s="184">
        <v>0</v>
      </c>
      <c r="AQ171" s="184">
        <v>129</v>
      </c>
      <c r="AR171" s="28">
        <f>SUM(AO171:AQ171)</f>
        <v>1183</v>
      </c>
      <c r="AS171" s="28">
        <f>IF(AO171&gt;0,ROUNDUP($AO171*AS$3,0),0)</f>
        <v>844</v>
      </c>
      <c r="AT171" s="163">
        <f>AR171-AS171</f>
        <v>339</v>
      </c>
      <c r="AU171" s="28">
        <f>IF(AO171&gt;0,ROUND(AN171/$AN$1*AU$3,0),0)</f>
        <v>0</v>
      </c>
      <c r="AV171" s="147">
        <f>AU171+AS171</f>
        <v>844</v>
      </c>
      <c r="AW171" s="147">
        <f>AV171-AR171</f>
        <v>-339</v>
      </c>
      <c r="AX171" s="148">
        <f>IFERROR(AV171/AR171,0)</f>
        <v>0.71344040574809808</v>
      </c>
      <c r="AY171" s="167">
        <f t="shared" ref="AY171" si="371">AU171</f>
        <v>0</v>
      </c>
      <c r="AZ171" s="167">
        <f>IF(O171&lt;18,IF(AND(I171&gt;0,I171&lt;=60),60,IF(AND(I171&gt;60,I171&lt;=120),70,IF(AND(I171&gt;120,I171&lt;200),80,IF(I171&gt;=200,140,0)))),IF(O171&gt;=18,IF(AND(OR(D171="Mansour",D171="Wehda",D171="Alsadar",D171="Kadhimiya"),I171&gt;0,I171&lt;=60),100,IF(AND(OR(D171="Mansour",D171="Wehda",D171="Alsadar",D171&lt;&gt;"Kadhimiya"),I171&gt;60,I171&lt;=120),110,IF(AND(OR(D171="Mansour",D171="Wehda",D171="Alsadar",D171="Kadhimiya"),I171&gt;120,I171&lt;200),120,IF(AND(OR(D171="Mansour",D171="Wehda",D171&lt;&gt;"Alsadar",D171="Kadhimiya"),I171&gt;=200),180))))))</f>
        <v>80</v>
      </c>
      <c r="BB171" s="170">
        <f>AU171-AY171</f>
        <v>0</v>
      </c>
      <c r="BC171" s="202">
        <f>VLOOKUP(A171,ImportDataWA!A$14:AG$112,33,0)</f>
        <v>95.615077093582272</v>
      </c>
      <c r="BD171" s="170">
        <f t="shared" ref="BD171:BD172" si="372">AU171-AY171</f>
        <v>0</v>
      </c>
    </row>
    <row r="172" spans="1:56" hidden="1" x14ac:dyDescent="0.25">
      <c r="A172" s="230" t="s">
        <v>108</v>
      </c>
      <c r="B172" s="214" t="str">
        <f>VLOOKUP($A172,MainData!$A$4:$E$1967,2,FALSE)</f>
        <v>VSE</v>
      </c>
      <c r="C172" s="214" t="str">
        <f>VLOOKUP($A172,MainData!$A$4:$E$1967,3,FALSE)</f>
        <v>Ali Mehdi Dawood</v>
      </c>
      <c r="D172" s="214" t="str">
        <f>VLOOKUP($A172,MainData!$A$4:$E$1967,4,FALSE)</f>
        <v>Wehda</v>
      </c>
      <c r="E172" s="214" t="str">
        <f>VLOOKUP($A172,MainData!$A$4:$E$1967,5,FALSE)</f>
        <v>Ezat Shamkhy Jaber</v>
      </c>
      <c r="F172" s="215">
        <f>SUMIFS(MainData!G:G,MainData!$A:$A,$A172)</f>
        <v>503981.93949909427</v>
      </c>
      <c r="G172" s="11">
        <f t="shared" si="370"/>
        <v>777777.77777777775</v>
      </c>
      <c r="H172" s="216">
        <f t="shared" si="339"/>
        <v>0.64797677935597842</v>
      </c>
      <c r="I172" s="217">
        <f>SUMIFS(MainData!F:F,MainData!$A:$A,$A172)</f>
        <v>105</v>
      </c>
      <c r="J172" s="10">
        <f t="shared" si="318"/>
        <v>889</v>
      </c>
      <c r="K172" s="216">
        <f t="shared" si="340"/>
        <v>0.11811023622047244</v>
      </c>
      <c r="L172" s="215">
        <f>SUMIFS(MainData!K:K,MainData!$A:$A,$A172)</f>
        <v>61742.424242424247</v>
      </c>
      <c r="M172" s="11">
        <f t="shared" si="295"/>
        <v>79545.45</v>
      </c>
      <c r="N172" s="53">
        <f t="shared" si="341"/>
        <v>0.77619052054422033</v>
      </c>
      <c r="O172" s="256">
        <f>SUMIFS(MainData!J:J,MainData!$A:$A,$A172)</f>
        <v>9</v>
      </c>
      <c r="P172" s="10">
        <f>IF($B172=$B$4,0,IF($B172=$B$1,VLOOKUP(D172,Target_Entry!$A$8:$AF$23,5,0),IF(LO!B172=LO!$B$2,VLOOKUP(LO!D172,Target_Entry!$A$8:$AF$23,25,0),IF(LO!B172=LO!$B$3,VLOOKUP(LO!D172,Target_Entry!$A$8:$AF$23,15,0)))))</f>
        <v>8</v>
      </c>
      <c r="Q172" s="216">
        <f t="shared" si="342"/>
        <v>1.125</v>
      </c>
      <c r="R172" s="217">
        <f>SUMIFS(MainData!J:J,MainData!$A:$A,$A172)</f>
        <v>9</v>
      </c>
      <c r="S172" s="217">
        <f>SUMIFS(MainData!M:M,MainData!$A:$A,$A172)</f>
        <v>5</v>
      </c>
      <c r="T172" s="216">
        <f t="shared" si="343"/>
        <v>0.55555555555555558</v>
      </c>
      <c r="U172" s="10">
        <f>SUMIFS(MainData!L:L,MainData!$A:$A,$A172)</f>
        <v>2</v>
      </c>
      <c r="V172" s="218">
        <f t="shared" si="344"/>
        <v>0.22222222222222221</v>
      </c>
      <c r="W172" s="217">
        <f>SUMIFS(MainData!F:F,MainData!$A:$A,$A172)</f>
        <v>105</v>
      </c>
      <c r="X172" s="218">
        <f t="shared" si="345"/>
        <v>0.42</v>
      </c>
      <c r="Y172" s="215">
        <f>SUMIFS(MainData!H:H,MainData!$A:$A,$A172)</f>
        <v>6200.436303030303</v>
      </c>
      <c r="Z172" s="12">
        <f t="shared" si="346"/>
        <v>1.2302893848126568E-2</v>
      </c>
      <c r="AA172" s="215">
        <f>SUMIFS(MainData!I:I,MainData!$A:$A,$A172)</f>
        <v>37411.314257575759</v>
      </c>
      <c r="AB172" s="12">
        <f t="shared" si="347"/>
        <v>7.4231458164470576E-2</v>
      </c>
      <c r="AC172" s="219"/>
      <c r="AD172" s="220">
        <f t="shared" si="348"/>
        <v>0</v>
      </c>
      <c r="AE172" s="220">
        <f t="shared" si="349"/>
        <v>0</v>
      </c>
      <c r="AF172" s="220">
        <f t="shared" si="350"/>
        <v>7.619052054422033</v>
      </c>
      <c r="AG172" s="220">
        <f t="shared" si="351"/>
        <v>0</v>
      </c>
      <c r="AH172" s="220">
        <f t="shared" si="352"/>
        <v>11.30913184556203</v>
      </c>
      <c r="AI172" s="220">
        <f t="shared" si="353"/>
        <v>18.942135458882355</v>
      </c>
      <c r="AJ172" s="220">
        <f t="shared" si="354"/>
        <v>0</v>
      </c>
      <c r="AK172" s="220">
        <f t="shared" si="355"/>
        <v>3.5555555555555562</v>
      </c>
      <c r="AL172" s="220">
        <f t="shared" si="356"/>
        <v>3.7037037037037033</v>
      </c>
      <c r="AM172" s="221">
        <f t="shared" si="357"/>
        <v>45</v>
      </c>
      <c r="AN172" s="36">
        <f t="shared" si="358"/>
        <v>0</v>
      </c>
      <c r="AO172" s="222"/>
      <c r="AP172" s="223"/>
      <c r="AQ172" s="223"/>
      <c r="AR172" s="224">
        <f>SUM(AO172:AQ172)</f>
        <v>0</v>
      </c>
      <c r="AS172" s="224">
        <f>IF(AO172&gt;0,ROUNDUP($AO172*AS$3,0),0)</f>
        <v>0</v>
      </c>
      <c r="AT172" s="224">
        <f>AR172-AS172</f>
        <v>0</v>
      </c>
      <c r="AU172" s="224">
        <f>IF(AO172&gt;0,ROUND(AN172/$AN$1*AU$3,0),0)</f>
        <v>0</v>
      </c>
      <c r="AV172" s="225">
        <f>AU172+AS172</f>
        <v>0</v>
      </c>
      <c r="AW172" s="225">
        <f>AV172-AR172</f>
        <v>0</v>
      </c>
      <c r="AX172" s="226">
        <f>IFERROR(AV172/AR172,0)</f>
        <v>0</v>
      </c>
      <c r="AY172" s="167">
        <f>IF(O172&lt;3,0,0)+IF(O172=3,300,0)+IF(O172=4,400,0)+IF(O172=5,500,0)+IF(O172=6,600,0)</f>
        <v>0</v>
      </c>
      <c r="AZ172" s="227">
        <f>IF(O172&lt;3,75)+IF(O172=3,150)+IF(O172=4,150)+IF(O172=5,150)+IF(O172&gt;=6,200)</f>
        <v>200</v>
      </c>
      <c r="BA172">
        <v>26</v>
      </c>
      <c r="BB172" s="170">
        <f>AU172-AY172</f>
        <v>0</v>
      </c>
      <c r="BC172" s="202">
        <f>VLOOKUP(A172,ImportDataWA!A$14:AG$112,33,0)</f>
        <v>95.531335073189851</v>
      </c>
      <c r="BD172" s="170">
        <f t="shared" si="372"/>
        <v>0</v>
      </c>
    </row>
    <row r="173" spans="1:56" hidden="1" x14ac:dyDescent="0.25">
      <c r="A173" s="232" t="s">
        <v>401</v>
      </c>
      <c r="B173" s="189" t="str">
        <f>VLOOKUP($A173,MainData!$A$4:$E$1967,2,FALSE)</f>
        <v>Inactive</v>
      </c>
      <c r="C173" s="189" t="str">
        <f>VLOOKUP($A173,MainData!$A$4:$E$1967,3,FALSE)</f>
        <v>Inactive</v>
      </c>
      <c r="D173" s="189" t="str">
        <f>VLOOKUP($A173,MainData!$A$4:$E$1967,4,FALSE)</f>
        <v>Hilla</v>
      </c>
      <c r="E173" s="189" t="str">
        <f>VLOOKUP($A173,MainData!$A$4:$E$1967,5,FALSE)</f>
        <v>Inactive</v>
      </c>
      <c r="F173" s="11">
        <f>SUMIFS(MainData!G:G,MainData!$A:$A,$A173)</f>
        <v>0</v>
      </c>
      <c r="G173" s="11">
        <f t="shared" si="370"/>
        <v>0</v>
      </c>
      <c r="H173" s="53">
        <f t="shared" si="339"/>
        <v>0</v>
      </c>
      <c r="I173" s="10">
        <f>SUMIFS(MainData!F:F,MainData!$A:$A,$A173)</f>
        <v>0</v>
      </c>
      <c r="J173" s="10">
        <f t="shared" si="318"/>
        <v>0</v>
      </c>
      <c r="K173" s="53">
        <f t="shared" si="340"/>
        <v>0</v>
      </c>
      <c r="L173" s="11">
        <f>SUMIFS(MainData!K:K,MainData!$A:$A,$A173)</f>
        <v>0</v>
      </c>
      <c r="M173" s="11">
        <f t="shared" si="295"/>
        <v>0</v>
      </c>
      <c r="N173" s="53">
        <f t="shared" si="341"/>
        <v>0</v>
      </c>
      <c r="O173" s="256">
        <f>SUMIFS(MainData!J:J,MainData!$A:$A,$A173)</f>
        <v>0</v>
      </c>
      <c r="P173" s="10">
        <f>IF($B173=$B$4,0,IF($B173=$B$1,VLOOKUP(D173,Target_Entry!$A$8:$AF$23,5,0),IF(LO!B173=LO!$B$2,VLOOKUP(LO!D173,Target_Entry!$A$8:$AF$23,25,0),IF(LO!B173=LO!$B$3,VLOOKUP(LO!D173,Target_Entry!$A$8:$AF$23,15,0)))))</f>
        <v>0</v>
      </c>
      <c r="Q173" s="53">
        <f t="shared" si="342"/>
        <v>0</v>
      </c>
      <c r="R173" s="10">
        <f>SUMIFS(MainData!J:J,MainData!$A:$A,$A173)</f>
        <v>0</v>
      </c>
      <c r="S173" s="10">
        <f>SUMIFS(MainData!M:M,MainData!$A:$A,$A173)</f>
        <v>0</v>
      </c>
      <c r="T173" s="53">
        <f t="shared" si="343"/>
        <v>0</v>
      </c>
      <c r="U173" s="10">
        <f>SUMIFS(MainData!L:L,MainData!$A:$A,$A173)</f>
        <v>0</v>
      </c>
      <c r="V173" s="12">
        <f t="shared" si="344"/>
        <v>0</v>
      </c>
      <c r="W173" s="10">
        <f>SUMIFS(MainData!F:F,MainData!$A:$A,$A173)</f>
        <v>0</v>
      </c>
      <c r="X173" s="12">
        <f t="shared" si="345"/>
        <v>0</v>
      </c>
      <c r="Y173" s="11">
        <f>SUMIFS(MainData!H:H,MainData!$A:$A,$A173)</f>
        <v>0</v>
      </c>
      <c r="Z173" s="12">
        <f t="shared" si="346"/>
        <v>0</v>
      </c>
      <c r="AA173" s="11">
        <f>SUMIFS(MainData!I:I,MainData!$A:$A,$A173)</f>
        <v>0</v>
      </c>
      <c r="AB173" s="12">
        <f t="shared" si="347"/>
        <v>0</v>
      </c>
      <c r="AC173" s="182"/>
      <c r="AD173" s="18">
        <f t="shared" si="348"/>
        <v>0</v>
      </c>
      <c r="AE173" s="18">
        <f t="shared" si="349"/>
        <v>0</v>
      </c>
      <c r="AF173" s="18">
        <f t="shared" si="350"/>
        <v>0</v>
      </c>
      <c r="AG173" s="18">
        <f t="shared" si="351"/>
        <v>0</v>
      </c>
      <c r="AH173" s="18">
        <f t="shared" si="352"/>
        <v>15</v>
      </c>
      <c r="AI173" s="18">
        <f t="shared" si="353"/>
        <v>37.5</v>
      </c>
      <c r="AJ173" s="18">
        <f t="shared" si="354"/>
        <v>0</v>
      </c>
      <c r="AK173" s="18">
        <f t="shared" si="355"/>
        <v>0</v>
      </c>
      <c r="AL173" s="18">
        <f t="shared" si="356"/>
        <v>0</v>
      </c>
      <c r="AM173" s="36">
        <f t="shared" si="357"/>
        <v>53</v>
      </c>
      <c r="AN173" s="36">
        <f t="shared" si="358"/>
        <v>0</v>
      </c>
      <c r="AO173" s="183"/>
      <c r="AP173" s="184"/>
      <c r="AQ173" s="184"/>
      <c r="AR173" s="28"/>
      <c r="AS173" s="28"/>
      <c r="AT173" s="163"/>
      <c r="AU173" s="28"/>
      <c r="AV173" s="147"/>
      <c r="AW173" s="147"/>
      <c r="AX173" s="148"/>
      <c r="AY173" s="167"/>
      <c r="AZ173" s="167"/>
      <c r="BB173" s="170"/>
      <c r="BC173" s="202"/>
    </row>
    <row r="174" spans="1:56" hidden="1" x14ac:dyDescent="0.25">
      <c r="A174" s="232" t="s">
        <v>402</v>
      </c>
      <c r="B174" s="189" t="str">
        <f>VLOOKUP($A174,MainData!$A$4:$E$1967,2,FALSE)</f>
        <v>Inactive</v>
      </c>
      <c r="C174" s="189" t="str">
        <f>VLOOKUP($A174,MainData!$A$4:$E$1967,3,FALSE)</f>
        <v>Inactive</v>
      </c>
      <c r="D174" s="189" t="str">
        <f>VLOOKUP($A174,MainData!$A$4:$E$1967,4,FALSE)</f>
        <v>Wehda</v>
      </c>
      <c r="E174" s="189" t="str">
        <f>VLOOKUP($A174,MainData!$A$4:$E$1967,5,FALSE)</f>
        <v>Inactive</v>
      </c>
      <c r="F174" s="11">
        <f>SUMIFS(MainData!G:G,MainData!$A:$A,$A174)</f>
        <v>0</v>
      </c>
      <c r="G174" s="11">
        <f t="shared" si="370"/>
        <v>0</v>
      </c>
      <c r="H174" s="53">
        <f t="shared" ref="H174" si="373">IFERROR(F174/G174,0)</f>
        <v>0</v>
      </c>
      <c r="I174" s="10">
        <f>SUMIFS(MainData!F:F,MainData!$A:$A,$A174)</f>
        <v>0</v>
      </c>
      <c r="J174" s="10">
        <f t="shared" si="318"/>
        <v>0</v>
      </c>
      <c r="K174" s="53">
        <f t="shared" ref="K174" si="374">IFERROR(I174/J174,0)</f>
        <v>0</v>
      </c>
      <c r="L174" s="11">
        <f>SUMIFS(MainData!K:K,MainData!$A:$A,$A174)</f>
        <v>0</v>
      </c>
      <c r="M174" s="11">
        <f t="shared" si="295"/>
        <v>0</v>
      </c>
      <c r="N174" s="53">
        <f t="shared" ref="N174" si="375">IFERROR(L174/M174,0)</f>
        <v>0</v>
      </c>
      <c r="O174" s="256">
        <f>SUMIFS(MainData!J:J,MainData!$A:$A,$A174)</f>
        <v>0</v>
      </c>
      <c r="P174" s="10">
        <f>IF($B174=$B$4,0,IF($B174=$B$1,VLOOKUP(D174,Target_Entry!$A$8:$AF$23,5,0),IF(LO!B174=LO!$B$2,VLOOKUP(LO!D174,Target_Entry!$A$8:$AF$23,25,0),IF(LO!B174=LO!$B$3,VLOOKUP(LO!D174,Target_Entry!$A$8:$AF$23,15,0)))))</f>
        <v>0</v>
      </c>
      <c r="Q174" s="53">
        <f t="shared" ref="Q174" si="376">IFERROR(O174/P174,0)</f>
        <v>0</v>
      </c>
      <c r="R174" s="10">
        <f>SUMIFS(MainData!J:J,MainData!$A:$A,$A174)</f>
        <v>0</v>
      </c>
      <c r="S174" s="10">
        <f>SUMIFS(MainData!M:M,MainData!$A:$A,$A174)</f>
        <v>0</v>
      </c>
      <c r="T174" s="53">
        <f t="shared" ref="T174" si="377">IFERROR(S174/R174,0)</f>
        <v>0</v>
      </c>
      <c r="U174" s="10">
        <f>SUMIFS(MainData!L:L,MainData!$A:$A,$A174)</f>
        <v>0</v>
      </c>
      <c r="V174" s="12">
        <f t="shared" ref="V174" si="378">IFERROR(U174/R174,0)</f>
        <v>0</v>
      </c>
      <c r="W174" s="10">
        <f>SUMIFS(MainData!F:F,MainData!$A:$A,$A174)</f>
        <v>0</v>
      </c>
      <c r="X174" s="12">
        <f t="shared" ref="X174" si="379">IF($B174=$B$2,W174/X$3,W174/X$2)</f>
        <v>0</v>
      </c>
      <c r="Y174" s="11">
        <f>SUMIFS(MainData!H:H,MainData!$A:$A,$A174)</f>
        <v>0</v>
      </c>
      <c r="Z174" s="12">
        <f t="shared" ref="Z174" si="380">IFERROR(Y174/$F174,0)</f>
        <v>0</v>
      </c>
      <c r="AA174" s="11">
        <f>SUMIFS(MainData!I:I,MainData!$A:$A,$A174)</f>
        <v>0</v>
      </c>
      <c r="AB174" s="12">
        <f t="shared" ref="AB174" si="381">IFERROR(AA174/$F174,0)</f>
        <v>0</v>
      </c>
      <c r="AD174" s="246"/>
      <c r="AE174" s="246"/>
      <c r="AF174" s="246"/>
      <c r="AG174" s="246"/>
      <c r="AH174" s="246"/>
      <c r="AI174" s="246"/>
      <c r="AJ174" s="246"/>
      <c r="AK174" s="246"/>
      <c r="AL174" s="246"/>
      <c r="AM174" s="247"/>
      <c r="AN174" s="247"/>
      <c r="AO174" s="234"/>
      <c r="AP174" s="235"/>
      <c r="AQ174" s="235"/>
      <c r="AR174" s="236"/>
      <c r="AS174" s="236"/>
      <c r="AT174" s="237"/>
      <c r="AU174" s="236"/>
      <c r="AV174" s="238"/>
      <c r="AW174" s="238"/>
      <c r="AX174" s="239"/>
      <c r="AY174" s="240"/>
      <c r="AZ174" s="240"/>
      <c r="BB174" s="170"/>
      <c r="BC174" s="202"/>
    </row>
    <row r="175" spans="1:56" hidden="1" x14ac:dyDescent="0.25">
      <c r="A175" s="269" t="s">
        <v>445</v>
      </c>
      <c r="B175" s="189" t="str">
        <f>VLOOKUP($A175,MainData!$A$4:$E$1967,2,FALSE)</f>
        <v>Micro</v>
      </c>
      <c r="C175" s="189" t="str">
        <f>VLOOKUP($A175,MainData!$A$4:$E$1967,3,FALSE)</f>
        <v>Hasanain Kadhum Abed</v>
      </c>
      <c r="D175" s="189" t="str">
        <f>VLOOKUP($A175,MainData!$A$4:$E$1967,4,FALSE)</f>
        <v>Hilla</v>
      </c>
      <c r="E175" s="189" t="str">
        <f>VLOOKUP($A175,MainData!$A$4:$E$1967,5,FALSE)</f>
        <v>Mustafa Sabeeh Hadi</v>
      </c>
      <c r="F175" s="11">
        <f>SUMIFS(MainData!G:G,MainData!$A:$A,$A175)</f>
        <v>91008.882287878761</v>
      </c>
      <c r="G175" s="11">
        <f t="shared" si="370"/>
        <v>333333.33333333331</v>
      </c>
      <c r="H175" s="53">
        <f t="shared" ref="H175:H176" si="382">IFERROR(F175/G175,0)</f>
        <v>0.27302664686363631</v>
      </c>
      <c r="I175" s="10">
        <f>SUMIFS(MainData!F:F,MainData!$A:$A,$A175)</f>
        <v>24</v>
      </c>
      <c r="J175" s="10">
        <f t="shared" si="318"/>
        <v>400</v>
      </c>
      <c r="K175" s="53">
        <f t="shared" ref="K175:K176" si="383">IFERROR(I175/J175,0)</f>
        <v>0.06</v>
      </c>
      <c r="L175" s="11">
        <f>SUMIFS(MainData!K:K,MainData!$A:$A,$A175)</f>
        <v>0</v>
      </c>
      <c r="M175" s="11">
        <f t="shared" si="295"/>
        <v>56818.18</v>
      </c>
      <c r="N175" s="53">
        <f t="shared" ref="N175:N176" si="384">IFERROR(L175/M175,0)</f>
        <v>0</v>
      </c>
      <c r="O175" s="256">
        <f>SUMIFS(MainData!J:J,MainData!$A:$A,$A175)</f>
        <v>0</v>
      </c>
      <c r="P175" s="10">
        <f>IF($B175=$B$4,0,IF($B175=$B$1,VLOOKUP(D175,Target_Entry!$A$8:$AF$23,5,0),IF(LO!B175=LO!$B$2,VLOOKUP(LO!D175,Target_Entry!$A$8:$AF$23,25,0),IF(LO!B175=LO!$B$3,VLOOKUP(LO!D175,Target_Entry!$A$8:$AF$23,15,0)))))</f>
        <v>15</v>
      </c>
      <c r="Q175" s="53">
        <f t="shared" ref="Q175:Q176" si="385">IFERROR(O175/P175,0)</f>
        <v>0</v>
      </c>
      <c r="R175" s="10">
        <f>SUMIFS(MainData!J:J,MainData!$A:$A,$A175)</f>
        <v>0</v>
      </c>
      <c r="S175" s="10">
        <f>SUMIFS(MainData!M:M,MainData!$A:$A,$A175)</f>
        <v>0</v>
      </c>
      <c r="T175" s="53">
        <f t="shared" ref="T175:T176" si="386">IFERROR(S175/R175,0)</f>
        <v>0</v>
      </c>
      <c r="U175" s="10">
        <f>SUMIFS(MainData!L:L,MainData!$A:$A,$A175)</f>
        <v>0</v>
      </c>
      <c r="V175" s="12">
        <f t="shared" ref="V175:V176" si="387">IFERROR(U175/R175,0)</f>
        <v>0</v>
      </c>
      <c r="W175" s="10">
        <f>SUMIFS(MainData!F:F,MainData!$A:$A,$A175)</f>
        <v>24</v>
      </c>
      <c r="X175" s="12">
        <f t="shared" ref="X175:X176" si="388">IF($B175=$B$2,W175/X$3,W175/X$2)</f>
        <v>9.6000000000000002E-2</v>
      </c>
      <c r="Y175" s="11">
        <f>SUMIFS(MainData!H:H,MainData!$A:$A,$A175)</f>
        <v>0</v>
      </c>
      <c r="Z175" s="12">
        <f t="shared" ref="Z175:Z176" si="389">IFERROR(Y175/$F175,0)</f>
        <v>0</v>
      </c>
      <c r="AA175" s="11">
        <f>SUMIFS(MainData!I:I,MainData!$A:$A,$A175)</f>
        <v>0</v>
      </c>
      <c r="AB175" s="12">
        <f t="shared" ref="AB175:AB176" si="390">IFERROR(AA175/$F175,0)</f>
        <v>0</v>
      </c>
      <c r="AD175" s="246"/>
      <c r="AE175" s="246"/>
      <c r="AF175" s="246"/>
      <c r="AG175" s="246"/>
      <c r="AH175" s="246"/>
      <c r="AI175" s="246"/>
      <c r="AJ175" s="246"/>
      <c r="AK175" s="246"/>
      <c r="AL175" s="246"/>
      <c r="AM175" s="247"/>
      <c r="AN175" s="247"/>
      <c r="AO175" s="234"/>
      <c r="AP175" s="235"/>
      <c r="AQ175" s="235"/>
      <c r="AR175" s="236"/>
      <c r="AS175" s="236"/>
      <c r="AT175" s="237"/>
      <c r="AU175" s="236"/>
      <c r="AV175" s="238"/>
      <c r="AW175" s="238"/>
      <c r="AX175" s="239"/>
      <c r="AY175" s="240"/>
      <c r="AZ175" s="240"/>
      <c r="BB175" s="170"/>
      <c r="BC175" s="202"/>
    </row>
    <row r="176" spans="1:56" hidden="1" x14ac:dyDescent="0.25">
      <c r="A176" s="269" t="s">
        <v>446</v>
      </c>
      <c r="B176" s="189" t="str">
        <f>VLOOKUP($A176,MainData!$A$4:$E$1967,2,FALSE)</f>
        <v>Micro</v>
      </c>
      <c r="C176" s="189" t="str">
        <f>VLOOKUP($A176,MainData!$A$4:$E$1967,3,FALSE)</f>
        <v>Hasanain Kadhum Abed</v>
      </c>
      <c r="D176" s="189" t="str">
        <f>VLOOKUP($A176,MainData!$A$4:$E$1967,4,FALSE)</f>
        <v>Hilla</v>
      </c>
      <c r="E176" s="189" t="str">
        <f>VLOOKUP($A176,MainData!$A$4:$E$1967,5,FALSE)</f>
        <v>Mustafa Sabeeh Hadi</v>
      </c>
      <c r="F176" s="11">
        <f>SUMIFS(MainData!G:G,MainData!$A:$A,$A176)</f>
        <v>117391.75352272726</v>
      </c>
      <c r="G176" s="11">
        <f t="shared" si="370"/>
        <v>333333.33333333331</v>
      </c>
      <c r="H176" s="53">
        <f t="shared" si="382"/>
        <v>0.35217526056818182</v>
      </c>
      <c r="I176" s="10">
        <f>SUMIFS(MainData!F:F,MainData!$A:$A,$A176)</f>
        <v>28</v>
      </c>
      <c r="J176" s="10">
        <f t="shared" si="318"/>
        <v>400</v>
      </c>
      <c r="K176" s="53">
        <f t="shared" si="383"/>
        <v>7.0000000000000007E-2</v>
      </c>
      <c r="L176" s="11">
        <f>SUMIFS(MainData!K:K,MainData!$A:$A,$A176)</f>
        <v>8333.3333333333321</v>
      </c>
      <c r="M176" s="11">
        <f t="shared" si="295"/>
        <v>56818.18</v>
      </c>
      <c r="N176" s="53">
        <f t="shared" si="384"/>
        <v>0.14666667136000014</v>
      </c>
      <c r="O176" s="256">
        <f>SUMIFS(MainData!J:J,MainData!$A:$A,$A176)</f>
        <v>2</v>
      </c>
      <c r="P176" s="10">
        <f>IF($B176=$B$4,0,IF($B176=$B$1,VLOOKUP(D176,Target_Entry!$A$8:$AF$23,5,0),IF(LO!B176=LO!$B$2,VLOOKUP(LO!D176,Target_Entry!$A$8:$AF$23,25,0),IF(LO!B176=LO!$B$3,VLOOKUP(LO!D176,Target_Entry!$A$8:$AF$23,15,0)))))</f>
        <v>15</v>
      </c>
      <c r="Q176" s="53">
        <f t="shared" si="385"/>
        <v>0.13333333333333333</v>
      </c>
      <c r="R176" s="10">
        <f>SUMIFS(MainData!J:J,MainData!$A:$A,$A176)</f>
        <v>2</v>
      </c>
      <c r="S176" s="10">
        <f>SUMIFS(MainData!M:M,MainData!$A:$A,$A176)</f>
        <v>0</v>
      </c>
      <c r="T176" s="53">
        <f t="shared" si="386"/>
        <v>0</v>
      </c>
      <c r="U176" s="10">
        <f>SUMIFS(MainData!L:L,MainData!$A:$A,$A176)</f>
        <v>0</v>
      </c>
      <c r="V176" s="12">
        <f t="shared" si="387"/>
        <v>0</v>
      </c>
      <c r="W176" s="10">
        <f>SUMIFS(MainData!F:F,MainData!$A:$A,$A176)</f>
        <v>28</v>
      </c>
      <c r="X176" s="12">
        <f t="shared" si="388"/>
        <v>0.112</v>
      </c>
      <c r="Y176" s="11">
        <f>SUMIFS(MainData!H:H,MainData!$A:$A,$A176)</f>
        <v>0</v>
      </c>
      <c r="Z176" s="12">
        <f t="shared" si="389"/>
        <v>0</v>
      </c>
      <c r="AA176" s="11">
        <f>SUMIFS(MainData!I:I,MainData!$A:$A,$A176)</f>
        <v>0</v>
      </c>
      <c r="AB176" s="12">
        <f t="shared" si="390"/>
        <v>0</v>
      </c>
      <c r="AD176" s="246"/>
      <c r="AE176" s="246"/>
      <c r="AF176" s="246"/>
      <c r="AG176" s="246"/>
      <c r="AH176" s="246"/>
      <c r="AI176" s="246"/>
      <c r="AJ176" s="246"/>
      <c r="AK176" s="246"/>
      <c r="AL176" s="246"/>
      <c r="AM176" s="247"/>
      <c r="AN176" s="247"/>
      <c r="AO176" s="234"/>
      <c r="AP176" s="235"/>
      <c r="AQ176" s="235"/>
      <c r="AR176" s="236"/>
      <c r="AS176" s="236"/>
      <c r="AT176" s="237"/>
      <c r="AU176" s="236"/>
      <c r="AV176" s="238"/>
      <c r="AW176" s="238"/>
      <c r="AX176" s="239"/>
      <c r="AY176" s="240"/>
      <c r="AZ176" s="240"/>
      <c r="BB176" s="170"/>
      <c r="BC176" s="202"/>
    </row>
    <row r="177" spans="1:55" hidden="1" x14ac:dyDescent="0.25">
      <c r="A177" s="211" t="s">
        <v>433</v>
      </c>
      <c r="B177" s="9" t="str">
        <f>VLOOKUP($A177,MainData!$A$4:$E$1967,2,FALSE)</f>
        <v>Micro</v>
      </c>
      <c r="C177" s="9" t="str">
        <f>VLOOKUP($A177,MainData!$A$4:$E$1967,3,FALSE)</f>
        <v>Dhea Ghani Mohammad</v>
      </c>
      <c r="D177" s="9" t="str">
        <f>VLOOKUP($A177,MainData!$A$4:$E$1967,4,FALSE)</f>
        <v>Hashimiyah</v>
      </c>
      <c r="E177" s="9" t="str">
        <f>VLOOKUP($A177,MainData!$A$4:$E$1967,5,FALSE)</f>
        <v>Hayder Hashim Mohammed</v>
      </c>
      <c r="F177" s="11">
        <f>SUMIFS(MainData!G:G,MainData!$A:$A,$A177)</f>
        <v>463395.84175757592</v>
      </c>
      <c r="G177" s="11">
        <f t="shared" si="370"/>
        <v>333333.33333333331</v>
      </c>
      <c r="H177" s="53">
        <f t="shared" ref="H177:H178" si="391">IFERROR(F177/G177,0)</f>
        <v>1.3901875252727278</v>
      </c>
      <c r="I177" s="10">
        <f>SUMIFS(MainData!F:F,MainData!$A:$A,$A177)</f>
        <v>123</v>
      </c>
      <c r="J177" s="10">
        <f t="shared" si="318"/>
        <v>400</v>
      </c>
      <c r="K177" s="53">
        <f t="shared" ref="K177:K178" si="392">IFERROR(I177/J177,0)</f>
        <v>0.3075</v>
      </c>
      <c r="L177" s="11">
        <f>SUMIFS(MainData!K:K,MainData!$A:$A,$A177)</f>
        <v>51515.15151515152</v>
      </c>
      <c r="M177" s="11">
        <f t="shared" si="295"/>
        <v>56818.18</v>
      </c>
      <c r="N177" s="53">
        <f t="shared" ref="N177:N178" si="393">IFERROR(L177/M177,0)</f>
        <v>0.90666669568000102</v>
      </c>
      <c r="O177" s="256">
        <f>SUMIFS(MainData!J:J,MainData!$A:$A,$A177)</f>
        <v>13</v>
      </c>
      <c r="P177" s="10">
        <f>IF($B177=$B$4,0,IF($B177=$B$1,VLOOKUP(D177,Target_Entry!$A$8:$AF$23,5,0),IF(LO!B177=LO!$B$2,VLOOKUP(LO!D177,Target_Entry!$A$8:$AF$23,25,0),IF(LO!B177=LO!$B$3,VLOOKUP(LO!D177,Target_Entry!$A$8:$AF$23,15,0)))))</f>
        <v>15</v>
      </c>
      <c r="Q177" s="53">
        <f t="shared" ref="Q177:Q178" si="394">IFERROR(O177/P177,0)</f>
        <v>0.8666666666666667</v>
      </c>
      <c r="R177" s="10">
        <f>SUMIFS(MainData!J:J,MainData!$A:$A,$A177)</f>
        <v>13</v>
      </c>
      <c r="S177" s="10">
        <f>SUMIFS(MainData!M:M,MainData!$A:$A,$A177)</f>
        <v>4</v>
      </c>
      <c r="T177" s="53">
        <f t="shared" ref="T177:T178" si="395">IFERROR(S177/R177,0)</f>
        <v>0.30769230769230771</v>
      </c>
      <c r="U177" s="10">
        <f>SUMIFS(MainData!L:L,MainData!$A:$A,$A177)</f>
        <v>7</v>
      </c>
      <c r="V177" s="12">
        <f t="shared" ref="V177:V178" si="396">IFERROR(U177/R177,0)</f>
        <v>0.53846153846153844</v>
      </c>
      <c r="W177" s="10">
        <f>SUMIFS(MainData!F:F,MainData!$A:$A,$A177)</f>
        <v>123</v>
      </c>
      <c r="X177" s="12">
        <f t="shared" ref="X177:X178" si="397">IF($B177=$B$2,W177/X$3,W177/X$2)</f>
        <v>0.49199999999999999</v>
      </c>
      <c r="Y177" s="11">
        <f>SUMIFS(MainData!H:H,MainData!$A:$A,$A177)</f>
        <v>9032.5792424242427</v>
      </c>
      <c r="Z177" s="12">
        <f t="shared" ref="Z177:Z178" si="398">IFERROR(Y177/$F177,0)</f>
        <v>1.9492145652764852E-2</v>
      </c>
      <c r="AA177" s="11">
        <f>SUMIFS(MainData!I:I,MainData!$A:$A,$A177)</f>
        <v>0</v>
      </c>
      <c r="AB177" s="12">
        <f t="shared" ref="AB177:AB178" si="399">IFERROR(AA177/$F177,0)</f>
        <v>0</v>
      </c>
      <c r="AD177" s="246"/>
      <c r="AE177" s="246"/>
      <c r="AF177" s="246"/>
      <c r="AG177" s="246"/>
      <c r="AH177" s="246"/>
      <c r="AI177" s="246"/>
      <c r="AJ177" s="246"/>
      <c r="AK177" s="246"/>
      <c r="AL177" s="246"/>
      <c r="AM177" s="247"/>
      <c r="AN177" s="247"/>
      <c r="AO177" s="234"/>
      <c r="AP177" s="235"/>
      <c r="AQ177" s="235"/>
      <c r="AR177" s="236"/>
      <c r="AS177" s="236"/>
      <c r="AT177" s="237"/>
      <c r="AU177" s="236"/>
      <c r="AV177" s="238"/>
      <c r="AW177" s="238"/>
      <c r="AX177" s="239"/>
      <c r="AY177" s="240"/>
      <c r="AZ177" s="240"/>
      <c r="BB177" s="170"/>
      <c r="BC177" s="202"/>
    </row>
    <row r="178" spans="1:55" hidden="1" x14ac:dyDescent="0.25">
      <c r="A178" s="211" t="s">
        <v>434</v>
      </c>
      <c r="B178" s="9" t="str">
        <f>VLOOKUP($A178,MainData!$A$4:$E$1967,2,FALSE)</f>
        <v>Micro</v>
      </c>
      <c r="C178" s="9" t="str">
        <f>VLOOKUP($A178,MainData!$A$4:$E$1967,3,FALSE)</f>
        <v xml:space="preserve"> Hayder  Hussein Obayes</v>
      </c>
      <c r="D178" s="9" t="str">
        <f>VLOOKUP($A178,MainData!$A$4:$E$1967,4,FALSE)</f>
        <v>Hashimiyah</v>
      </c>
      <c r="E178" s="9" t="str">
        <f>VLOOKUP($A178,MainData!$A$4:$E$1967,5,FALSE)</f>
        <v>Hayder Hashim Mohammed</v>
      </c>
      <c r="F178" s="11">
        <f>SUMIFS(MainData!G:G,MainData!$A:$A,$A178)</f>
        <v>225234.3097512908</v>
      </c>
      <c r="G178" s="11">
        <f t="shared" si="370"/>
        <v>333333.33333333331</v>
      </c>
      <c r="H178" s="53">
        <f t="shared" si="391"/>
        <v>0.67570292925387243</v>
      </c>
      <c r="I178" s="10">
        <f>SUMIFS(MainData!F:F,MainData!$A:$A,$A178)</f>
        <v>84</v>
      </c>
      <c r="J178" s="10">
        <f t="shared" si="318"/>
        <v>400</v>
      </c>
      <c r="K178" s="53">
        <f t="shared" si="392"/>
        <v>0.21</v>
      </c>
      <c r="L178" s="11">
        <f>SUMIFS(MainData!K:K,MainData!$A:$A,$A178)</f>
        <v>50757.575757575774</v>
      </c>
      <c r="M178" s="11">
        <f t="shared" si="295"/>
        <v>56818.18</v>
      </c>
      <c r="N178" s="53">
        <f t="shared" si="393"/>
        <v>0.89333336192000123</v>
      </c>
      <c r="O178" s="256">
        <f>SUMIFS(MainData!J:J,MainData!$A:$A,$A178)</f>
        <v>14</v>
      </c>
      <c r="P178" s="10">
        <f>IF($B178=$B$4,0,IF($B178=$B$1,VLOOKUP(D178,Target_Entry!$A$8:$AF$23,5,0),IF(LO!B178=LO!$B$2,VLOOKUP(LO!D178,Target_Entry!$A$8:$AF$23,25,0),IF(LO!B178=LO!$B$3,VLOOKUP(LO!D178,Target_Entry!$A$8:$AF$23,15,0)))))</f>
        <v>15</v>
      </c>
      <c r="Q178" s="53">
        <f t="shared" si="394"/>
        <v>0.93333333333333335</v>
      </c>
      <c r="R178" s="10">
        <f>SUMIFS(MainData!J:J,MainData!$A:$A,$A178)</f>
        <v>14</v>
      </c>
      <c r="S178" s="10">
        <f>SUMIFS(MainData!M:M,MainData!$A:$A,$A178)</f>
        <v>4</v>
      </c>
      <c r="T178" s="53">
        <f t="shared" si="395"/>
        <v>0.2857142857142857</v>
      </c>
      <c r="U178" s="10">
        <f>SUMIFS(MainData!L:L,MainData!$A:$A,$A178)</f>
        <v>8</v>
      </c>
      <c r="V178" s="12">
        <f t="shared" si="396"/>
        <v>0.5714285714285714</v>
      </c>
      <c r="W178" s="10">
        <f>SUMIFS(MainData!F:F,MainData!$A:$A,$A178)</f>
        <v>84</v>
      </c>
      <c r="X178" s="12">
        <f t="shared" si="397"/>
        <v>0.33600000000000002</v>
      </c>
      <c r="Y178" s="11">
        <f>SUMIFS(MainData!H:H,MainData!$A:$A,$A178)</f>
        <v>0</v>
      </c>
      <c r="Z178" s="12">
        <f t="shared" si="398"/>
        <v>0</v>
      </c>
      <c r="AA178" s="11">
        <f>SUMIFS(MainData!I:I,MainData!$A:$A,$A178)</f>
        <v>0</v>
      </c>
      <c r="AB178" s="12">
        <f t="shared" si="399"/>
        <v>0</v>
      </c>
      <c r="AD178" s="246"/>
      <c r="AE178" s="246"/>
      <c r="AF178" s="246"/>
      <c r="AG178" s="246"/>
      <c r="AH178" s="246"/>
      <c r="AI178" s="246"/>
      <c r="AJ178" s="246"/>
      <c r="AK178" s="246"/>
      <c r="AL178" s="246"/>
      <c r="AM178" s="247"/>
      <c r="AN178" s="247"/>
      <c r="AO178" s="234"/>
      <c r="AP178" s="235"/>
      <c r="AQ178" s="235"/>
      <c r="AR178" s="236"/>
      <c r="AS178" s="236"/>
      <c r="AT178" s="237"/>
      <c r="AU178" s="236"/>
      <c r="AV178" s="238"/>
      <c r="AW178" s="238"/>
      <c r="AX178" s="239"/>
      <c r="AY178" s="240"/>
      <c r="AZ178" s="240"/>
      <c r="BB178" s="170"/>
      <c r="BC178" s="202"/>
    </row>
    <row r="179" spans="1:55" hidden="1" x14ac:dyDescent="0.25">
      <c r="A179" s="185" t="s">
        <v>437</v>
      </c>
      <c r="B179" s="9" t="str">
        <f>VLOOKUP($A179,MainData!$A$4:$E$1967,2,FALSE)</f>
        <v>Micro</v>
      </c>
      <c r="C179" s="9" t="str">
        <f>VLOOKUP($A179,MainData!$A$4:$E$1967,3,FALSE)</f>
        <v>Hasanain Kadhum Abed</v>
      </c>
      <c r="D179" s="9" t="str">
        <f>VLOOKUP($A179,MainData!$A$4:$E$1967,4,FALSE)</f>
        <v>Hilla</v>
      </c>
      <c r="E179" s="9" t="str">
        <f>VLOOKUP($A179,MainData!$A$4:$E$1967,5,FALSE)</f>
        <v>Mustafa Sabeeh Hadi</v>
      </c>
      <c r="F179" s="11">
        <f>SUMIFS(MainData!G:G,MainData!$A:$A,$A179)</f>
        <v>87633.009075757567</v>
      </c>
      <c r="G179" s="11">
        <f t="shared" si="370"/>
        <v>333333.33333333331</v>
      </c>
      <c r="H179" s="53">
        <f t="shared" ref="H179:H181" si="400">IFERROR(F179/G179,0)</f>
        <v>0.26289902722727271</v>
      </c>
      <c r="I179" s="10">
        <f>SUMIFS(MainData!F:F,MainData!$A:$A,$A179)</f>
        <v>24</v>
      </c>
      <c r="J179" s="10">
        <f t="shared" si="318"/>
        <v>400</v>
      </c>
      <c r="K179" s="53">
        <f t="shared" ref="K179:K181" si="401">IFERROR(I179/J179,0)</f>
        <v>0.06</v>
      </c>
      <c r="L179" s="11">
        <f>SUMIFS(MainData!K:K,MainData!$A:$A,$A179)</f>
        <v>17803.030303030304</v>
      </c>
      <c r="M179" s="11">
        <f t="shared" si="295"/>
        <v>56818.18</v>
      </c>
      <c r="N179" s="53">
        <f t="shared" ref="N179:N181" si="402">IFERROR(L179/M179,0)</f>
        <v>0.31333334336000035</v>
      </c>
      <c r="O179" s="256">
        <f>SUMIFS(MainData!J:J,MainData!$A:$A,$A179)</f>
        <v>4</v>
      </c>
      <c r="P179" s="10">
        <f>IF($B179=$B$4,0,IF($B179=$B$1,VLOOKUP(D179,Target_Entry!$A$8:$AF$23,5,0),IF(LO!B179=LO!$B$2,VLOOKUP(LO!D179,Target_Entry!$A$8:$AF$23,25,0),IF(LO!B179=LO!$B$3,VLOOKUP(LO!D179,Target_Entry!$A$8:$AF$23,15,0)))))</f>
        <v>15</v>
      </c>
      <c r="Q179" s="53">
        <f t="shared" ref="Q179:Q181" si="403">IFERROR(O179/P179,0)</f>
        <v>0.26666666666666666</v>
      </c>
      <c r="R179" s="10">
        <f>SUMIFS(MainData!J:J,MainData!$A:$A,$A179)</f>
        <v>4</v>
      </c>
      <c r="S179" s="10">
        <f>SUMIFS(MainData!M:M,MainData!$A:$A,$A179)</f>
        <v>0</v>
      </c>
      <c r="T179" s="53">
        <f t="shared" ref="T179:T181" si="404">IFERROR(S179/R179,0)</f>
        <v>0</v>
      </c>
      <c r="U179" s="10">
        <f>SUMIFS(MainData!L:L,MainData!$A:$A,$A179)</f>
        <v>1</v>
      </c>
      <c r="V179" s="12">
        <f t="shared" ref="V179:V181" si="405">IFERROR(U179/R179,0)</f>
        <v>0.25</v>
      </c>
      <c r="W179" s="10">
        <f>SUMIFS(MainData!F:F,MainData!$A:$A,$A179)</f>
        <v>24</v>
      </c>
      <c r="X179" s="12">
        <f t="shared" ref="X179:X181" si="406">IF($B179=$B$2,W179/X$3,W179/X$2)</f>
        <v>9.6000000000000002E-2</v>
      </c>
      <c r="Y179" s="11">
        <f>SUMIFS(MainData!H:H,MainData!$A:$A,$A179)</f>
        <v>0</v>
      </c>
      <c r="Z179" s="12">
        <f t="shared" ref="Z179:Z181" si="407">IFERROR(Y179/$F179,0)</f>
        <v>0</v>
      </c>
      <c r="AA179" s="11">
        <f>SUMIFS(MainData!I:I,MainData!$A:$A,$A179)</f>
        <v>0</v>
      </c>
      <c r="AB179" s="12">
        <f t="shared" ref="AB179:AB181" si="408">IFERROR(AA179/$F179,0)</f>
        <v>0</v>
      </c>
      <c r="AD179" s="246"/>
      <c r="AE179" s="246"/>
      <c r="AF179" s="246"/>
      <c r="AG179" s="246"/>
      <c r="AH179" s="246"/>
      <c r="AI179" s="246"/>
      <c r="AJ179" s="246"/>
      <c r="AK179" s="246"/>
      <c r="AL179" s="246"/>
      <c r="AM179" s="247"/>
      <c r="AN179" s="247"/>
      <c r="AO179" s="234"/>
      <c r="AP179" s="235"/>
      <c r="AQ179" s="235"/>
      <c r="AR179" s="236"/>
      <c r="AS179" s="236"/>
      <c r="AT179" s="237"/>
      <c r="AU179" s="236"/>
      <c r="AV179" s="238"/>
      <c r="AW179" s="238"/>
      <c r="AX179" s="239"/>
      <c r="AY179" s="240"/>
      <c r="AZ179" s="240"/>
      <c r="BB179" s="170"/>
      <c r="BC179" s="202"/>
    </row>
    <row r="180" spans="1:55" hidden="1" x14ac:dyDescent="0.25">
      <c r="A180" s="185" t="s">
        <v>438</v>
      </c>
      <c r="B180" s="9" t="str">
        <f>VLOOKUP($A180,MainData!$A$4:$E$1967,2,FALSE)</f>
        <v>Micro</v>
      </c>
      <c r="C180" s="9" t="str">
        <f>VLOOKUP($A180,MainData!$A$4:$E$1967,3,FALSE)</f>
        <v>Hasanain Kadhum Abed</v>
      </c>
      <c r="D180" s="9" t="str">
        <f>VLOOKUP($A180,MainData!$A$4:$E$1967,4,FALSE)</f>
        <v>Hilla</v>
      </c>
      <c r="E180" s="9" t="str">
        <f>VLOOKUP($A180,MainData!$A$4:$E$1967,5,FALSE)</f>
        <v>Mustafa Sabeeh Hadi</v>
      </c>
      <c r="F180" s="11">
        <f>SUMIFS(MainData!G:G,MainData!$A:$A,$A180)</f>
        <v>62929.626886363643</v>
      </c>
      <c r="G180" s="11">
        <f t="shared" si="370"/>
        <v>333333.33333333331</v>
      </c>
      <c r="H180" s="53">
        <f t="shared" si="400"/>
        <v>0.18878888065909094</v>
      </c>
      <c r="I180" s="10">
        <f>SUMIFS(MainData!F:F,MainData!$A:$A,$A180)</f>
        <v>17</v>
      </c>
      <c r="J180" s="10">
        <f t="shared" si="318"/>
        <v>400</v>
      </c>
      <c r="K180" s="53">
        <f t="shared" si="401"/>
        <v>4.2500000000000003E-2</v>
      </c>
      <c r="L180" s="11">
        <f>SUMIFS(MainData!K:K,MainData!$A:$A,$A180)</f>
        <v>21666.666666666664</v>
      </c>
      <c r="M180" s="11">
        <f t="shared" si="295"/>
        <v>56818.18</v>
      </c>
      <c r="N180" s="53">
        <f t="shared" si="402"/>
        <v>0.38133334553600035</v>
      </c>
      <c r="O180" s="256">
        <f>SUMIFS(MainData!J:J,MainData!$A:$A,$A180)</f>
        <v>6</v>
      </c>
      <c r="P180" s="10">
        <f>IF($B180=$B$4,0,IF($B180=$B$1,VLOOKUP(D180,Target_Entry!$A$8:$AF$23,5,0),IF(LO!B180=LO!$B$2,VLOOKUP(LO!D180,Target_Entry!$A$8:$AF$23,25,0),IF(LO!B180=LO!$B$3,VLOOKUP(LO!D180,Target_Entry!$A$8:$AF$23,15,0)))))</f>
        <v>15</v>
      </c>
      <c r="Q180" s="53">
        <f t="shared" si="403"/>
        <v>0.4</v>
      </c>
      <c r="R180" s="10">
        <f>SUMIFS(MainData!J:J,MainData!$A:$A,$A180)</f>
        <v>6</v>
      </c>
      <c r="S180" s="10">
        <f>SUMIFS(MainData!M:M,MainData!$A:$A,$A180)</f>
        <v>1</v>
      </c>
      <c r="T180" s="53">
        <f t="shared" si="404"/>
        <v>0.16666666666666666</v>
      </c>
      <c r="U180" s="10">
        <f>SUMIFS(MainData!L:L,MainData!$A:$A,$A180)</f>
        <v>4</v>
      </c>
      <c r="V180" s="12">
        <f t="shared" si="405"/>
        <v>0.66666666666666663</v>
      </c>
      <c r="W180" s="10">
        <f>SUMIFS(MainData!F:F,MainData!$A:$A,$A180)</f>
        <v>17</v>
      </c>
      <c r="X180" s="12">
        <f t="shared" si="406"/>
        <v>6.8000000000000005E-2</v>
      </c>
      <c r="Y180" s="11">
        <f>SUMIFS(MainData!H:H,MainData!$A:$A,$A180)</f>
        <v>0</v>
      </c>
      <c r="Z180" s="12">
        <f t="shared" si="407"/>
        <v>0</v>
      </c>
      <c r="AA180" s="11">
        <f>SUMIFS(MainData!I:I,MainData!$A:$A,$A180)</f>
        <v>0</v>
      </c>
      <c r="AB180" s="12">
        <f t="shared" si="408"/>
        <v>0</v>
      </c>
      <c r="AD180" s="246"/>
      <c r="AE180" s="246"/>
      <c r="AF180" s="246"/>
      <c r="AG180" s="246"/>
      <c r="AH180" s="246"/>
      <c r="AI180" s="246"/>
      <c r="AJ180" s="246"/>
      <c r="AK180" s="246"/>
      <c r="AL180" s="246"/>
      <c r="AM180" s="247"/>
      <c r="AN180" s="247"/>
      <c r="AO180" s="234"/>
      <c r="AP180" s="235"/>
      <c r="AQ180" s="235"/>
      <c r="AR180" s="236"/>
      <c r="AS180" s="236"/>
      <c r="AT180" s="237"/>
      <c r="AU180" s="236"/>
      <c r="AV180" s="238"/>
      <c r="AW180" s="238"/>
      <c r="AX180" s="239"/>
      <c r="AY180" s="240"/>
      <c r="AZ180" s="240"/>
      <c r="BB180" s="170"/>
      <c r="BC180" s="202"/>
    </row>
    <row r="181" spans="1:55" hidden="1" x14ac:dyDescent="0.25">
      <c r="A181" s="185" t="s">
        <v>439</v>
      </c>
      <c r="B181" s="9" t="str">
        <f>VLOOKUP($A181,MainData!$A$4:$E$1967,2,FALSE)</f>
        <v>Micro</v>
      </c>
      <c r="C181" s="9" t="str">
        <f>VLOOKUP($A181,MainData!$A$4:$E$1967,3,FALSE)</f>
        <v>Muhammad  Qahtan Mindeel</v>
      </c>
      <c r="D181" s="9" t="str">
        <f>VLOOKUP($A181,MainData!$A$4:$E$1967,4,FALSE)</f>
        <v>Hilla</v>
      </c>
      <c r="E181" s="9" t="str">
        <f>VLOOKUP($A181,MainData!$A$4:$E$1967,5,FALSE)</f>
        <v>Mustafa Sabeeh Hadi</v>
      </c>
      <c r="F181" s="11">
        <f>SUMIFS(MainData!G:G,MainData!$A:$A,$A181)</f>
        <v>52272.706022727274</v>
      </c>
      <c r="G181" s="11">
        <f t="shared" si="370"/>
        <v>333333.33333333331</v>
      </c>
      <c r="H181" s="53">
        <f t="shared" si="400"/>
        <v>0.15681811806818183</v>
      </c>
      <c r="I181" s="10">
        <f>SUMIFS(MainData!F:F,MainData!$A:$A,$A181)</f>
        <v>14</v>
      </c>
      <c r="J181" s="10">
        <f t="shared" si="318"/>
        <v>400</v>
      </c>
      <c r="K181" s="53">
        <f t="shared" si="401"/>
        <v>3.5000000000000003E-2</v>
      </c>
      <c r="L181" s="11">
        <f>SUMIFS(MainData!K:K,MainData!$A:$A,$A181)</f>
        <v>7575.757575757576</v>
      </c>
      <c r="M181" s="11">
        <f t="shared" si="295"/>
        <v>56818.18</v>
      </c>
      <c r="N181" s="53">
        <f t="shared" si="402"/>
        <v>0.13333333760000013</v>
      </c>
      <c r="O181" s="256">
        <f>SUMIFS(MainData!J:J,MainData!$A:$A,$A181)</f>
        <v>2</v>
      </c>
      <c r="P181" s="10">
        <f>IF($B181=$B$4,0,IF($B181=$B$1,VLOOKUP(D181,Target_Entry!$A$8:$AF$23,5,0),IF(LO!B181=LO!$B$2,VLOOKUP(LO!D181,Target_Entry!$A$8:$AF$23,25,0),IF(LO!B181=LO!$B$3,VLOOKUP(LO!D181,Target_Entry!$A$8:$AF$23,15,0)))))</f>
        <v>15</v>
      </c>
      <c r="Q181" s="53">
        <f t="shared" si="403"/>
        <v>0.13333333333333333</v>
      </c>
      <c r="R181" s="10">
        <f>SUMIFS(MainData!J:J,MainData!$A:$A,$A181)</f>
        <v>2</v>
      </c>
      <c r="S181" s="10">
        <f>SUMIFS(MainData!M:M,MainData!$A:$A,$A181)</f>
        <v>0</v>
      </c>
      <c r="T181" s="53">
        <f t="shared" si="404"/>
        <v>0</v>
      </c>
      <c r="U181" s="10">
        <f>SUMIFS(MainData!L:L,MainData!$A:$A,$A181)</f>
        <v>1</v>
      </c>
      <c r="V181" s="12">
        <f t="shared" si="405"/>
        <v>0.5</v>
      </c>
      <c r="W181" s="10">
        <f>SUMIFS(MainData!F:F,MainData!$A:$A,$A181)</f>
        <v>14</v>
      </c>
      <c r="X181" s="12">
        <f t="shared" si="406"/>
        <v>5.6000000000000001E-2</v>
      </c>
      <c r="Y181" s="11">
        <f>SUMIFS(MainData!H:H,MainData!$A:$A,$A181)</f>
        <v>0</v>
      </c>
      <c r="Z181" s="12">
        <f t="shared" si="407"/>
        <v>0</v>
      </c>
      <c r="AA181" s="11">
        <f>SUMIFS(MainData!I:I,MainData!$A:$A,$A181)</f>
        <v>0</v>
      </c>
      <c r="AB181" s="12">
        <f t="shared" si="408"/>
        <v>0</v>
      </c>
      <c r="AD181" s="246"/>
      <c r="AE181" s="246"/>
      <c r="AF181" s="246"/>
      <c r="AG181" s="246"/>
      <c r="AH181" s="246"/>
      <c r="AI181" s="246"/>
      <c r="AJ181" s="246"/>
      <c r="AK181" s="246"/>
      <c r="AL181" s="246"/>
      <c r="AM181" s="247"/>
      <c r="AN181" s="247"/>
      <c r="AO181" s="234"/>
      <c r="AP181" s="235"/>
      <c r="AQ181" s="235"/>
      <c r="AR181" s="236"/>
      <c r="AS181" s="236"/>
      <c r="AT181" s="237"/>
      <c r="AU181" s="236"/>
      <c r="AV181" s="238"/>
      <c r="AW181" s="238"/>
      <c r="AX181" s="239"/>
      <c r="AY181" s="240"/>
      <c r="AZ181" s="240"/>
      <c r="BB181" s="170"/>
      <c r="BC181" s="202"/>
    </row>
    <row r="182" spans="1:55" hidden="1" x14ac:dyDescent="0.25">
      <c r="A182" s="77" t="s">
        <v>440</v>
      </c>
      <c r="B182" s="9" t="str">
        <f>VLOOKUP($A182,MainData!$A$4:$E$1967,2,FALSE)</f>
        <v>Micro</v>
      </c>
      <c r="C182" s="9" t="str">
        <f>VLOOKUP($A182,MainData!$A$4:$E$1967,3,FALSE)</f>
        <v>Abbas Razaq Abdul Razaq</v>
      </c>
      <c r="D182" s="9" t="str">
        <f>VLOOKUP($A182,MainData!$A$4:$E$1967,4,FALSE)</f>
        <v>Najaf</v>
      </c>
      <c r="E182" s="9" t="str">
        <f>VLOOKUP($A182,MainData!$A$4:$E$1967,5,FALSE)</f>
        <v>Inactive</v>
      </c>
      <c r="F182" s="11">
        <f>SUMIFS(MainData!G:G,MainData!$A:$A,$A182)</f>
        <v>139802.77065151514</v>
      </c>
      <c r="G182" s="11">
        <f t="shared" si="370"/>
        <v>333333.33333333331</v>
      </c>
      <c r="H182" s="53">
        <f t="shared" ref="H182:H183" si="409">IFERROR(F182/G182,0)</f>
        <v>0.41940831195454542</v>
      </c>
      <c r="I182" s="10">
        <f>SUMIFS(MainData!F:F,MainData!$A:$A,$A182)</f>
        <v>36</v>
      </c>
      <c r="J182" s="10">
        <f t="shared" si="318"/>
        <v>400</v>
      </c>
      <c r="K182" s="53">
        <f t="shared" ref="K182:K183" si="410">IFERROR(I182/J182,0)</f>
        <v>0.09</v>
      </c>
      <c r="L182" s="11">
        <f>SUMIFS(MainData!K:K,MainData!$A:$A,$A182)</f>
        <v>67727.272727272735</v>
      </c>
      <c r="M182" s="11">
        <f t="shared" si="295"/>
        <v>56818.18</v>
      </c>
      <c r="N182" s="53">
        <f t="shared" ref="N182:N183" si="411">IFERROR(L182/M182,0)</f>
        <v>1.1920000381440015</v>
      </c>
      <c r="O182" s="256">
        <f>SUMIFS(MainData!J:J,MainData!$A:$A,$A182)</f>
        <v>17</v>
      </c>
      <c r="P182" s="10">
        <f>IF($B182=$B$4,0,IF($B182=$B$1,VLOOKUP(D182,Target_Entry!$A$8:$AF$23,5,0),IF(LO!B182=LO!$B$2,VLOOKUP(LO!D182,Target_Entry!$A$8:$AF$23,25,0),IF(LO!B182=LO!$B$3,VLOOKUP(LO!D182,Target_Entry!$A$8:$AF$23,15,0)))))</f>
        <v>15</v>
      </c>
      <c r="Q182" s="53">
        <f t="shared" ref="Q182:Q183" si="412">IFERROR(O182/P182,0)</f>
        <v>1.1333333333333333</v>
      </c>
      <c r="R182" s="10">
        <f>SUMIFS(MainData!J:J,MainData!$A:$A,$A182)</f>
        <v>17</v>
      </c>
      <c r="S182" s="10">
        <f>SUMIFS(MainData!M:M,MainData!$A:$A,$A182)</f>
        <v>13</v>
      </c>
      <c r="T182" s="53">
        <f t="shared" ref="T182:T183" si="413">IFERROR(S182/R182,0)</f>
        <v>0.76470588235294112</v>
      </c>
      <c r="U182" s="10">
        <f>SUMIFS(MainData!L:L,MainData!$A:$A,$A182)</f>
        <v>7</v>
      </c>
      <c r="V182" s="12">
        <f t="shared" ref="V182:V183" si="414">IFERROR(U182/R182,0)</f>
        <v>0.41176470588235292</v>
      </c>
      <c r="W182" s="10">
        <f>SUMIFS(MainData!F:F,MainData!$A:$A,$A182)</f>
        <v>36</v>
      </c>
      <c r="X182" s="12">
        <f t="shared" ref="X182:X183" si="415">IF($B182=$B$2,W182/X$3,W182/X$2)</f>
        <v>0.14399999999999999</v>
      </c>
      <c r="Y182" s="11">
        <f>SUMIFS(MainData!H:H,MainData!$A:$A,$A182)</f>
        <v>0</v>
      </c>
      <c r="Z182" s="12">
        <f t="shared" ref="Z182:Z183" si="416">IFERROR(Y182/$F182,0)</f>
        <v>0</v>
      </c>
      <c r="AA182" s="11">
        <f>SUMIFS(MainData!I:I,MainData!$A:$A,$A182)</f>
        <v>2929.1729772727272</v>
      </c>
      <c r="AB182" s="12">
        <f t="shared" ref="AB182:AB183" si="417">IFERROR(AA182/$F182,0)</f>
        <v>2.0952181159372335E-2</v>
      </c>
      <c r="AD182" s="246"/>
      <c r="AE182" s="246"/>
      <c r="AF182" s="246"/>
      <c r="AG182" s="246"/>
      <c r="AH182" s="246"/>
      <c r="AI182" s="246"/>
      <c r="AJ182" s="246"/>
      <c r="AK182" s="246"/>
      <c r="AL182" s="246"/>
      <c r="AM182" s="247"/>
      <c r="AN182" s="247"/>
      <c r="AO182" s="234"/>
      <c r="AP182" s="235"/>
      <c r="AQ182" s="235"/>
      <c r="AR182" s="236"/>
      <c r="AS182" s="236"/>
      <c r="AT182" s="237"/>
      <c r="AU182" s="236"/>
      <c r="AV182" s="238"/>
      <c r="AW182" s="238"/>
      <c r="AX182" s="239"/>
      <c r="AY182" s="240"/>
      <c r="AZ182" s="240"/>
      <c r="BB182" s="170"/>
      <c r="BC182" s="202"/>
    </row>
    <row r="183" spans="1:55" hidden="1" x14ac:dyDescent="0.25">
      <c r="A183" s="77" t="s">
        <v>441</v>
      </c>
      <c r="B183" s="9" t="str">
        <f>VLOOKUP($A183,MainData!$A$4:$E$1967,2,FALSE)</f>
        <v>Micro</v>
      </c>
      <c r="C183" s="9" t="str">
        <f>VLOOKUP($A183,MainData!$A$4:$E$1967,3,FALSE)</f>
        <v>Ahmed Hilal  Abdul Kareem</v>
      </c>
      <c r="D183" s="9" t="str">
        <f>VLOOKUP($A183,MainData!$A$4:$E$1967,4,FALSE)</f>
        <v>Najaf</v>
      </c>
      <c r="E183" s="9" t="str">
        <f>VLOOKUP($A183,MainData!$A$4:$E$1967,5,FALSE)</f>
        <v>Inactive</v>
      </c>
      <c r="F183" s="11">
        <f>SUMIFS(MainData!G:G,MainData!$A:$A,$A183)</f>
        <v>156013.16750757574</v>
      </c>
      <c r="G183" s="11">
        <f t="shared" si="370"/>
        <v>333333.33333333331</v>
      </c>
      <c r="H183" s="53">
        <f t="shared" si="409"/>
        <v>0.46803950252272725</v>
      </c>
      <c r="I183" s="10">
        <f>SUMIFS(MainData!F:F,MainData!$A:$A,$A183)</f>
        <v>40</v>
      </c>
      <c r="J183" s="10">
        <f t="shared" si="318"/>
        <v>400</v>
      </c>
      <c r="K183" s="53">
        <f t="shared" si="410"/>
        <v>0.1</v>
      </c>
      <c r="L183" s="11">
        <f>SUMIFS(MainData!K:K,MainData!$A:$A,$A183)</f>
        <v>31818.18181818182</v>
      </c>
      <c r="M183" s="11">
        <f t="shared" si="295"/>
        <v>56818.18</v>
      </c>
      <c r="N183" s="53">
        <f t="shared" si="411"/>
        <v>0.56000001792000065</v>
      </c>
      <c r="O183" s="256">
        <f>SUMIFS(MainData!J:J,MainData!$A:$A,$A183)</f>
        <v>9</v>
      </c>
      <c r="P183" s="10">
        <f>IF($B183=$B$4,0,IF($B183=$B$1,VLOOKUP(D183,Target_Entry!$A$8:$AF$23,5,0),IF(LO!B183=LO!$B$2,VLOOKUP(LO!D183,Target_Entry!$A$8:$AF$23,25,0),IF(LO!B183=LO!$B$3,VLOOKUP(LO!D183,Target_Entry!$A$8:$AF$23,15,0)))))</f>
        <v>15</v>
      </c>
      <c r="Q183" s="53">
        <f t="shared" si="412"/>
        <v>0.6</v>
      </c>
      <c r="R183" s="10">
        <f>SUMIFS(MainData!J:J,MainData!$A:$A,$A183)</f>
        <v>9</v>
      </c>
      <c r="S183" s="10">
        <f>SUMIFS(MainData!M:M,MainData!$A:$A,$A183)</f>
        <v>1</v>
      </c>
      <c r="T183" s="53">
        <f t="shared" si="413"/>
        <v>0.1111111111111111</v>
      </c>
      <c r="U183" s="10">
        <f>SUMIFS(MainData!L:L,MainData!$A:$A,$A183)</f>
        <v>5</v>
      </c>
      <c r="V183" s="12">
        <f t="shared" si="414"/>
        <v>0.55555555555555558</v>
      </c>
      <c r="W183" s="10">
        <f>SUMIFS(MainData!F:F,MainData!$A:$A,$A183)</f>
        <v>40</v>
      </c>
      <c r="X183" s="12">
        <f t="shared" si="415"/>
        <v>0.16</v>
      </c>
      <c r="Y183" s="11">
        <f>SUMIFS(MainData!H:H,MainData!$A:$A,$A183)</f>
        <v>4401.4697348484851</v>
      </c>
      <c r="Z183" s="12">
        <f t="shared" si="416"/>
        <v>2.8212168275057663E-2</v>
      </c>
      <c r="AA183" s="11">
        <f>SUMIFS(MainData!I:I,MainData!$A:$A,$A183)</f>
        <v>2899.6318636363635</v>
      </c>
      <c r="AB183" s="12">
        <f t="shared" si="417"/>
        <v>1.8585814966519169E-2</v>
      </c>
      <c r="AD183" s="246"/>
      <c r="AE183" s="246"/>
      <c r="AF183" s="246"/>
      <c r="AG183" s="246"/>
      <c r="AH183" s="246"/>
      <c r="AI183" s="246"/>
      <c r="AJ183" s="246"/>
      <c r="AK183" s="246"/>
      <c r="AL183" s="246"/>
      <c r="AM183" s="247"/>
      <c r="AN183" s="247"/>
      <c r="AO183" s="234"/>
      <c r="AP183" s="235"/>
      <c r="AQ183" s="235"/>
      <c r="AR183" s="236"/>
      <c r="AS183" s="236"/>
      <c r="AT183" s="237"/>
      <c r="AU183" s="236"/>
      <c r="AV183" s="238"/>
      <c r="AW183" s="238"/>
      <c r="AX183" s="239"/>
      <c r="AY183" s="240"/>
      <c r="AZ183" s="240"/>
      <c r="BB183" s="170"/>
      <c r="BC183" s="202"/>
    </row>
    <row r="184" spans="1:55" hidden="1" x14ac:dyDescent="0.25">
      <c r="A184" s="192" t="s">
        <v>442</v>
      </c>
      <c r="B184" s="189" t="str">
        <f>VLOOKUP($A184,MainData!$A$4:$E$1967,2,FALSE)</f>
        <v>Micro</v>
      </c>
      <c r="C184" s="189" t="str">
        <f>VLOOKUP($A184,MainData!$A$4:$E$1967,3,FALSE)</f>
        <v>Khalid Mousa Jumaa</v>
      </c>
      <c r="D184" s="189" t="str">
        <f>VLOOKUP($A184,MainData!$A$4:$E$1967,4,FALSE)</f>
        <v>Nasriya</v>
      </c>
      <c r="E184" s="189" t="str">
        <f>VLOOKUP($A184,MainData!$A$4:$E$1967,5,FALSE)</f>
        <v>Adel Abdul Ameer Farhod  </v>
      </c>
      <c r="F184" s="11">
        <f>SUMIFS(MainData!G:G,MainData!$A:$A,$A184)</f>
        <v>128127.21156818182</v>
      </c>
      <c r="G184" s="11">
        <f t="shared" si="370"/>
        <v>333333.33333333331</v>
      </c>
      <c r="H184" s="53">
        <f t="shared" ref="H184" si="418">IFERROR(F184/G184,0)</f>
        <v>0.38438163470454551</v>
      </c>
      <c r="I184" s="10">
        <f>SUMIFS(MainData!F:F,MainData!$A:$A,$A184)</f>
        <v>26</v>
      </c>
      <c r="J184" s="10">
        <f t="shared" si="318"/>
        <v>400</v>
      </c>
      <c r="K184" s="53">
        <f t="shared" ref="K184" si="419">IFERROR(I184/J184,0)</f>
        <v>6.5000000000000002E-2</v>
      </c>
      <c r="L184" s="11">
        <f>SUMIFS(MainData!K:K,MainData!$A:$A,$A184)</f>
        <v>25000.000000000004</v>
      </c>
      <c r="M184" s="11">
        <f t="shared" si="295"/>
        <v>56818.18</v>
      </c>
      <c r="N184" s="53">
        <f t="shared" ref="N184" si="420">IFERROR(L184/M184,0)</f>
        <v>0.4400000140800005</v>
      </c>
      <c r="O184" s="256">
        <f>SUMIFS(MainData!J:J,MainData!$A:$A,$A184)</f>
        <v>7</v>
      </c>
      <c r="P184" s="10">
        <f>IF($B184=$B$4,0,IF($B184=$B$1,VLOOKUP(D184,Target_Entry!$A$8:$AF$23,5,0),IF(LO!B184=LO!$B$2,VLOOKUP(LO!D184,Target_Entry!$A$8:$AF$23,25,0),IF(LO!B184=LO!$B$3,VLOOKUP(LO!D184,Target_Entry!$A$8:$AF$23,15,0)))))</f>
        <v>15</v>
      </c>
      <c r="Q184" s="53">
        <f t="shared" ref="Q184" si="421">IFERROR(O184/P184,0)</f>
        <v>0.46666666666666667</v>
      </c>
      <c r="R184" s="10">
        <f>SUMIFS(MainData!J:J,MainData!$A:$A,$A184)</f>
        <v>7</v>
      </c>
      <c r="S184" s="10">
        <f>SUMIFS(MainData!M:M,MainData!$A:$A,$A184)</f>
        <v>0</v>
      </c>
      <c r="T184" s="53">
        <f t="shared" ref="T184" si="422">IFERROR(S184/R184,0)</f>
        <v>0</v>
      </c>
      <c r="U184" s="10">
        <f>SUMIFS(MainData!L:L,MainData!$A:$A,$A184)</f>
        <v>3</v>
      </c>
      <c r="V184" s="12">
        <f t="shared" ref="V184" si="423">IFERROR(U184/R184,0)</f>
        <v>0.42857142857142855</v>
      </c>
      <c r="W184" s="10">
        <f>SUMIFS(MainData!F:F,MainData!$A:$A,$A184)</f>
        <v>26</v>
      </c>
      <c r="X184" s="12">
        <f t="shared" ref="X184" si="424">IF($B184=$B$2,W184/X$3,W184/X$2)</f>
        <v>0.104</v>
      </c>
      <c r="Y184" s="11">
        <f>SUMIFS(MainData!H:H,MainData!$A:$A,$A184)</f>
        <v>0</v>
      </c>
      <c r="Z184" s="12">
        <f t="shared" ref="Z184" si="425">IFERROR(Y184/$F184,0)</f>
        <v>0</v>
      </c>
      <c r="AA184" s="11">
        <f>SUMIFS(MainData!I:I,MainData!$A:$A,$A184)</f>
        <v>0</v>
      </c>
      <c r="AB184" s="12">
        <f t="shared" ref="AB184" si="426">IFERROR(AA184/$F184,0)</f>
        <v>0</v>
      </c>
      <c r="AD184" s="246"/>
      <c r="AE184" s="246"/>
      <c r="AF184" s="246"/>
      <c r="AG184" s="246"/>
      <c r="AH184" s="246"/>
      <c r="AI184" s="246"/>
      <c r="AJ184" s="246"/>
      <c r="AK184" s="246"/>
      <c r="AL184" s="246"/>
      <c r="AM184" s="247"/>
      <c r="AN184" s="247"/>
      <c r="AO184" s="234"/>
      <c r="AP184" s="235"/>
      <c r="AQ184" s="235"/>
      <c r="AR184" s="236"/>
      <c r="AS184" s="236"/>
      <c r="AT184" s="237"/>
      <c r="AU184" s="236"/>
      <c r="AV184" s="238"/>
      <c r="AW184" s="238"/>
      <c r="AX184" s="239"/>
      <c r="AY184" s="240"/>
      <c r="AZ184" s="240"/>
      <c r="BB184" s="170"/>
      <c r="BC184" s="202"/>
    </row>
    <row r="185" spans="1:55" hidden="1" x14ac:dyDescent="0.25">
      <c r="A185" s="189" t="s">
        <v>443</v>
      </c>
      <c r="B185" s="189" t="str">
        <f>VLOOKUP($A185,MainData!$A$4:$E$1967,2,FALSE)</f>
        <v>Micro</v>
      </c>
      <c r="C185" s="189" t="str">
        <f>VLOOKUP($A185,MainData!$A$4:$E$1967,3,FALSE)</f>
        <v>Ali Mehdi Dawood</v>
      </c>
      <c r="D185" s="189" t="str">
        <f>VLOOKUP($A185,MainData!$A$4:$E$1967,4,FALSE)</f>
        <v>Wehda</v>
      </c>
      <c r="E185" s="189" t="str">
        <f>VLOOKUP($A185,MainData!$A$4:$E$1967,5,FALSE)</f>
        <v>Ezat Shamkhy Jaber</v>
      </c>
      <c r="F185" s="11">
        <f>SUMIFS(MainData!G:G,MainData!$A:$A,$A185)</f>
        <v>52626.290537878784</v>
      </c>
      <c r="G185" s="11">
        <f t="shared" si="370"/>
        <v>333333.33333333331</v>
      </c>
      <c r="H185" s="53">
        <f t="shared" ref="H185:H186" si="427">IFERROR(F185/G185,0)</f>
        <v>0.15787887161363637</v>
      </c>
      <c r="I185" s="10">
        <f>SUMIFS(MainData!F:F,MainData!$A:$A,$A185)</f>
        <v>13</v>
      </c>
      <c r="J185" s="10">
        <f t="shared" si="318"/>
        <v>400</v>
      </c>
      <c r="K185" s="53">
        <f t="shared" ref="K185:K186" si="428">IFERROR(I185/J185,0)</f>
        <v>3.2500000000000001E-2</v>
      </c>
      <c r="L185" s="11">
        <f>SUMIFS(MainData!K:K,MainData!$A:$A,$A185)</f>
        <v>11363.636363636364</v>
      </c>
      <c r="M185" s="11">
        <f t="shared" si="295"/>
        <v>56818.18</v>
      </c>
      <c r="N185" s="53">
        <f t="shared" ref="N185:N186" si="429">IFERROR(L185/M185,0)</f>
        <v>0.20000000640000021</v>
      </c>
      <c r="O185" s="256">
        <f>SUMIFS(MainData!J:J,MainData!$A:$A,$A185)</f>
        <v>3</v>
      </c>
      <c r="P185" s="10">
        <f>IF($B185=$B$4,0,IF($B185=$B$1,VLOOKUP(D185,Target_Entry!$A$8:$AF$23,5,0),IF(LO!B185=LO!$B$2,VLOOKUP(LO!D185,Target_Entry!$A$8:$AF$23,25,0),IF(LO!B185=LO!$B$3,VLOOKUP(LO!D185,Target_Entry!$A$8:$AF$23,15,0)))))</f>
        <v>15</v>
      </c>
      <c r="Q185" s="53">
        <f t="shared" ref="Q185:Q186" si="430">IFERROR(O185/P185,0)</f>
        <v>0.2</v>
      </c>
      <c r="R185" s="10">
        <f>SUMIFS(MainData!J:J,MainData!$A:$A,$A185)</f>
        <v>3</v>
      </c>
      <c r="S185" s="10">
        <f>SUMIFS(MainData!M:M,MainData!$A:$A,$A185)</f>
        <v>1</v>
      </c>
      <c r="T185" s="53">
        <f t="shared" ref="T185:T186" si="431">IFERROR(S185/R185,0)</f>
        <v>0.33333333333333331</v>
      </c>
      <c r="U185" s="10">
        <f>SUMIFS(MainData!L:L,MainData!$A:$A,$A185)</f>
        <v>1</v>
      </c>
      <c r="V185" s="12">
        <f t="shared" ref="V185:V186" si="432">IFERROR(U185/R185,0)</f>
        <v>0.33333333333333331</v>
      </c>
      <c r="W185" s="10">
        <f>SUMIFS(MainData!F:F,MainData!$A:$A,$A185)</f>
        <v>13</v>
      </c>
      <c r="X185" s="12">
        <f t="shared" ref="X185:X186" si="433">IF($B185=$B$2,W185/X$3,W185/X$2)</f>
        <v>5.1999999999999998E-2</v>
      </c>
      <c r="Y185" s="11">
        <f>SUMIFS(MainData!H:H,MainData!$A:$A,$A185)</f>
        <v>0</v>
      </c>
      <c r="Z185" s="12">
        <f t="shared" ref="Z185:Z186" si="434">IFERROR(Y185/$F185,0)</f>
        <v>0</v>
      </c>
      <c r="AA185" s="11">
        <f>SUMIFS(MainData!I:I,MainData!$A:$A,$A185)</f>
        <v>0</v>
      </c>
      <c r="AB185" s="12">
        <f t="shared" ref="AB185:AB186" si="435">IFERROR(AA185/$F185,0)</f>
        <v>0</v>
      </c>
      <c r="AD185" s="246"/>
      <c r="AE185" s="246"/>
      <c r="AF185" s="246"/>
      <c r="AG185" s="246"/>
      <c r="AH185" s="246"/>
      <c r="AI185" s="246"/>
      <c r="AJ185" s="246"/>
      <c r="AK185" s="246"/>
      <c r="AL185" s="246"/>
      <c r="AM185" s="247"/>
      <c r="AN185" s="247"/>
      <c r="AO185" s="234"/>
      <c r="AP185" s="235"/>
      <c r="AQ185" s="235"/>
      <c r="AR185" s="236"/>
      <c r="AS185" s="236"/>
      <c r="AT185" s="237"/>
      <c r="AU185" s="236"/>
      <c r="AV185" s="238"/>
      <c r="AW185" s="238"/>
      <c r="AX185" s="239"/>
      <c r="AY185" s="240"/>
      <c r="AZ185" s="240"/>
      <c r="BB185" s="170"/>
      <c r="BC185" s="202"/>
    </row>
    <row r="186" spans="1:55" hidden="1" x14ac:dyDescent="0.25">
      <c r="A186" s="269" t="s">
        <v>444</v>
      </c>
      <c r="B186" s="189" t="str">
        <f>VLOOKUP($A186,MainData!$A$4:$E$1967,2,FALSE)</f>
        <v>Micro</v>
      </c>
      <c r="C186" s="189" t="str">
        <f>VLOOKUP($A186,MainData!$A$4:$E$1967,3,FALSE)</f>
        <v>Ali Salman Ali</v>
      </c>
      <c r="D186" s="189" t="str">
        <f>VLOOKUP($A186,MainData!$A$4:$E$1967,4,FALSE)</f>
        <v>Wehda</v>
      </c>
      <c r="E186" s="189" t="str">
        <f>VLOOKUP($A186,MainData!$A$4:$E$1967,5,FALSE)</f>
        <v>Ezat Shamkhy Jaber</v>
      </c>
      <c r="F186" s="11">
        <f>SUMIFS(MainData!G:G,MainData!$A:$A,$A186)</f>
        <v>94221.270204545464</v>
      </c>
      <c r="G186" s="11">
        <f t="shared" si="370"/>
        <v>333333.33333333331</v>
      </c>
      <c r="H186" s="53">
        <f t="shared" si="427"/>
        <v>0.28266381061363643</v>
      </c>
      <c r="I186" s="10">
        <f>SUMIFS(MainData!F:F,MainData!$A:$A,$A186)</f>
        <v>22</v>
      </c>
      <c r="J186" s="10">
        <f t="shared" si="318"/>
        <v>400</v>
      </c>
      <c r="K186" s="53">
        <f t="shared" si="428"/>
        <v>5.5E-2</v>
      </c>
      <c r="L186" s="11">
        <f>SUMIFS(MainData!K:K,MainData!$A:$A,$A186)</f>
        <v>18181.81818181818</v>
      </c>
      <c r="M186" s="11">
        <f t="shared" si="295"/>
        <v>56818.18</v>
      </c>
      <c r="N186" s="53">
        <f t="shared" si="429"/>
        <v>0.3200000102400003</v>
      </c>
      <c r="O186" s="256">
        <f>SUMIFS(MainData!J:J,MainData!$A:$A,$A186)</f>
        <v>5</v>
      </c>
      <c r="P186" s="10">
        <f>IF($B186=$B$4,0,IF($B186=$B$1,VLOOKUP(D186,Target_Entry!$A$8:$AF$23,5,0),IF(LO!B186=LO!$B$2,VLOOKUP(LO!D186,Target_Entry!$A$8:$AF$23,25,0),IF(LO!B186=LO!$B$3,VLOOKUP(LO!D186,Target_Entry!$A$8:$AF$23,15,0)))))</f>
        <v>15</v>
      </c>
      <c r="Q186" s="53">
        <f t="shared" si="430"/>
        <v>0.33333333333333331</v>
      </c>
      <c r="R186" s="10">
        <f>SUMIFS(MainData!J:J,MainData!$A:$A,$A186)</f>
        <v>5</v>
      </c>
      <c r="S186" s="10">
        <f>SUMIFS(MainData!M:M,MainData!$A:$A,$A186)</f>
        <v>0</v>
      </c>
      <c r="T186" s="53">
        <f t="shared" si="431"/>
        <v>0</v>
      </c>
      <c r="U186" s="10">
        <f>SUMIFS(MainData!L:L,MainData!$A:$A,$A186)</f>
        <v>1</v>
      </c>
      <c r="V186" s="12">
        <f t="shared" si="432"/>
        <v>0.2</v>
      </c>
      <c r="W186" s="10">
        <f>SUMIFS(MainData!F:F,MainData!$A:$A,$A186)</f>
        <v>22</v>
      </c>
      <c r="X186" s="12">
        <f t="shared" si="433"/>
        <v>8.7999999999999995E-2</v>
      </c>
      <c r="Y186" s="11">
        <f>SUMIFS(MainData!H:H,MainData!$A:$A,$A186)</f>
        <v>4545.454545454545</v>
      </c>
      <c r="Z186" s="12">
        <f t="shared" si="434"/>
        <v>4.8242339925865921E-2</v>
      </c>
      <c r="AA186" s="11">
        <f>SUMIFS(MainData!I:I,MainData!$A:$A,$A186)</f>
        <v>0</v>
      </c>
      <c r="AB186" s="12">
        <f t="shared" si="435"/>
        <v>0</v>
      </c>
      <c r="AD186" s="246"/>
      <c r="AE186" s="246"/>
      <c r="AF186" s="246"/>
      <c r="AG186" s="246"/>
      <c r="AH186" s="246"/>
      <c r="AI186" s="246"/>
      <c r="AJ186" s="246"/>
      <c r="AK186" s="246"/>
      <c r="AL186" s="246"/>
      <c r="AM186" s="247"/>
      <c r="AN186" s="247"/>
      <c r="AO186" s="234"/>
      <c r="AP186" s="235"/>
      <c r="AQ186" s="235"/>
      <c r="AR186" s="236"/>
      <c r="AS186" s="236"/>
      <c r="AT186" s="237"/>
      <c r="AU186" s="236"/>
      <c r="AV186" s="238"/>
      <c r="AW186" s="238"/>
      <c r="AX186" s="239"/>
      <c r="AY186" s="240"/>
      <c r="AZ186" s="240"/>
      <c r="BB186" s="170"/>
      <c r="BC186" s="202"/>
    </row>
    <row r="187" spans="1:55" hidden="1" x14ac:dyDescent="0.25">
      <c r="A187" s="270" t="s">
        <v>448</v>
      </c>
      <c r="B187" s="189" t="str">
        <f>VLOOKUP($A187,MainData!$A$4:$E$1967,2,FALSE)</f>
        <v>Inactive</v>
      </c>
      <c r="C187" s="189" t="str">
        <f>VLOOKUP($A187,MainData!$A$4:$E$1967,3,FALSE)</f>
        <v>Inactive</v>
      </c>
      <c r="D187" s="189" t="str">
        <f>VLOOKUP($A187,MainData!$A$4:$E$1967,4,FALSE)</f>
        <v>Basra</v>
      </c>
      <c r="E187" s="189" t="str">
        <f>VLOOKUP($A187,MainData!$A$4:$E$1967,5,FALSE)</f>
        <v>Inactive</v>
      </c>
      <c r="F187" s="11">
        <f>SUMIFS(MainData!G:G,MainData!$A:$A,$A187)</f>
        <v>0</v>
      </c>
      <c r="G187" s="11">
        <f t="shared" si="370"/>
        <v>0</v>
      </c>
      <c r="H187" s="53">
        <f t="shared" ref="H187" si="436">IFERROR(F187/G187,0)</f>
        <v>0</v>
      </c>
      <c r="I187" s="10">
        <f>SUMIFS(MainData!F:F,MainData!$A:$A,$A187)</f>
        <v>0</v>
      </c>
      <c r="J187" s="10">
        <f t="shared" si="318"/>
        <v>0</v>
      </c>
      <c r="K187" s="53">
        <f t="shared" ref="K187" si="437">IFERROR(I187/J187,0)</f>
        <v>0</v>
      </c>
      <c r="L187" s="11">
        <f>SUMIFS(MainData!K:K,MainData!$A:$A,$A187)</f>
        <v>0</v>
      </c>
      <c r="M187" s="11">
        <f t="shared" si="295"/>
        <v>0</v>
      </c>
      <c r="N187" s="53">
        <f t="shared" ref="N187" si="438">IFERROR(L187/M187,0)</f>
        <v>0</v>
      </c>
      <c r="O187" s="256">
        <f>SUMIFS(MainData!J:J,MainData!$A:$A,$A187)</f>
        <v>0</v>
      </c>
      <c r="P187" s="10">
        <f>IF($B187=$B$4,0,IF($B187=$B$1,VLOOKUP(D187,Target_Entry!$A$8:$AF$23,5,0),IF(LO!B187=LO!$B$2,VLOOKUP(LO!D187,Target_Entry!$A$8:$AF$23,25,0),IF(LO!B187=LO!$B$3,VLOOKUP(LO!D187,Target_Entry!$A$8:$AF$23,15,0)))))</f>
        <v>0</v>
      </c>
      <c r="Q187" s="53">
        <f t="shared" ref="Q187" si="439">IFERROR(O187/P187,0)</f>
        <v>0</v>
      </c>
      <c r="R187" s="10">
        <f>SUMIFS(MainData!J:J,MainData!$A:$A,$A187)</f>
        <v>0</v>
      </c>
      <c r="S187" s="10">
        <f>SUMIFS(MainData!M:M,MainData!$A:$A,$A187)</f>
        <v>0</v>
      </c>
      <c r="T187" s="53">
        <f t="shared" ref="T187" si="440">IFERROR(S187/R187,0)</f>
        <v>0</v>
      </c>
      <c r="U187" s="10">
        <f>SUMIFS(MainData!L:L,MainData!$A:$A,$A187)</f>
        <v>0</v>
      </c>
      <c r="V187" s="12">
        <f t="shared" ref="V187" si="441">IFERROR(U187/R187,0)</f>
        <v>0</v>
      </c>
      <c r="W187" s="10">
        <f>SUMIFS(MainData!F:F,MainData!$A:$A,$A187)</f>
        <v>0</v>
      </c>
      <c r="X187" s="12">
        <f t="shared" ref="X187" si="442">IF($B187=$B$2,W187/X$3,W187/X$2)</f>
        <v>0</v>
      </c>
      <c r="Y187" s="11">
        <f>SUMIFS(MainData!H:H,MainData!$A:$A,$A187)</f>
        <v>0</v>
      </c>
      <c r="Z187" s="12">
        <f t="shared" ref="Z187" si="443">IFERROR(Y187/$F187,0)</f>
        <v>0</v>
      </c>
      <c r="AA187" s="11">
        <f>SUMIFS(MainData!I:I,MainData!$A:$A,$A187)</f>
        <v>0</v>
      </c>
      <c r="AB187" s="12">
        <f t="shared" ref="AB187" si="444">IFERROR(AA187/$F187,0)</f>
        <v>0</v>
      </c>
      <c r="AD187" s="246"/>
      <c r="AE187" s="246"/>
      <c r="AF187" s="246"/>
      <c r="AG187" s="246"/>
      <c r="AH187" s="246"/>
      <c r="AI187" s="246"/>
      <c r="AJ187" s="246"/>
      <c r="AK187" s="246"/>
      <c r="AL187" s="246"/>
      <c r="AM187" s="247"/>
      <c r="AN187" s="247"/>
      <c r="AO187" s="234"/>
      <c r="AP187" s="235"/>
      <c r="AQ187" s="235"/>
      <c r="AR187" s="236"/>
      <c r="AS187" s="236"/>
      <c r="AT187" s="237"/>
      <c r="AU187" s="236"/>
      <c r="AV187" s="238"/>
      <c r="AW187" s="238"/>
      <c r="AX187" s="239"/>
      <c r="AY187" s="240"/>
      <c r="AZ187" s="240"/>
      <c r="BB187" s="170"/>
      <c r="BC187" s="202"/>
    </row>
    <row r="188" spans="1:55" x14ac:dyDescent="0.25">
      <c r="A188" s="9" t="s">
        <v>449</v>
      </c>
      <c r="B188" s="9" t="str">
        <f>VLOOKUP($A188,MainData!$A$4:$E$1967,2,FALSE)</f>
        <v>Micro</v>
      </c>
      <c r="C188" s="9" t="str">
        <f>VLOOKUP($A188,MainData!$A$4:$E$1967,3,FALSE)</f>
        <v>Ali  Kadhum Wshah</v>
      </c>
      <c r="D188" s="9" t="str">
        <f>VLOOKUP($A188,MainData!$A$4:$E$1967,4,FALSE)</f>
        <v>Basra</v>
      </c>
      <c r="E188" s="9" t="str">
        <f>VLOOKUP($A188,MainData!$A$4:$E$1967,5,FALSE)</f>
        <v>Adel Abdul Ameer Farhod  </v>
      </c>
      <c r="F188" s="11">
        <f>SUMIFS(MainData!G:G,MainData!$A:$A,$A188)</f>
        <v>51966.342431818171</v>
      </c>
      <c r="G188" s="11">
        <f t="shared" si="370"/>
        <v>333333.33333333331</v>
      </c>
      <c r="H188" s="53">
        <f t="shared" ref="H188" si="445">IFERROR(F188/G188,0)</f>
        <v>0.15589902729545452</v>
      </c>
      <c r="I188" s="10">
        <f>SUMIFS(MainData!F:F,MainData!$A:$A,$A188)</f>
        <v>11</v>
      </c>
      <c r="J188" s="10">
        <f t="shared" si="318"/>
        <v>400</v>
      </c>
      <c r="K188" s="53">
        <f t="shared" ref="K188" si="446">IFERROR(I188/J188,0)</f>
        <v>2.75E-2</v>
      </c>
      <c r="L188" s="11">
        <f>SUMIFS(MainData!K:K,MainData!$A:$A,$A188)</f>
        <v>42424.242424242431</v>
      </c>
      <c r="M188" s="11">
        <f t="shared" si="295"/>
        <v>56818.18</v>
      </c>
      <c r="N188" s="53">
        <f t="shared" ref="N188" si="447">IFERROR(L188/M188,0)</f>
        <v>0.7466666905600009</v>
      </c>
      <c r="O188" s="256">
        <f>SUMIFS(MainData!J:J,MainData!$A:$A,$A188)</f>
        <v>8</v>
      </c>
      <c r="P188" s="10">
        <f>IF($B188=$B$4,0,IF($B188=$B$1,VLOOKUP(D188,Target_Entry!$A$8:$AF$23,5,0),IF(LO!B188=LO!$B$2,VLOOKUP(LO!D188,Target_Entry!$A$8:$AF$23,25,0),IF(LO!B188=LO!$B$3,VLOOKUP(LO!D188,Target_Entry!$A$8:$AF$23,15,0)))))</f>
        <v>15</v>
      </c>
      <c r="Q188" s="53">
        <f t="shared" ref="Q188" si="448">IFERROR(O188/P188,0)</f>
        <v>0.53333333333333333</v>
      </c>
      <c r="R188" s="10">
        <f>SUMIFS(MainData!J:J,MainData!$A:$A,$A188)</f>
        <v>8</v>
      </c>
      <c r="S188" s="10">
        <f>SUMIFS(MainData!M:M,MainData!$A:$A,$A188)</f>
        <v>5</v>
      </c>
      <c r="T188" s="53">
        <f t="shared" ref="T188" si="449">IFERROR(S188/R188,0)</f>
        <v>0.625</v>
      </c>
      <c r="U188" s="10">
        <f>SUMIFS(MainData!L:L,MainData!$A:$A,$A188)</f>
        <v>4</v>
      </c>
      <c r="V188" s="12">
        <f t="shared" ref="V188" si="450">IFERROR(U188/R188,0)</f>
        <v>0.5</v>
      </c>
      <c r="W188" s="10">
        <f>SUMIFS(MainData!F:F,MainData!$A:$A,$A188)</f>
        <v>11</v>
      </c>
      <c r="X188" s="12">
        <f t="shared" ref="X188" si="451">IF($B188=$B$2,W188/X$3,W188/X$2)</f>
        <v>4.3999999999999997E-2</v>
      </c>
      <c r="Y188" s="11">
        <f>SUMIFS(MainData!H:H,MainData!$A:$A,$A188)</f>
        <v>0</v>
      </c>
      <c r="Z188" s="12">
        <f t="shared" ref="Z188" si="452">IFERROR(Y188/$F188,0)</f>
        <v>0</v>
      </c>
      <c r="AA188" s="11">
        <f>SUMIFS(MainData!I:I,MainData!$A:$A,$A188)</f>
        <v>0</v>
      </c>
      <c r="AB188" s="12">
        <f t="shared" ref="AB188" si="453">IFERROR(AA188/$F188,0)</f>
        <v>0</v>
      </c>
      <c r="AD188" s="246"/>
      <c r="AE188" s="246"/>
      <c r="AF188" s="246"/>
      <c r="AG188" s="246"/>
      <c r="AH188" s="246"/>
      <c r="AI188" s="246"/>
      <c r="AJ188" s="246"/>
      <c r="AK188" s="246"/>
      <c r="AL188" s="246"/>
      <c r="AM188" s="247"/>
      <c r="AN188" s="247"/>
      <c r="AO188" s="234"/>
      <c r="AP188" s="235"/>
      <c r="AQ188" s="235"/>
      <c r="AR188" s="236"/>
      <c r="AS188" s="236"/>
      <c r="AT188" s="237"/>
      <c r="AU188" s="236"/>
      <c r="AV188" s="238"/>
      <c r="AW188" s="238"/>
      <c r="AX188" s="239"/>
      <c r="AY188" s="240"/>
      <c r="AZ188" s="240"/>
      <c r="BB188" s="170"/>
      <c r="BC188" s="202"/>
    </row>
    <row r="189" spans="1:55" hidden="1" x14ac:dyDescent="0.25">
      <c r="A189" s="269" t="s">
        <v>450</v>
      </c>
      <c r="B189" s="189" t="str">
        <f>VLOOKUP($A189,MainData!$A$4:$E$1967,2,FALSE)</f>
        <v>Inactive</v>
      </c>
      <c r="C189" s="189" t="str">
        <f>VLOOKUP($A189,MainData!$A$4:$E$1967,3,FALSE)</f>
        <v>Inactive</v>
      </c>
      <c r="D189" s="189" t="str">
        <f>VLOOKUP($A189,MainData!$A$4:$E$1967,4,FALSE)</f>
        <v>HINDIYAH</v>
      </c>
      <c r="E189" s="189" t="str">
        <f>VLOOKUP($A189,MainData!$A$4:$E$1967,5,FALSE)</f>
        <v>Inactive</v>
      </c>
      <c r="F189" s="11">
        <f>SUMIFS(MainData!G:G,MainData!$A:$A,$A189)</f>
        <v>0</v>
      </c>
      <c r="G189" s="11">
        <f t="shared" si="370"/>
        <v>0</v>
      </c>
      <c r="H189" s="53">
        <f t="shared" ref="H189:H190" si="454">IFERROR(F189/G189,0)</f>
        <v>0</v>
      </c>
      <c r="I189" s="10">
        <f>SUMIFS(MainData!F:F,MainData!$A:$A,$A189)</f>
        <v>0</v>
      </c>
      <c r="J189" s="10">
        <f t="shared" si="318"/>
        <v>0</v>
      </c>
      <c r="K189" s="53">
        <f t="shared" ref="K189:K190" si="455">IFERROR(I189/J189,0)</f>
        <v>0</v>
      </c>
      <c r="L189" s="11">
        <f>SUMIFS(MainData!K:K,MainData!$A:$A,$A189)</f>
        <v>0</v>
      </c>
      <c r="M189" s="11">
        <f t="shared" si="295"/>
        <v>0</v>
      </c>
      <c r="N189" s="53">
        <f t="shared" ref="N189:N190" si="456">IFERROR(L189/M189,0)</f>
        <v>0</v>
      </c>
      <c r="O189" s="256">
        <f>SUMIFS(MainData!J:J,MainData!$A:$A,$A189)</f>
        <v>0</v>
      </c>
      <c r="P189" s="10">
        <f>IF($B189=$B$4,0,IF($B189=$B$1,VLOOKUP(D189,Target_Entry!$A$8:$AF$23,5,0),IF(LO!B189=LO!$B$2,VLOOKUP(LO!D189,Target_Entry!$A$8:$AF$23,25,0),IF(LO!B189=LO!$B$3,VLOOKUP(LO!D189,Target_Entry!$A$8:$AF$23,15,0)))))</f>
        <v>0</v>
      </c>
      <c r="Q189" s="53">
        <f t="shared" ref="Q189:Q190" si="457">IFERROR(O189/P189,0)</f>
        <v>0</v>
      </c>
      <c r="R189" s="10">
        <f>SUMIFS(MainData!J:J,MainData!$A:$A,$A189)</f>
        <v>0</v>
      </c>
      <c r="S189" s="10">
        <f>SUMIFS(MainData!M:M,MainData!$A:$A,$A189)</f>
        <v>0</v>
      </c>
      <c r="T189" s="53">
        <f t="shared" ref="T189:T190" si="458">IFERROR(S189/R189,0)</f>
        <v>0</v>
      </c>
      <c r="U189" s="10">
        <f>SUMIFS(MainData!L:L,MainData!$A:$A,$A189)</f>
        <v>0</v>
      </c>
      <c r="V189" s="12">
        <f t="shared" ref="V189:V190" si="459">IFERROR(U189/R189,0)</f>
        <v>0</v>
      </c>
      <c r="W189" s="10">
        <f>SUMIFS(MainData!F:F,MainData!$A:$A,$A189)</f>
        <v>0</v>
      </c>
      <c r="X189" s="12">
        <f t="shared" ref="X189:X190" si="460">IF($B189=$B$2,W189/X$3,W189/X$2)</f>
        <v>0</v>
      </c>
      <c r="Y189" s="11">
        <f>SUMIFS(MainData!H:H,MainData!$A:$A,$A189)</f>
        <v>0</v>
      </c>
      <c r="Z189" s="12">
        <f t="shared" ref="Z189:Z190" si="461">IFERROR(Y189/$F189,0)</f>
        <v>0</v>
      </c>
      <c r="AA189" s="11">
        <f>SUMIFS(MainData!I:I,MainData!$A:$A,$A189)</f>
        <v>0</v>
      </c>
      <c r="AB189" s="12">
        <f t="shared" ref="AB189:AB190" si="462">IFERROR(AA189/$F189,0)</f>
        <v>0</v>
      </c>
      <c r="AD189" s="246"/>
      <c r="AE189" s="246"/>
      <c r="AF189" s="246"/>
      <c r="AG189" s="246"/>
      <c r="AH189" s="246"/>
      <c r="AI189" s="246"/>
      <c r="AJ189" s="246"/>
      <c r="AK189" s="246"/>
      <c r="AL189" s="246"/>
      <c r="AM189" s="247"/>
      <c r="AN189" s="247"/>
      <c r="AO189" s="234"/>
      <c r="AP189" s="235"/>
      <c r="AQ189" s="235"/>
      <c r="AR189" s="236"/>
      <c r="AS189" s="236"/>
      <c r="AT189" s="237"/>
      <c r="AU189" s="236"/>
      <c r="AV189" s="238"/>
      <c r="AW189" s="238"/>
      <c r="AX189" s="239"/>
      <c r="AY189" s="240"/>
      <c r="AZ189" s="240"/>
      <c r="BB189" s="170"/>
      <c r="BC189" s="202"/>
    </row>
    <row r="190" spans="1:55" hidden="1" x14ac:dyDescent="0.25">
      <c r="A190" s="269" t="s">
        <v>451</v>
      </c>
      <c r="B190" s="189" t="str">
        <f>VLOOKUP($A190,MainData!$A$4:$E$1967,2,FALSE)</f>
        <v>Micro</v>
      </c>
      <c r="C190" s="189" t="str">
        <f>VLOOKUP($A190,MainData!$A$4:$E$1967,3,FALSE)</f>
        <v>Yais Khdhir Dikhi</v>
      </c>
      <c r="D190" s="189" t="str">
        <f>VLOOKUP($A190,MainData!$A$4:$E$1967,4,FALSE)</f>
        <v>HINDIYAH</v>
      </c>
      <c r="E190" s="189" t="str">
        <f>VLOOKUP($A190,MainData!$A$4:$E$1967,5,FALSE)</f>
        <v>Mustafa Sabeeh Hadi</v>
      </c>
      <c r="F190" s="11">
        <f>SUMIFS(MainData!G:G,MainData!$A:$A,$A190)</f>
        <v>80252.528333333335</v>
      </c>
      <c r="G190" s="11">
        <f t="shared" si="370"/>
        <v>333333.33333333331</v>
      </c>
      <c r="H190" s="53">
        <f t="shared" si="454"/>
        <v>0.24075758500000002</v>
      </c>
      <c r="I190" s="10">
        <f>SUMIFS(MainData!F:F,MainData!$A:$A,$A190)</f>
        <v>23</v>
      </c>
      <c r="J190" s="10">
        <f t="shared" si="318"/>
        <v>400</v>
      </c>
      <c r="K190" s="53">
        <f t="shared" si="455"/>
        <v>5.7500000000000002E-2</v>
      </c>
      <c r="L190" s="11">
        <f>SUMIFS(MainData!K:K,MainData!$A:$A,$A190)</f>
        <v>26515.151515151512</v>
      </c>
      <c r="M190" s="11">
        <f t="shared" si="295"/>
        <v>56818.18</v>
      </c>
      <c r="N190" s="53">
        <f t="shared" si="456"/>
        <v>0.46666668160000041</v>
      </c>
      <c r="O190" s="256">
        <f>SUMIFS(MainData!J:J,MainData!$A:$A,$A190)</f>
        <v>8</v>
      </c>
      <c r="P190" s="10">
        <f>IF($B190=$B$4,0,IF($B190=$B$1,VLOOKUP(D190,Target_Entry!$A$8:$AF$23,5,0),IF(LO!B190=LO!$B$2,VLOOKUP(LO!D190,Target_Entry!$A$8:$AF$23,25,0),IF(LO!B190=LO!$B$3,VLOOKUP(LO!D190,Target_Entry!$A$8:$AF$23,15,0)))))</f>
        <v>15</v>
      </c>
      <c r="Q190" s="53">
        <f t="shared" si="457"/>
        <v>0.53333333333333333</v>
      </c>
      <c r="R190" s="10">
        <f>SUMIFS(MainData!J:J,MainData!$A:$A,$A190)</f>
        <v>8</v>
      </c>
      <c r="S190" s="10">
        <f>SUMIFS(MainData!M:M,MainData!$A:$A,$A190)</f>
        <v>4</v>
      </c>
      <c r="T190" s="53">
        <f t="shared" si="458"/>
        <v>0.5</v>
      </c>
      <c r="U190" s="10">
        <f>SUMIFS(MainData!L:L,MainData!$A:$A,$A190)</f>
        <v>4</v>
      </c>
      <c r="V190" s="12">
        <f t="shared" si="459"/>
        <v>0.5</v>
      </c>
      <c r="W190" s="10">
        <f>SUMIFS(MainData!F:F,MainData!$A:$A,$A190)</f>
        <v>23</v>
      </c>
      <c r="X190" s="12">
        <f t="shared" si="460"/>
        <v>9.1999999999999998E-2</v>
      </c>
      <c r="Y190" s="11">
        <f>SUMIFS(MainData!H:H,MainData!$A:$A,$A190)</f>
        <v>0</v>
      </c>
      <c r="Z190" s="12">
        <f t="shared" si="461"/>
        <v>0</v>
      </c>
      <c r="AA190" s="11">
        <f>SUMIFS(MainData!I:I,MainData!$A:$A,$A190)</f>
        <v>0</v>
      </c>
      <c r="AB190" s="12">
        <f t="shared" si="462"/>
        <v>0</v>
      </c>
      <c r="AD190" s="246"/>
      <c r="AE190" s="246"/>
      <c r="AF190" s="246"/>
      <c r="AG190" s="246"/>
      <c r="AH190" s="246"/>
      <c r="AI190" s="246"/>
      <c r="AJ190" s="246"/>
      <c r="AK190" s="246"/>
      <c r="AL190" s="246"/>
      <c r="AM190" s="247"/>
      <c r="AN190" s="247"/>
      <c r="AO190" s="234"/>
      <c r="AP190" s="235"/>
      <c r="AQ190" s="235"/>
      <c r="AR190" s="236"/>
      <c r="AS190" s="236"/>
      <c r="AT190" s="237"/>
      <c r="AU190" s="236"/>
      <c r="AV190" s="238"/>
      <c r="AW190" s="238"/>
      <c r="AX190" s="239"/>
      <c r="AY190" s="240"/>
      <c r="AZ190" s="240"/>
      <c r="BB190" s="170"/>
      <c r="BC190" s="202"/>
    </row>
    <row r="191" spans="1:55" hidden="1" x14ac:dyDescent="0.25">
      <c r="A191" s="211" t="s">
        <v>452</v>
      </c>
      <c r="B191" s="9" t="str">
        <f>VLOOKUP($A191,MainData!$A$4:$E$1967,2,FALSE)</f>
        <v>Micro</v>
      </c>
      <c r="C191" s="9" t="str">
        <f>VLOOKUP($A191,MainData!$A$4:$E$1967,3,FALSE)</f>
        <v>Ali Kareem Hadhil</v>
      </c>
      <c r="D191" s="9" t="str">
        <f>VLOOKUP($A191,MainData!$A$4:$E$1967,4,FALSE)</f>
        <v>Kut</v>
      </c>
      <c r="E191" s="9" t="str">
        <f>VLOOKUP($A191,MainData!$A$4:$E$1967,5,FALSE)</f>
        <v>Hayder Hashim Mohammed</v>
      </c>
      <c r="F191" s="11">
        <f>SUMIFS(MainData!G:G,MainData!$A:$A,$A191)</f>
        <v>76587.000681818186</v>
      </c>
      <c r="G191" s="11">
        <f t="shared" si="370"/>
        <v>333333.33333333331</v>
      </c>
      <c r="H191" s="53">
        <f t="shared" ref="H191:H192" si="463">IFERROR(F191/G191,0)</f>
        <v>0.22976100204545458</v>
      </c>
      <c r="I191" s="10">
        <f>SUMIFS(MainData!F:F,MainData!$A:$A,$A191)</f>
        <v>26</v>
      </c>
      <c r="J191" s="10">
        <f t="shared" si="318"/>
        <v>400</v>
      </c>
      <c r="K191" s="53">
        <f t="shared" ref="K191:K192" si="464">IFERROR(I191/J191,0)</f>
        <v>6.5000000000000002E-2</v>
      </c>
      <c r="L191" s="11">
        <f>SUMIFS(MainData!K:K,MainData!$A:$A,$A191)</f>
        <v>30303.030303030308</v>
      </c>
      <c r="M191" s="11">
        <f t="shared" si="295"/>
        <v>56818.18</v>
      </c>
      <c r="N191" s="53">
        <f t="shared" ref="N191:N192" si="465">IFERROR(L191/M191,0)</f>
        <v>0.53333335040000063</v>
      </c>
      <c r="O191" s="256">
        <f>SUMIFS(MainData!J:J,MainData!$A:$A,$A191)</f>
        <v>11</v>
      </c>
      <c r="P191" s="10">
        <f>IF($B191=$B$4,0,IF($B191=$B$1,VLOOKUP(D191,Target_Entry!$A$8:$AF$23,5,0),IF(LO!B191=LO!$B$2,VLOOKUP(LO!D191,Target_Entry!$A$8:$AF$23,25,0),IF(LO!B191=LO!$B$3,VLOOKUP(LO!D191,Target_Entry!$A$8:$AF$23,15,0)))))</f>
        <v>15</v>
      </c>
      <c r="Q191" s="53">
        <f t="shared" ref="Q191:Q192" si="466">IFERROR(O191/P191,0)</f>
        <v>0.73333333333333328</v>
      </c>
      <c r="R191" s="10">
        <f>SUMIFS(MainData!J:J,MainData!$A:$A,$A191)</f>
        <v>11</v>
      </c>
      <c r="S191" s="10">
        <f>SUMIFS(MainData!M:M,MainData!$A:$A,$A191)</f>
        <v>3</v>
      </c>
      <c r="T191" s="53">
        <f t="shared" ref="T191:T192" si="467">IFERROR(S191/R191,0)</f>
        <v>0.27272727272727271</v>
      </c>
      <c r="U191" s="10">
        <f>SUMIFS(MainData!L:L,MainData!$A:$A,$A191)</f>
        <v>7</v>
      </c>
      <c r="V191" s="12">
        <f t="shared" ref="V191:V192" si="468">IFERROR(U191/R191,0)</f>
        <v>0.63636363636363635</v>
      </c>
      <c r="W191" s="10">
        <f>SUMIFS(MainData!F:F,MainData!$A:$A,$A191)</f>
        <v>26</v>
      </c>
      <c r="X191" s="12">
        <f t="shared" ref="X191:X192" si="469">IF($B191=$B$2,W191/X$3,W191/X$2)</f>
        <v>0.104</v>
      </c>
      <c r="Y191" s="11">
        <f>SUMIFS(MainData!H:H,MainData!$A:$A,$A191)</f>
        <v>0</v>
      </c>
      <c r="Z191" s="12">
        <f t="shared" ref="Z191:Z192" si="470">IFERROR(Y191/$F191,0)</f>
        <v>0</v>
      </c>
      <c r="AA191" s="11">
        <f>SUMIFS(MainData!I:I,MainData!$A:$A,$A191)</f>
        <v>0</v>
      </c>
      <c r="AB191" s="12">
        <f t="shared" ref="AB191:AB192" si="471">IFERROR(AA191/$F191,0)</f>
        <v>0</v>
      </c>
      <c r="AD191" s="246"/>
      <c r="AE191" s="246"/>
      <c r="AF191" s="246"/>
      <c r="AG191" s="246"/>
      <c r="AH191" s="246"/>
      <c r="AI191" s="246"/>
      <c r="AJ191" s="246"/>
      <c r="AK191" s="246"/>
      <c r="AL191" s="246"/>
      <c r="AM191" s="247"/>
      <c r="AN191" s="247"/>
      <c r="AO191" s="234"/>
      <c r="AP191" s="235"/>
      <c r="AQ191" s="235"/>
      <c r="AR191" s="236"/>
      <c r="AS191" s="236"/>
      <c r="AT191" s="237"/>
      <c r="AU191" s="236"/>
      <c r="AV191" s="238"/>
      <c r="AW191" s="238"/>
      <c r="AX191" s="239"/>
      <c r="AY191" s="240"/>
      <c r="AZ191" s="240"/>
      <c r="BB191" s="170"/>
      <c r="BC191" s="202"/>
    </row>
    <row r="192" spans="1:55" hidden="1" x14ac:dyDescent="0.25">
      <c r="A192" s="299" t="s">
        <v>463</v>
      </c>
      <c r="B192" s="9" t="str">
        <f>VLOOKUP($A192,MainData!$A$4:$E$1967,2,FALSE)</f>
        <v>Micro</v>
      </c>
      <c r="C192" s="9" t="str">
        <f>VLOOKUP($A192,MainData!$A$4:$E$1967,3,FALSE)</f>
        <v>Hassan Razaq Sebah</v>
      </c>
      <c r="D192" s="9" t="str">
        <f>VLOOKUP($A192,MainData!$A$4:$E$1967,4,FALSE)</f>
        <v>Kut</v>
      </c>
      <c r="E192" s="9" t="str">
        <f>VLOOKUP($A192,MainData!$A$4:$E$1967,5,FALSE)</f>
        <v>Hayder Hashim Mohammed</v>
      </c>
      <c r="F192" s="11">
        <f>SUMIFS(MainData!G:G,MainData!$A:$A,$A192)</f>
        <v>87481.069386363641</v>
      </c>
      <c r="G192" s="11">
        <f t="shared" si="370"/>
        <v>333333.33333333331</v>
      </c>
      <c r="H192" s="53">
        <f t="shared" si="463"/>
        <v>0.26244320815909095</v>
      </c>
      <c r="I192" s="10">
        <f>SUMIFS(MainData!F:F,MainData!$A:$A,$A192)</f>
        <v>29</v>
      </c>
      <c r="J192" s="10">
        <f t="shared" si="318"/>
        <v>400</v>
      </c>
      <c r="K192" s="53">
        <f t="shared" si="464"/>
        <v>7.2499999999999995E-2</v>
      </c>
      <c r="L192" s="11">
        <f>SUMIFS(MainData!K:K,MainData!$A:$A,$A192)</f>
        <v>32954.545454545456</v>
      </c>
      <c r="M192" s="11">
        <f t="shared" ref="M192" si="472">IF($B192=$B$4,0,IF($B192=$B$1,$K$1,IF($B192=$B$2,$K$2,IF($B192=$B$3,$K$3))))</f>
        <v>56818.18</v>
      </c>
      <c r="N192" s="53">
        <f t="shared" si="465"/>
        <v>0.58000001856000061</v>
      </c>
      <c r="O192" s="256">
        <f>SUMIFS(MainData!J:J,MainData!$A:$A,$A192)</f>
        <v>11</v>
      </c>
      <c r="P192" s="10">
        <f>IF($B192=$B$4,0,IF($B192=$B$1,VLOOKUP(D192,Target_Entry!$A$8:$AF$23,5,0),IF(LO!B192=LO!$B$2,VLOOKUP(LO!D192,Target_Entry!$A$8:$AF$23,25,0),IF(LO!B192=LO!$B$3,VLOOKUP(LO!D192,Target_Entry!$A$8:$AF$23,15,0)))))</f>
        <v>15</v>
      </c>
      <c r="Q192" s="53">
        <f t="shared" si="466"/>
        <v>0.73333333333333328</v>
      </c>
      <c r="R192" s="10">
        <f>SUMIFS(MainData!J:J,MainData!$A:$A,$A192)</f>
        <v>11</v>
      </c>
      <c r="S192" s="10">
        <f>SUMIFS(MainData!M:M,MainData!$A:$A,$A192)</f>
        <v>2</v>
      </c>
      <c r="T192" s="53">
        <f t="shared" si="467"/>
        <v>0.18181818181818182</v>
      </c>
      <c r="U192" s="10">
        <f>SUMIFS(MainData!L:L,MainData!$A:$A,$A192)</f>
        <v>7</v>
      </c>
      <c r="V192" s="12">
        <f t="shared" si="468"/>
        <v>0.63636363636363635</v>
      </c>
      <c r="W192" s="10">
        <f>SUMIFS(MainData!F:F,MainData!$A:$A,$A192)</f>
        <v>29</v>
      </c>
      <c r="X192" s="12">
        <f t="shared" si="469"/>
        <v>0.11600000000000001</v>
      </c>
      <c r="Y192" s="11">
        <f>SUMIFS(MainData!H:H,MainData!$A:$A,$A192)</f>
        <v>0</v>
      </c>
      <c r="Z192" s="12">
        <f t="shared" si="470"/>
        <v>0</v>
      </c>
      <c r="AA192" s="11">
        <f>SUMIFS(MainData!I:I,MainData!$A:$A,$A192)</f>
        <v>0</v>
      </c>
      <c r="AB192" s="12">
        <f t="shared" si="471"/>
        <v>0</v>
      </c>
      <c r="AD192" s="246"/>
      <c r="AE192" s="246"/>
      <c r="AF192" s="246"/>
      <c r="AG192" s="246"/>
      <c r="AH192" s="246"/>
      <c r="AI192" s="246"/>
      <c r="AJ192" s="246"/>
      <c r="AK192" s="246"/>
      <c r="AL192" s="246"/>
      <c r="AM192" s="247"/>
      <c r="AN192" s="247"/>
      <c r="AO192" s="234"/>
      <c r="AP192" s="235"/>
      <c r="AQ192" s="235"/>
      <c r="AR192" s="236"/>
      <c r="AS192" s="236"/>
      <c r="AT192" s="237"/>
      <c r="AU192" s="236"/>
      <c r="AV192" s="238"/>
      <c r="AW192" s="238"/>
      <c r="AX192" s="239"/>
      <c r="AY192" s="240"/>
      <c r="AZ192" s="240"/>
      <c r="BB192" s="170"/>
      <c r="BC192" s="202"/>
    </row>
    <row r="193" spans="1:52" hidden="1" x14ac:dyDescent="0.25">
      <c r="A193" s="212" t="s">
        <v>132</v>
      </c>
      <c r="B193" s="206" t="s">
        <v>132</v>
      </c>
      <c r="C193" s="206" t="s">
        <v>132</v>
      </c>
      <c r="D193" s="206" t="s">
        <v>132</v>
      </c>
      <c r="E193" s="206" t="s">
        <v>132</v>
      </c>
      <c r="F193" s="206" t="s">
        <v>132</v>
      </c>
      <c r="G193" s="206" t="s">
        <v>132</v>
      </c>
      <c r="H193" s="207" t="s">
        <v>132</v>
      </c>
      <c r="I193" s="208" t="s">
        <v>132</v>
      </c>
      <c r="J193" s="208" t="s">
        <v>132</v>
      </c>
      <c r="K193" s="207" t="s">
        <v>132</v>
      </c>
      <c r="L193" s="207" t="s">
        <v>132</v>
      </c>
      <c r="M193" s="207" t="s">
        <v>132</v>
      </c>
      <c r="N193" s="207" t="s">
        <v>132</v>
      </c>
      <c r="O193" s="264" t="s">
        <v>132</v>
      </c>
      <c r="P193" s="208" t="s">
        <v>132</v>
      </c>
      <c r="Q193" s="207" t="s">
        <v>132</v>
      </c>
      <c r="R193" s="206" t="s">
        <v>132</v>
      </c>
      <c r="S193" s="206" t="s">
        <v>132</v>
      </c>
      <c r="T193" s="207" t="s">
        <v>132</v>
      </c>
      <c r="U193" s="206" t="s">
        <v>132</v>
      </c>
      <c r="V193" s="206" t="s">
        <v>132</v>
      </c>
      <c r="W193" s="206" t="s">
        <v>132</v>
      </c>
      <c r="X193" s="206" t="s">
        <v>132</v>
      </c>
      <c r="Y193" s="206" t="s">
        <v>132</v>
      </c>
      <c r="Z193" s="206" t="s">
        <v>132</v>
      </c>
      <c r="AA193" s="206" t="s">
        <v>132</v>
      </c>
      <c r="AB193" s="206" t="s">
        <v>132</v>
      </c>
      <c r="AC193" s="182"/>
      <c r="AD193" s="209"/>
      <c r="AE193" s="209"/>
      <c r="AF193" s="209" t="e">
        <f>AVERAGE(#REF!)</f>
        <v>#REF!</v>
      </c>
      <c r="AG193" s="209" t="e">
        <f>AVERAGE(#REF!)</f>
        <v>#REF!</v>
      </c>
      <c r="AH193" s="209" t="e">
        <f>AVERAGE(#REF!)</f>
        <v>#REF!</v>
      </c>
      <c r="AI193" s="209" t="e">
        <f>AVERAGE(#REF!)</f>
        <v>#REF!</v>
      </c>
      <c r="AJ193" s="209" t="e">
        <f>AVERAGE(#REF!)</f>
        <v>#REF!</v>
      </c>
      <c r="AK193" s="209" t="e">
        <f>AVERAGE(#REF!)</f>
        <v>#REF!</v>
      </c>
      <c r="AL193" s="209" t="e">
        <f>AVERAGE(#REF!)</f>
        <v>#REF!</v>
      </c>
      <c r="AM193" s="210"/>
      <c r="AN193" s="210" t="s">
        <v>132</v>
      </c>
      <c r="AO193" s="187"/>
      <c r="AP193" s="187"/>
      <c r="AQ193" s="187"/>
      <c r="AR193" s="28"/>
      <c r="AS193" s="28"/>
      <c r="AT193" s="163"/>
      <c r="AU193" s="28"/>
      <c r="AV193" s="28"/>
      <c r="AW193" s="28"/>
      <c r="AX193" s="66"/>
      <c r="AY193" s="211"/>
      <c r="AZ193" s="211"/>
    </row>
    <row r="194" spans="1:52" hidden="1" x14ac:dyDescent="0.25">
      <c r="J194" s="14">
        <f>15*48</f>
        <v>720</v>
      </c>
    </row>
    <row r="195" spans="1:52" hidden="1" x14ac:dyDescent="0.25">
      <c r="J195" s="14">
        <v>210</v>
      </c>
    </row>
    <row r="196" spans="1:52" hidden="1" x14ac:dyDescent="0.25"/>
  </sheetData>
  <autoFilter ref="A6:BC196" xr:uid="{00000000-0009-0000-0000-000003000000}">
    <filterColumn colId="2">
      <filters>
        <filter val="Ali  Kadhum Wshah"/>
      </filters>
    </filterColumn>
    <filterColumn colId="3">
      <filters>
        <filter val="Basra"/>
      </filters>
    </filterColumn>
    <sortState xmlns:xlrd2="http://schemas.microsoft.com/office/spreadsheetml/2017/richdata2" ref="A7:BC194">
      <sortCondition ref="D6:D194"/>
    </sortState>
  </autoFilter>
  <pageMargins left="0.7" right="0.7" top="0.75" bottom="0.75" header="0.3" footer="0.3"/>
  <pageSetup paperSize="9" orientation="portrait" horizontalDpi="4294967295" verticalDpi="4294967295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A188"/>
  <sheetViews>
    <sheetView workbookViewId="0">
      <pane xSplit="1" ySplit="4" topLeftCell="B35" activePane="bottomRight" state="frozen"/>
      <selection pane="topRight" activeCell="B1" sqref="B1"/>
      <selection pane="bottomLeft" activeCell="A5" sqref="A5"/>
      <selection pane="bottomRight" activeCell="K35" sqref="K35"/>
    </sheetView>
  </sheetViews>
  <sheetFormatPr defaultColWidth="3.28515625" defaultRowHeight="15" x14ac:dyDescent="0.25"/>
  <cols>
    <col min="1" max="1" width="30.85546875" bestFit="1" customWidth="1"/>
    <col min="2" max="2" width="11.28515625" bestFit="1" customWidth="1"/>
    <col min="3" max="3" width="26.140625" customWidth="1"/>
    <col min="4" max="4" width="9.85546875" customWidth="1"/>
    <col min="5" max="5" width="23.85546875" bestFit="1" customWidth="1"/>
    <col min="6" max="6" width="11.28515625" style="5" bestFit="1" customWidth="1"/>
    <col min="7" max="9" width="14.42578125" style="4" bestFit="1" customWidth="1"/>
    <col min="10" max="10" width="10.7109375" style="14" bestFit="1" customWidth="1"/>
    <col min="11" max="11" width="12.140625" style="4" bestFit="1" customWidth="1"/>
    <col min="12" max="12" width="19.28515625" style="5" bestFit="1" customWidth="1"/>
    <col min="13" max="13" width="17.28515625" style="5" bestFit="1" customWidth="1"/>
  </cols>
  <sheetData>
    <row r="1" spans="1:13" x14ac:dyDescent="0.25">
      <c r="A1" t="s">
        <v>0</v>
      </c>
      <c r="C1">
        <f>SUBTOTAL(3,C5:C183)</f>
        <v>179</v>
      </c>
      <c r="F1" s="3" t="s">
        <v>126</v>
      </c>
      <c r="G1" s="3" t="s">
        <v>127</v>
      </c>
      <c r="H1" s="38" t="s">
        <v>117</v>
      </c>
      <c r="I1" s="2" t="s">
        <v>117</v>
      </c>
      <c r="J1" s="3" t="s">
        <v>174</v>
      </c>
      <c r="K1" s="3" t="s">
        <v>129</v>
      </c>
      <c r="L1" s="3" t="s">
        <v>167</v>
      </c>
      <c r="M1" s="3" t="s">
        <v>168</v>
      </c>
    </row>
    <row r="2" spans="1:13" x14ac:dyDescent="0.25">
      <c r="H2" s="2" t="s">
        <v>200</v>
      </c>
      <c r="I2" s="2" t="s">
        <v>118</v>
      </c>
      <c r="K2" s="2"/>
      <c r="L2" t="s">
        <v>120</v>
      </c>
      <c r="M2" t="s">
        <v>120</v>
      </c>
    </row>
    <row r="3" spans="1:13" ht="15.75" thickBot="1" x14ac:dyDescent="0.3">
      <c r="F3" s="5" t="s">
        <v>122</v>
      </c>
      <c r="G3" s="4" t="s">
        <v>119</v>
      </c>
      <c r="H3" s="2" t="s">
        <v>119</v>
      </c>
      <c r="I3" s="2" t="s">
        <v>119</v>
      </c>
      <c r="J3" s="3" t="s">
        <v>174</v>
      </c>
      <c r="K3" s="4" t="s">
        <v>131</v>
      </c>
      <c r="L3" t="s">
        <v>121</v>
      </c>
      <c r="M3" t="s">
        <v>215</v>
      </c>
    </row>
    <row r="4" spans="1:13" s="13" customFormat="1" x14ac:dyDescent="0.25">
      <c r="A4" s="24" t="s">
        <v>0</v>
      </c>
      <c r="B4" s="46" t="s">
        <v>217</v>
      </c>
      <c r="C4" s="21" t="s">
        <v>123</v>
      </c>
      <c r="D4" s="21" t="s">
        <v>125</v>
      </c>
      <c r="E4" s="21" t="s">
        <v>124</v>
      </c>
      <c r="F4" s="22" t="s">
        <v>132</v>
      </c>
      <c r="G4" s="22" t="s">
        <v>132</v>
      </c>
      <c r="H4" s="22" t="s">
        <v>132</v>
      </c>
      <c r="I4" s="22" t="s">
        <v>132</v>
      </c>
      <c r="J4" s="25" t="s">
        <v>132</v>
      </c>
      <c r="K4" s="25" t="s">
        <v>132</v>
      </c>
      <c r="L4" s="25" t="s">
        <v>132</v>
      </c>
      <c r="M4" s="25" t="s">
        <v>132</v>
      </c>
    </row>
    <row r="5" spans="1:13" x14ac:dyDescent="0.25">
      <c r="A5" s="9" t="s">
        <v>6</v>
      </c>
      <c r="B5" s="86" t="s">
        <v>383</v>
      </c>
      <c r="C5" s="9" t="s">
        <v>464</v>
      </c>
      <c r="D5" s="9" t="s">
        <v>157</v>
      </c>
      <c r="E5" s="9" t="s">
        <v>504</v>
      </c>
      <c r="F5" s="10">
        <f>IFERROR(VLOOKUP($A5,ImportDataWA!$A$14:$BB$200,9,FALSE),0)</f>
        <v>267</v>
      </c>
      <c r="G5" s="11">
        <f>IFERROR(VLOOKUP($A5,ImportDataWA!$A$12:$BB$200,10,FALSE),0)</f>
        <v>985481.07109689084</v>
      </c>
      <c r="H5" s="11">
        <f>IFERROR(VLOOKUP($A5,ImportDataWA!$A$12:$BB$200,14,FALSE),0)</f>
        <v>29157.528424242428</v>
      </c>
      <c r="I5" s="11">
        <f>IFERROR(VLOOKUP($A5,ImportDataWA!$A$12:$BB$200,18,FALSE),0)</f>
        <v>20333.36837878788</v>
      </c>
      <c r="J5" s="10">
        <f>IFERROR(VLOOKUP($A5,ImportDataWA!$A$14:$BB$200,5,FALSE),0)</f>
        <v>12</v>
      </c>
      <c r="K5" s="11">
        <f>IFERROR(VLOOKUP($A5,ImportDataWA!$A$12:$BB$200,7,FALSE),0)</f>
        <v>81060.606060606078</v>
      </c>
      <c r="L5" s="10">
        <f>IFERROR(VLOOKUP($A5,ImportDataWA!$A$12:$BB$200,3,FALSE),0)</f>
        <v>3</v>
      </c>
      <c r="M5" s="10">
        <f>IFERROR(VLOOKUP($A5,ImportDataWA!$A$12:$BB$200,4,FALSE),0)</f>
        <v>8</v>
      </c>
    </row>
    <row r="6" spans="1:13" x14ac:dyDescent="0.25">
      <c r="A6" s="9" t="s">
        <v>8</v>
      </c>
      <c r="B6" s="86" t="s">
        <v>383</v>
      </c>
      <c r="C6" s="9" t="s">
        <v>464</v>
      </c>
      <c r="D6" s="9" t="s">
        <v>157</v>
      </c>
      <c r="E6" s="9" t="s">
        <v>504</v>
      </c>
      <c r="F6" s="10">
        <f>IFERROR(VLOOKUP($A6,ImportDataWA!$A$14:$BB$200,9,FALSE),0)</f>
        <v>300</v>
      </c>
      <c r="G6" s="11">
        <f>IFERROR(VLOOKUP($A6,ImportDataWA!$A$12:$BB$200,10,FALSE),0)</f>
        <v>1277637.5282020152</v>
      </c>
      <c r="H6" s="11">
        <f>IFERROR(VLOOKUP($A6,ImportDataWA!$A$12:$BB$200,14,FALSE),0)</f>
        <v>1854.5454545454545</v>
      </c>
      <c r="I6" s="11">
        <f>IFERROR(VLOOKUP($A6,ImportDataWA!$A$12:$BB$200,18,FALSE),0)</f>
        <v>31061.245227272724</v>
      </c>
      <c r="J6" s="10">
        <f>IFERROR(VLOOKUP($A6,ImportDataWA!$A$12:$BB$200,5,FALSE),0)</f>
        <v>16</v>
      </c>
      <c r="K6" s="11">
        <f>IFERROR(VLOOKUP($A6,ImportDataWA!$A$12:$BB$200,7,FALSE),0)</f>
        <v>80681.818181818177</v>
      </c>
      <c r="L6" s="10">
        <f>IFERROR(VLOOKUP($A6,ImportDataWA!$A$12:$BB$200,3,FALSE),0)</f>
        <v>8</v>
      </c>
      <c r="M6" s="10">
        <f>IFERROR(VLOOKUP($A6,ImportDataWA!$A$12:$BB$200,4,FALSE),0)</f>
        <v>4</v>
      </c>
    </row>
    <row r="7" spans="1:13" x14ac:dyDescent="0.25">
      <c r="A7" s="9" t="s">
        <v>354</v>
      </c>
      <c r="B7" s="86" t="s">
        <v>383</v>
      </c>
      <c r="C7" s="9" t="s">
        <v>464</v>
      </c>
      <c r="D7" s="9" t="s">
        <v>157</v>
      </c>
      <c r="E7" s="9" t="s">
        <v>504</v>
      </c>
      <c r="F7" s="10">
        <f>IFERROR(VLOOKUP($A7,ImportDataWA!$A$14:$BB$200,9,FALSE),0)</f>
        <v>210</v>
      </c>
      <c r="G7" s="11">
        <f>IFERROR(VLOOKUP($A7,ImportDataWA!$A$12:$BB$200,10,FALSE),0)</f>
        <v>839475.30958093191</v>
      </c>
      <c r="H7" s="11">
        <f>IFERROR(VLOOKUP($A7,ImportDataWA!$A$12:$BB$200,14,FALSE),0)</f>
        <v>6195.3415833333356</v>
      </c>
      <c r="I7" s="11">
        <f>IFERROR(VLOOKUP($A7,ImportDataWA!$A$12:$BB$200,18,FALSE),0)</f>
        <v>32736.117333333335</v>
      </c>
      <c r="J7" s="10">
        <f>IFERROR(VLOOKUP($A7,ImportDataWA!$A$12:$BB$200,5,FALSE),0)</f>
        <v>15</v>
      </c>
      <c r="K7" s="11">
        <f>IFERROR(VLOOKUP($A7,ImportDataWA!$A$12:$BB$200,7,FALSE),0)</f>
        <v>82575.757575757583</v>
      </c>
      <c r="L7" s="10">
        <f>IFERROR(VLOOKUP($A7,ImportDataWA!$A$12:$BB$200,3,FALSE),0)</f>
        <v>7</v>
      </c>
      <c r="M7" s="10">
        <f>IFERROR(VLOOKUP($A7,ImportDataWA!$A$12:$BB$200,4,FALSE),0)</f>
        <v>7</v>
      </c>
    </row>
    <row r="8" spans="1:13" x14ac:dyDescent="0.25">
      <c r="A8" s="9" t="s">
        <v>15</v>
      </c>
      <c r="B8" s="86" t="s">
        <v>218</v>
      </c>
      <c r="C8" s="9" t="s">
        <v>464</v>
      </c>
      <c r="D8" s="9" t="s">
        <v>157</v>
      </c>
      <c r="E8" s="9" t="s">
        <v>230</v>
      </c>
      <c r="F8" s="10">
        <f>IFERROR(VLOOKUP($A8,ImportDataWA!$A$14:$BB$200,9,FALSE),0)</f>
        <v>46</v>
      </c>
      <c r="G8" s="11">
        <f>IFERROR(VLOOKUP($A8,ImportDataWA!$A$12:$BB$200,10,FALSE),0)</f>
        <v>698513.50944466656</v>
      </c>
      <c r="H8" s="11">
        <f>IFERROR(VLOOKUP($A8,ImportDataWA!$A$12:$BB$200,14,FALSE),0)</f>
        <v>47517.30092424243</v>
      </c>
      <c r="I8" s="11">
        <f>IFERROR(VLOOKUP($A8,ImportDataWA!$A$12:$BB$200,18,FALSE),0)</f>
        <v>87049.460480338515</v>
      </c>
      <c r="J8" s="10">
        <f>IFERROR(VLOOKUP($A8,ImportDataWA!$A$12:$BB$200,5,FALSE),0)</f>
        <v>0</v>
      </c>
      <c r="K8" s="11">
        <f>IFERROR(VLOOKUP($A8,ImportDataWA!$A$12:$BB$200,7,FALSE),0)</f>
        <v>0</v>
      </c>
      <c r="L8" s="10">
        <f>IFERROR(VLOOKUP($A8,ImportDataWA!$A$12:$BB$200,3,FALSE),0)</f>
        <v>0</v>
      </c>
      <c r="M8" s="10">
        <f>IFERROR(VLOOKUP($A8,ImportDataWA!$A$12:$BB$200,4,FALSE),0)</f>
        <v>0</v>
      </c>
    </row>
    <row r="9" spans="1:13" x14ac:dyDescent="0.25">
      <c r="A9" s="189" t="s">
        <v>447</v>
      </c>
      <c r="B9" s="245" t="s">
        <v>278</v>
      </c>
      <c r="C9" s="245" t="s">
        <v>278</v>
      </c>
      <c r="D9" s="189" t="s">
        <v>157</v>
      </c>
      <c r="E9" s="245" t="s">
        <v>278</v>
      </c>
      <c r="F9" s="10">
        <f>IFERROR(VLOOKUP($A9,ImportDataWA!$A$14:$BB$200,9,FALSE),0)</f>
        <v>0</v>
      </c>
      <c r="G9" s="11">
        <f>IFERROR(VLOOKUP($A9,ImportDataWA!$A$12:$BB$200,10,FALSE),0)</f>
        <v>0</v>
      </c>
      <c r="H9" s="11">
        <f>IFERROR(VLOOKUP($A9,ImportDataWA!$A$12:$BB$200,14,FALSE),0)</f>
        <v>0</v>
      </c>
      <c r="I9" s="11">
        <f>IFERROR(VLOOKUP($A9,ImportDataWA!$A$12:$BB$200,18,FALSE),0)</f>
        <v>0</v>
      </c>
      <c r="J9" s="10">
        <f>IFERROR(VLOOKUP($A9,ImportDataWA!$A$12:$BB$200,5,FALSE),0)</f>
        <v>0</v>
      </c>
      <c r="K9" s="11">
        <f>IFERROR(VLOOKUP($A9,ImportDataWA!$A$12:$BB$200,7,FALSE),0)</f>
        <v>0</v>
      </c>
      <c r="L9" s="10">
        <f>IFERROR(VLOOKUP($A9,ImportDataWA!$A$12:$BB$200,3,FALSE),0)</f>
        <v>0</v>
      </c>
      <c r="M9" s="10">
        <f>IFERROR(VLOOKUP($A9,ImportDataWA!$A$12:$BB$200,4,FALSE),0)</f>
        <v>0</v>
      </c>
    </row>
    <row r="10" spans="1:13" x14ac:dyDescent="0.25">
      <c r="A10" s="189" t="s">
        <v>422</v>
      </c>
      <c r="B10" s="245" t="s">
        <v>278</v>
      </c>
      <c r="C10" s="189" t="s">
        <v>278</v>
      </c>
      <c r="D10" s="189" t="s">
        <v>157</v>
      </c>
      <c r="E10" s="189" t="s">
        <v>278</v>
      </c>
      <c r="F10" s="10">
        <f>IFERROR(VLOOKUP($A10,ImportDataWA!$A$14:$BB$200,9,FALSE),0)</f>
        <v>0</v>
      </c>
      <c r="G10" s="11">
        <f>IFERROR(VLOOKUP($A10,ImportDataWA!$A$12:$BB$200,10,FALSE),0)</f>
        <v>0</v>
      </c>
      <c r="H10" s="11">
        <f>IFERROR(VLOOKUP($A10,ImportDataWA!$A$12:$BB$200,14,FALSE),0)</f>
        <v>0</v>
      </c>
      <c r="I10" s="11">
        <f>IFERROR(VLOOKUP($A10,ImportDataWA!$A$12:$BB$200,18,FALSE),0)</f>
        <v>0</v>
      </c>
      <c r="J10" s="10">
        <f>IFERROR(VLOOKUP($A10,ImportDataWA!$A$12:$BB$200,5,FALSE),0)</f>
        <v>0</v>
      </c>
      <c r="K10" s="11">
        <f>IFERROR(VLOOKUP($A10,ImportDataWA!$A$12:$BB$200,7,FALSE),0)</f>
        <v>0</v>
      </c>
      <c r="L10" s="10">
        <f>IFERROR(VLOOKUP($A10,ImportDataWA!$A$12:$BB$200,3,FALSE),0)</f>
        <v>0</v>
      </c>
      <c r="M10" s="10">
        <f>IFERROR(VLOOKUP($A10,ImportDataWA!$A$12:$BB$200,4,FALSE),0)</f>
        <v>0</v>
      </c>
    </row>
    <row r="11" spans="1:13" x14ac:dyDescent="0.25">
      <c r="A11" s="192" t="s">
        <v>425</v>
      </c>
      <c r="B11" s="245" t="s">
        <v>278</v>
      </c>
      <c r="C11" s="189" t="s">
        <v>278</v>
      </c>
      <c r="D11" s="245"/>
      <c r="E11" s="189" t="s">
        <v>278</v>
      </c>
      <c r="F11" s="10">
        <f>IFERROR(VLOOKUP($A11,ImportDataWA!$A$14:$BB$200,9,FALSE),0)</f>
        <v>0</v>
      </c>
      <c r="G11" s="11">
        <f>IFERROR(VLOOKUP($A11,ImportDataWA!$A$12:$BB$200,10,FALSE),0)</f>
        <v>0</v>
      </c>
      <c r="H11" s="11">
        <f>IFERROR(VLOOKUP($A11,ImportDataWA!$A$12:$BB$200,14,FALSE),0)</f>
        <v>0</v>
      </c>
      <c r="I11" s="11">
        <f>IFERROR(VLOOKUP($A11,ImportDataWA!$A$12:$BB$200,18,FALSE),0)</f>
        <v>0</v>
      </c>
      <c r="J11" s="10">
        <f>IFERROR(VLOOKUP($A11,ImportDataWA!$A$12:$BB$200,5,FALSE),0)</f>
        <v>0</v>
      </c>
      <c r="K11" s="11">
        <f>IFERROR(VLOOKUP($A11,ImportDataWA!$A$12:$BB$200,7,FALSE),0)</f>
        <v>0</v>
      </c>
      <c r="L11" s="10">
        <f>IFERROR(VLOOKUP($A11,ImportDataWA!$A$12:$BB$200,3,FALSE),0)</f>
        <v>0</v>
      </c>
      <c r="M11" s="10">
        <f>IFERROR(VLOOKUP($A11,ImportDataWA!$A$12:$BB$200,4,FALSE),0)</f>
        <v>0</v>
      </c>
    </row>
    <row r="12" spans="1:13" x14ac:dyDescent="0.25">
      <c r="A12" s="232" t="s">
        <v>482</v>
      </c>
      <c r="B12" s="245" t="s">
        <v>278</v>
      </c>
      <c r="C12" s="245" t="s">
        <v>278</v>
      </c>
      <c r="D12" s="189" t="s">
        <v>157</v>
      </c>
      <c r="E12" s="245" t="s">
        <v>278</v>
      </c>
      <c r="F12" s="10">
        <f>IFERROR(VLOOKUP($A12,ImportDataWA!$A$14:$BB$200,9,FALSE),0)</f>
        <v>1</v>
      </c>
      <c r="G12" s="11">
        <f>IFERROR(VLOOKUP($A12,ImportDataWA!$A$12:$BB$200,10,FALSE),0)</f>
        <v>2487.4725075757574</v>
      </c>
      <c r="H12" s="11">
        <f>IFERROR(VLOOKUP($A12,ImportDataWA!$A$12:$BB$200,14,FALSE),0)</f>
        <v>0</v>
      </c>
      <c r="I12" s="11">
        <f>IFERROR(VLOOKUP($A12,ImportDataWA!$A$12:$BB$200,18,FALSE),0)</f>
        <v>0</v>
      </c>
      <c r="J12" s="10">
        <f>IFERROR(VLOOKUP($A12,ImportDataWA!$A$12:$BB$200,5,FALSE),0)</f>
        <v>0</v>
      </c>
      <c r="K12" s="11">
        <f>IFERROR(VLOOKUP($A12,ImportDataWA!$A$12:$BB$200,7,FALSE),0)</f>
        <v>0</v>
      </c>
      <c r="L12" s="10">
        <f>IFERROR(VLOOKUP($A12,ImportDataWA!$A$12:$BB$200,3,FALSE),0)</f>
        <v>0</v>
      </c>
      <c r="M12" s="10">
        <f>IFERROR(VLOOKUP($A12,ImportDataWA!$A$12:$BB$200,4,FALSE),0)</f>
        <v>0</v>
      </c>
    </row>
    <row r="13" spans="1:13" x14ac:dyDescent="0.25">
      <c r="A13" s="270" t="s">
        <v>436</v>
      </c>
      <c r="B13" s="245" t="s">
        <v>278</v>
      </c>
      <c r="C13" s="189" t="s">
        <v>278</v>
      </c>
      <c r="D13" s="189" t="s">
        <v>157</v>
      </c>
      <c r="E13" s="189" t="s">
        <v>278</v>
      </c>
      <c r="F13" s="10">
        <f>IFERROR(VLOOKUP($A13,ImportDataWA!$A$14:$BB$200,9,FALSE),0)</f>
        <v>0</v>
      </c>
      <c r="G13" s="11">
        <f>IFERROR(VLOOKUP($A13,ImportDataWA!$A$12:$BB$200,10,FALSE),0)</f>
        <v>0</v>
      </c>
      <c r="H13" s="11">
        <f>IFERROR(VLOOKUP($A13,ImportDataWA!$A$12:$BB$200,14,FALSE),0)</f>
        <v>0</v>
      </c>
      <c r="I13" s="11">
        <f>IFERROR(VLOOKUP($A13,ImportDataWA!$A$12:$BB$200,18,FALSE),0)</f>
        <v>0</v>
      </c>
      <c r="J13" s="10">
        <f>IFERROR(VLOOKUP($A13,ImportDataWA!$A$12:$BB$200,5,FALSE),0)</f>
        <v>0</v>
      </c>
      <c r="K13" s="11">
        <f>IFERROR(VLOOKUP($A13,ImportDataWA!$A$12:$BB$200,7,FALSE),0)</f>
        <v>0</v>
      </c>
      <c r="L13" s="10">
        <f>IFERROR(VLOOKUP($A13,ImportDataWA!$A$12:$BB$200,3,FALSE),0)</f>
        <v>0</v>
      </c>
      <c r="M13" s="10">
        <f>IFERROR(VLOOKUP($A13,ImportDataWA!$A$12:$BB$200,4,FALSE),0)</f>
        <v>0</v>
      </c>
    </row>
    <row r="14" spans="1:13" x14ac:dyDescent="0.25">
      <c r="A14" s="192" t="s">
        <v>412</v>
      </c>
      <c r="B14" s="245" t="s">
        <v>278</v>
      </c>
      <c r="C14" s="189" t="s">
        <v>278</v>
      </c>
      <c r="D14" s="189" t="s">
        <v>157</v>
      </c>
      <c r="E14" s="189" t="s">
        <v>278</v>
      </c>
      <c r="F14" s="10">
        <f>IFERROR(VLOOKUP($A14,ImportDataWA!$A$14:$BB$200,9,FALSE),0)</f>
        <v>0</v>
      </c>
      <c r="G14" s="11">
        <f>IFERROR(VLOOKUP($A14,ImportDataWA!$A$12:$BB$200,10,FALSE),0)</f>
        <v>0</v>
      </c>
      <c r="H14" s="11">
        <f>IFERROR(VLOOKUP($A14,ImportDataWA!$A$12:$BB$200,14,FALSE),0)</f>
        <v>0</v>
      </c>
      <c r="I14" s="11">
        <f>IFERROR(VLOOKUP($A14,ImportDataWA!$A$12:$BB$200,18,FALSE),0)</f>
        <v>0</v>
      </c>
      <c r="J14" s="10">
        <f>IFERROR(VLOOKUP($A14,ImportDataWA!$A$12:$BB$200,5,FALSE),0)</f>
        <v>0</v>
      </c>
      <c r="K14" s="11">
        <f>IFERROR(VLOOKUP($A14,ImportDataWA!$A$12:$BB$200,7,FALSE),0)</f>
        <v>0</v>
      </c>
      <c r="L14" s="10">
        <f>IFERROR(VLOOKUP($A14,ImportDataWA!$A$12:$BB$200,3,FALSE),0)</f>
        <v>0</v>
      </c>
      <c r="M14" s="10">
        <f>IFERROR(VLOOKUP($A14,ImportDataWA!$A$12:$BB$200,4,FALSE),0)</f>
        <v>0</v>
      </c>
    </row>
    <row r="15" spans="1:13" x14ac:dyDescent="0.25">
      <c r="A15" s="192" t="s">
        <v>420</v>
      </c>
      <c r="B15" s="245" t="s">
        <v>278</v>
      </c>
      <c r="C15" s="189" t="s">
        <v>278</v>
      </c>
      <c r="D15" s="189" t="s">
        <v>157</v>
      </c>
      <c r="E15" s="189" t="s">
        <v>278</v>
      </c>
      <c r="F15" s="10">
        <f>IFERROR(VLOOKUP($A15,ImportDataWA!$A$14:$BB$200,9,FALSE),0)</f>
        <v>0</v>
      </c>
      <c r="G15" s="11">
        <f>IFERROR(VLOOKUP($A15,ImportDataWA!$A$12:$BB$200,10,FALSE),0)</f>
        <v>0</v>
      </c>
      <c r="H15" s="11">
        <f>IFERROR(VLOOKUP($A15,ImportDataWA!$A$12:$BB$200,14,FALSE),0)</f>
        <v>0</v>
      </c>
      <c r="I15" s="11">
        <f>IFERROR(VLOOKUP($A15,ImportDataWA!$A$12:$BB$200,18,FALSE),0)</f>
        <v>0</v>
      </c>
      <c r="J15" s="10">
        <f>IFERROR(VLOOKUP($A15,ImportDataWA!$A$12:$BB$200,5,FALSE),0)</f>
        <v>0</v>
      </c>
      <c r="K15" s="11">
        <f>IFERROR(VLOOKUP($A15,ImportDataWA!$A$12:$BB$200,7,FALSE),0)</f>
        <v>0</v>
      </c>
      <c r="L15" s="10">
        <f>IFERROR(VLOOKUP($A15,ImportDataWA!$A$12:$BB$200,3,FALSE),0)</f>
        <v>0</v>
      </c>
      <c r="M15" s="10">
        <f>IFERROR(VLOOKUP($A15,ImportDataWA!$A$12:$BB$200,4,FALSE),0)</f>
        <v>0</v>
      </c>
    </row>
    <row r="16" spans="1:13" x14ac:dyDescent="0.25">
      <c r="A16" s="9" t="s">
        <v>2</v>
      </c>
      <c r="B16" s="86" t="s">
        <v>218</v>
      </c>
      <c r="C16" s="9" t="s">
        <v>96</v>
      </c>
      <c r="D16" s="9" t="s">
        <v>154</v>
      </c>
      <c r="E16" s="9" t="s">
        <v>230</v>
      </c>
      <c r="F16" s="10">
        <f>IFERROR(VLOOKUP($A16,ImportDataWA!$A$14:$BB$200,9,FALSE),0)</f>
        <v>187</v>
      </c>
      <c r="G16" s="11">
        <f>IFERROR(VLOOKUP($A16,ImportDataWA!$A$12:$BB$200,10,FALSE),0)</f>
        <v>1440778.5476949404</v>
      </c>
      <c r="H16" s="11">
        <f>IFERROR(VLOOKUP($A16,ImportDataWA!$A$12:$BB$200,14,FALSE),0)</f>
        <v>56330.902525930534</v>
      </c>
      <c r="I16" s="11">
        <f>IFERROR(VLOOKUP($A16,ImportDataWA!$A$12:$BB$200,18,FALSE),0)</f>
        <v>55192.86010061964</v>
      </c>
      <c r="J16" s="10">
        <f>IFERROR(VLOOKUP($A16,ImportDataWA!$A$12:$BB$200,5,FALSE),0)</f>
        <v>4</v>
      </c>
      <c r="K16" s="11">
        <f>IFERROR(VLOOKUP($A16,ImportDataWA!$A$12:$BB$200,7,FALSE),0)</f>
        <v>43409.090909090912</v>
      </c>
      <c r="L16" s="10">
        <f>IFERROR(VLOOKUP($A16,ImportDataWA!$A$12:$BB$200,3,FALSE),0)</f>
        <v>2</v>
      </c>
      <c r="M16" s="10">
        <f>IFERROR(VLOOKUP($A16,ImportDataWA!$A$12:$BB$200,4,FALSE),0)</f>
        <v>3</v>
      </c>
    </row>
    <row r="17" spans="1:13" x14ac:dyDescent="0.25">
      <c r="A17" s="9" t="s">
        <v>4</v>
      </c>
      <c r="B17" s="86" t="s">
        <v>383</v>
      </c>
      <c r="C17" s="9" t="s">
        <v>134</v>
      </c>
      <c r="D17" s="9" t="s">
        <v>154</v>
      </c>
      <c r="E17" s="9" t="s">
        <v>227</v>
      </c>
      <c r="F17" s="10">
        <f>IFERROR(VLOOKUP($A17,ImportDataWA!$A$14:$BB$200,9,FALSE),0)</f>
        <v>224</v>
      </c>
      <c r="G17" s="11">
        <f>IFERROR(VLOOKUP($A17,ImportDataWA!$A$12:$BB$200,10,FALSE),0)</f>
        <v>888722.04101347236</v>
      </c>
      <c r="H17" s="11">
        <f>IFERROR(VLOOKUP($A17,ImportDataWA!$A$12:$BB$200,14,FALSE),0)</f>
        <v>22291.60565909091</v>
      </c>
      <c r="I17" s="11">
        <f>IFERROR(VLOOKUP($A17,ImportDataWA!$A$12:$BB$200,18,FALSE),0)</f>
        <v>40007.080638472726</v>
      </c>
      <c r="J17" s="10">
        <f>IFERROR(VLOOKUP($A17,ImportDataWA!$A$12:$BB$200,5,FALSE),0)</f>
        <v>15</v>
      </c>
      <c r="K17" s="11">
        <f>IFERROR(VLOOKUP($A17,ImportDataWA!$A$12:$BB$200,7,FALSE),0)</f>
        <v>72348.484848484848</v>
      </c>
      <c r="L17" s="10">
        <f>IFERROR(VLOOKUP($A17,ImportDataWA!$A$12:$BB$200,3,FALSE),0)</f>
        <v>1</v>
      </c>
      <c r="M17" s="10">
        <f>IFERROR(VLOOKUP($A17,ImportDataWA!$A$12:$BB$200,4,FALSE),0)</f>
        <v>12</v>
      </c>
    </row>
    <row r="18" spans="1:13" x14ac:dyDescent="0.25">
      <c r="A18" s="232" t="s">
        <v>398</v>
      </c>
      <c r="B18" s="245" t="s">
        <v>278</v>
      </c>
      <c r="C18" s="189" t="s">
        <v>278</v>
      </c>
      <c r="D18" s="189" t="s">
        <v>154</v>
      </c>
      <c r="E18" s="189" t="s">
        <v>278</v>
      </c>
      <c r="F18" s="10">
        <f>IFERROR(VLOOKUP($A18,ImportDataWA!$A$14:$BB$200,9,FALSE),0)</f>
        <v>0</v>
      </c>
      <c r="G18" s="11">
        <f>IFERROR(VLOOKUP($A18,ImportDataWA!$A$12:$BB$200,10,FALSE),0)</f>
        <v>0</v>
      </c>
      <c r="H18" s="11">
        <f>IFERROR(VLOOKUP($A18,ImportDataWA!$A$12:$BB$200,14,FALSE),0)</f>
        <v>0</v>
      </c>
      <c r="I18" s="11">
        <f>IFERROR(VLOOKUP($A18,ImportDataWA!$A$12:$BB$200,18,FALSE),0)</f>
        <v>0</v>
      </c>
      <c r="J18" s="10">
        <f>IFERROR(VLOOKUP($A18,ImportDataWA!$A$12:$BB$200,5,FALSE),0)</f>
        <v>0</v>
      </c>
      <c r="K18" s="11">
        <f>IFERROR(VLOOKUP($A18,ImportDataWA!$A$12:$BB$200,7,FALSE),0)</f>
        <v>0</v>
      </c>
      <c r="L18" s="10">
        <f>IFERROR(VLOOKUP($A18,ImportDataWA!$A$12:$BB$200,3,FALSE),0)</f>
        <v>0</v>
      </c>
      <c r="M18" s="10">
        <f>IFERROR(VLOOKUP($A18,ImportDataWA!$A$12:$BB$200,4,FALSE),0)</f>
        <v>0</v>
      </c>
    </row>
    <row r="19" spans="1:13" x14ac:dyDescent="0.25">
      <c r="A19" s="185" t="s">
        <v>31</v>
      </c>
      <c r="B19" s="86" t="s">
        <v>383</v>
      </c>
      <c r="C19" s="9" t="s">
        <v>134</v>
      </c>
      <c r="D19" s="9" t="s">
        <v>154</v>
      </c>
      <c r="E19" s="9" t="s">
        <v>227</v>
      </c>
      <c r="F19" s="10">
        <f>IFERROR(VLOOKUP($A19,ImportDataWA!$A$14:$BB$200,9,FALSE),0)</f>
        <v>222</v>
      </c>
      <c r="G19" s="11">
        <f>IFERROR(VLOOKUP($A19,ImportDataWA!$A$12:$BB$200,10,FALSE),0)</f>
        <v>1359741.0045703396</v>
      </c>
      <c r="H19" s="11">
        <f>IFERROR(VLOOKUP($A19,ImportDataWA!$A$12:$BB$200,14,FALSE),0)</f>
        <v>48713.558420306515</v>
      </c>
      <c r="I19" s="11">
        <f>IFERROR(VLOOKUP($A19,ImportDataWA!$A$12:$BB$200,18,FALSE),0)</f>
        <v>19931.356371212121</v>
      </c>
      <c r="J19" s="10">
        <f>IFERROR(VLOOKUP($A19,ImportDataWA!$A$12:$BB$200,5,FALSE),0)</f>
        <v>10</v>
      </c>
      <c r="K19" s="11">
        <f>IFERROR(VLOOKUP($A19,ImportDataWA!$A$12:$BB$200,7,FALSE),0)</f>
        <v>99696.969696969667</v>
      </c>
      <c r="L19" s="10">
        <f>IFERROR(VLOOKUP($A19,ImportDataWA!$A$12:$BB$200,3,FALSE),0)</f>
        <v>3</v>
      </c>
      <c r="M19" s="10">
        <f>IFERROR(VLOOKUP($A19,ImportDataWA!$A$12:$BB$200,4,FALSE),0)</f>
        <v>8</v>
      </c>
    </row>
    <row r="20" spans="1:13" x14ac:dyDescent="0.25">
      <c r="A20" s="9" t="s">
        <v>66</v>
      </c>
      <c r="B20" s="86" t="s">
        <v>219</v>
      </c>
      <c r="C20" s="9" t="s">
        <v>96</v>
      </c>
      <c r="D20" s="9" t="s">
        <v>154</v>
      </c>
      <c r="E20" s="9" t="s">
        <v>227</v>
      </c>
      <c r="F20" s="10">
        <f>IFERROR(VLOOKUP($A20,ImportDataWA!$A$14:$BB$200,9,FALSE),0)</f>
        <v>318</v>
      </c>
      <c r="G20" s="11">
        <f>IFERROR(VLOOKUP($A20,ImportDataWA!$A$12:$BB$200,10,FALSE),0)</f>
        <v>747265.09804629837</v>
      </c>
      <c r="H20" s="11">
        <f>IFERROR(VLOOKUP($A20,ImportDataWA!$A$12:$BB$200,14,FALSE),0)</f>
        <v>70848.077049142245</v>
      </c>
      <c r="I20" s="11">
        <f>IFERROR(VLOOKUP($A20,ImportDataWA!$A$12:$BB$200,18,FALSE),0)</f>
        <v>41307.697046770656</v>
      </c>
      <c r="J20" s="10">
        <f>IFERROR(VLOOKUP($A20,ImportDataWA!$A$12:$BB$200,5,FALSE),0)</f>
        <v>13</v>
      </c>
      <c r="K20" s="11">
        <f>IFERROR(VLOOKUP($A20,ImportDataWA!$A$12:$BB$200,7,FALSE),0)</f>
        <v>50757.575757575774</v>
      </c>
      <c r="L20" s="10">
        <f>IFERROR(VLOOKUP($A20,ImportDataWA!$A$12:$BB$200,3,FALSE),0)</f>
        <v>9</v>
      </c>
      <c r="M20" s="10">
        <f>IFERROR(VLOOKUP($A20,ImportDataWA!$A$12:$BB$200,4,FALSE),0)</f>
        <v>9</v>
      </c>
    </row>
    <row r="21" spans="1:13" x14ac:dyDescent="0.25">
      <c r="A21" s="185" t="s">
        <v>277</v>
      </c>
      <c r="B21" s="86" t="s">
        <v>383</v>
      </c>
      <c r="C21" s="9" t="s">
        <v>96</v>
      </c>
      <c r="D21" s="9" t="s">
        <v>154</v>
      </c>
      <c r="E21" s="9" t="s">
        <v>227</v>
      </c>
      <c r="F21" s="10">
        <f>IFERROR(VLOOKUP($A21,ImportDataWA!$A$14:$BB$200,9,FALSE),0)</f>
        <v>180</v>
      </c>
      <c r="G21" s="11">
        <f>IFERROR(VLOOKUP($A21,ImportDataWA!$A$12:$BB$200,10,FALSE),0)</f>
        <v>941756.28318155557</v>
      </c>
      <c r="H21" s="11">
        <f>IFERROR(VLOOKUP($A21,ImportDataWA!$A$12:$BB$200,14,FALSE),0)</f>
        <v>25031.233453698485</v>
      </c>
      <c r="I21" s="11">
        <f>IFERROR(VLOOKUP($A21,ImportDataWA!$A$12:$BB$200,18,FALSE),0)</f>
        <v>40375.088075757572</v>
      </c>
      <c r="J21" s="10">
        <f>IFERROR(VLOOKUP($A21,ImportDataWA!$A$12:$BB$200,5,FALSE),0)</f>
        <v>9</v>
      </c>
      <c r="K21" s="11">
        <f>IFERROR(VLOOKUP($A21,ImportDataWA!$A$12:$BB$200,7,FALSE),0)</f>
        <v>73863.636363636353</v>
      </c>
      <c r="L21" s="10">
        <f>IFERROR(VLOOKUP($A21,ImportDataWA!$A$12:$BB$200,3,FALSE),0)</f>
        <v>3</v>
      </c>
      <c r="M21" s="10">
        <f>IFERROR(VLOOKUP($A21,ImportDataWA!$A$12:$BB$200,4,FALSE),0)</f>
        <v>5</v>
      </c>
    </row>
    <row r="22" spans="1:13" x14ac:dyDescent="0.25">
      <c r="A22" s="9" t="s">
        <v>93</v>
      </c>
      <c r="B22" s="86" t="s">
        <v>219</v>
      </c>
      <c r="C22" s="9" t="s">
        <v>96</v>
      </c>
      <c r="D22" s="9" t="s">
        <v>154</v>
      </c>
      <c r="E22" s="9" t="s">
        <v>227</v>
      </c>
      <c r="F22" s="10">
        <f>IFERROR(VLOOKUP($A22,ImportDataWA!$A$14:$BB$200,9,FALSE),0)</f>
        <v>288</v>
      </c>
      <c r="G22" s="11">
        <f>IFERROR(VLOOKUP($A22,ImportDataWA!$A$12:$BB$200,10,FALSE),0)</f>
        <v>815910.42772995715</v>
      </c>
      <c r="H22" s="11">
        <f>IFERROR(VLOOKUP($A22,ImportDataWA!$A$12:$BB$200,14,FALSE),0)</f>
        <v>1624.3201060606061</v>
      </c>
      <c r="I22" s="11">
        <f>IFERROR(VLOOKUP($A22,ImportDataWA!$A$12:$BB$200,18,FALSE),0)</f>
        <v>1686.4948106060606</v>
      </c>
      <c r="J22" s="10">
        <f>IFERROR(VLOOKUP($A22,ImportDataWA!$A$12:$BB$200,5,FALSE),0)</f>
        <v>12</v>
      </c>
      <c r="K22" s="11">
        <f>IFERROR(VLOOKUP($A22,ImportDataWA!$A$12:$BB$200,7,FALSE),0)</f>
        <v>76136.363636363632</v>
      </c>
      <c r="L22" s="10">
        <f>IFERROR(VLOOKUP($A22,ImportDataWA!$A$12:$BB$200,3,FALSE),0)</f>
        <v>8</v>
      </c>
      <c r="M22" s="10">
        <f>IFERROR(VLOOKUP($A22,ImportDataWA!$A$12:$BB$200,4,FALSE),0)</f>
        <v>6</v>
      </c>
    </row>
    <row r="23" spans="1:13" x14ac:dyDescent="0.25">
      <c r="A23" s="189" t="s">
        <v>96</v>
      </c>
      <c r="B23" s="245" t="s">
        <v>278</v>
      </c>
      <c r="C23" s="245" t="s">
        <v>278</v>
      </c>
      <c r="D23" s="189" t="s">
        <v>154</v>
      </c>
      <c r="E23" s="245" t="s">
        <v>278</v>
      </c>
      <c r="F23" s="10">
        <f>IFERROR(VLOOKUP($A23,ImportDataWA!$A$14:$BB$200,9,FALSE),0)</f>
        <v>82</v>
      </c>
      <c r="G23" s="11">
        <f>IFERROR(VLOOKUP($A23,ImportDataWA!$A$12:$BB$200,10,FALSE),0)</f>
        <v>295145.9180710169</v>
      </c>
      <c r="H23" s="11">
        <f>IFERROR(VLOOKUP($A23,ImportDataWA!$A$12:$BB$200,14,FALSE),0)</f>
        <v>100637.51656654532</v>
      </c>
      <c r="I23" s="11">
        <f>IFERROR(VLOOKUP($A23,ImportDataWA!$A$12:$BB$200,18,FALSE),0)</f>
        <v>66857.48712568375</v>
      </c>
      <c r="J23" s="10">
        <f>IFERROR(VLOOKUP($A23,ImportDataWA!$A$12:$BB$200,5,FALSE),0)</f>
        <v>0</v>
      </c>
      <c r="K23" s="11">
        <f>IFERROR(VLOOKUP($A23,ImportDataWA!$A$12:$BB$200,7,FALSE),0)</f>
        <v>0</v>
      </c>
      <c r="L23" s="10">
        <f>IFERROR(VLOOKUP($A23,ImportDataWA!$A$12:$BB$200,3,FALSE),0)</f>
        <v>0</v>
      </c>
      <c r="M23" s="10">
        <f>IFERROR(VLOOKUP($A23,ImportDataWA!$A$12:$BB$200,4,FALSE),0)</f>
        <v>0</v>
      </c>
    </row>
    <row r="24" spans="1:13" x14ac:dyDescent="0.25">
      <c r="A24" s="192" t="s">
        <v>419</v>
      </c>
      <c r="B24" s="245" t="s">
        <v>278</v>
      </c>
      <c r="C24" s="189" t="s">
        <v>278</v>
      </c>
      <c r="D24" s="189" t="s">
        <v>154</v>
      </c>
      <c r="E24" s="189" t="s">
        <v>278</v>
      </c>
      <c r="F24" s="10">
        <f>IFERROR(VLOOKUP($A24,ImportDataWA!$A$14:$BB$200,9,FALSE),0)</f>
        <v>0</v>
      </c>
      <c r="G24" s="11">
        <f>IFERROR(VLOOKUP($A24,ImportDataWA!$A$12:$BB$200,10,FALSE),0)</f>
        <v>0</v>
      </c>
      <c r="H24" s="11">
        <f>IFERROR(VLOOKUP($A24,ImportDataWA!$A$12:$BB$200,14,FALSE),0)</f>
        <v>0</v>
      </c>
      <c r="I24" s="11">
        <f>IFERROR(VLOOKUP($A24,ImportDataWA!$A$12:$BB$200,18,FALSE),0)</f>
        <v>0</v>
      </c>
      <c r="J24" s="10">
        <f>IFERROR(VLOOKUP($A24,ImportDataWA!$A$12:$BB$200,5,FALSE),0)</f>
        <v>0</v>
      </c>
      <c r="K24" s="11">
        <f>IFERROR(VLOOKUP($A24,ImportDataWA!$A$12:$BB$200,7,FALSE),0)</f>
        <v>0</v>
      </c>
      <c r="L24" s="10">
        <f>IFERROR(VLOOKUP($A24,ImportDataWA!$A$12:$BB$200,3,FALSE),0)</f>
        <v>0</v>
      </c>
      <c r="M24" s="10">
        <f>IFERROR(VLOOKUP($A24,ImportDataWA!$A$12:$BB$200,4,FALSE),0)</f>
        <v>0</v>
      </c>
    </row>
    <row r="25" spans="1:13" x14ac:dyDescent="0.25">
      <c r="A25" s="9" t="s">
        <v>106</v>
      </c>
      <c r="B25" s="86" t="s">
        <v>219</v>
      </c>
      <c r="C25" s="9" t="s">
        <v>96</v>
      </c>
      <c r="D25" s="9" t="s">
        <v>154</v>
      </c>
      <c r="E25" s="9" t="s">
        <v>227</v>
      </c>
      <c r="F25" s="10">
        <f>IFERROR(VLOOKUP($A25,ImportDataWA!$A$14:$BB$200,9,FALSE),0)</f>
        <v>345</v>
      </c>
      <c r="G25" s="11">
        <f>IFERROR(VLOOKUP($A25,ImportDataWA!$A$12:$BB$200,10,FALSE),0)</f>
        <v>903342.08828446979</v>
      </c>
      <c r="H25" s="11">
        <f>IFERROR(VLOOKUP($A25,ImportDataWA!$A$12:$BB$200,14,FALSE),0)</f>
        <v>35271.478486547203</v>
      </c>
      <c r="I25" s="11">
        <f>IFERROR(VLOOKUP($A25,ImportDataWA!$A$12:$BB$200,18,FALSE),0)</f>
        <v>36757.515815142484</v>
      </c>
      <c r="J25" s="10">
        <f>IFERROR(VLOOKUP($A25,ImportDataWA!$A$12:$BB$200,5,FALSE),0)</f>
        <v>1</v>
      </c>
      <c r="K25" s="11">
        <f>IFERROR(VLOOKUP($A25,ImportDataWA!$A$12:$BB$200,7,FALSE),0)</f>
        <v>22727.272727272728</v>
      </c>
      <c r="L25" s="10">
        <f>IFERROR(VLOOKUP($A25,ImportDataWA!$A$12:$BB$200,3,FALSE),0)</f>
        <v>0</v>
      </c>
      <c r="M25" s="10">
        <f>IFERROR(VLOOKUP($A25,ImportDataWA!$A$12:$BB$200,4,FALSE),0)</f>
        <v>1</v>
      </c>
    </row>
    <row r="26" spans="1:13" x14ac:dyDescent="0.25">
      <c r="A26" s="9" t="s">
        <v>115</v>
      </c>
      <c r="B26" s="86" t="s">
        <v>219</v>
      </c>
      <c r="C26" s="9" t="s">
        <v>134</v>
      </c>
      <c r="D26" s="9" t="s">
        <v>154</v>
      </c>
      <c r="E26" s="9" t="s">
        <v>227</v>
      </c>
      <c r="F26" s="10">
        <f>IFERROR(VLOOKUP($A26,ImportDataWA!$A$14:$BB$200,9,FALSE),0)</f>
        <v>270</v>
      </c>
      <c r="G26" s="11">
        <f>IFERROR(VLOOKUP($A26,ImportDataWA!$A$12:$BB$200,10,FALSE),0)</f>
        <v>694210.36604803253</v>
      </c>
      <c r="H26" s="11">
        <f>IFERROR(VLOOKUP($A26,ImportDataWA!$A$12:$BB$200,14,FALSE),0)</f>
        <v>29165.003856175099</v>
      </c>
      <c r="I26" s="11">
        <f>IFERROR(VLOOKUP($A26,ImportDataWA!$A$12:$BB$200,18,FALSE),0)</f>
        <v>18361.969623676032</v>
      </c>
      <c r="J26" s="10">
        <f>IFERROR(VLOOKUP($A26,ImportDataWA!$A$12:$BB$200,5,FALSE),0)</f>
        <v>16</v>
      </c>
      <c r="K26" s="11">
        <f>IFERROR(VLOOKUP($A26,ImportDataWA!$A$12:$BB$200,7,FALSE),0)</f>
        <v>70909.090909090897</v>
      </c>
      <c r="L26" s="10">
        <f>IFERROR(VLOOKUP($A26,ImportDataWA!$A$12:$BB$200,3,FALSE),0)</f>
        <v>7</v>
      </c>
      <c r="M26" s="10">
        <f>IFERROR(VLOOKUP($A26,ImportDataWA!$A$12:$BB$200,4,FALSE),0)</f>
        <v>8</v>
      </c>
    </row>
    <row r="27" spans="1:13" x14ac:dyDescent="0.25">
      <c r="A27" s="9" t="s">
        <v>431</v>
      </c>
      <c r="B27" s="86" t="s">
        <v>219</v>
      </c>
      <c r="C27" s="9" t="s">
        <v>134</v>
      </c>
      <c r="D27" s="9" t="s">
        <v>154</v>
      </c>
      <c r="E27" s="9" t="s">
        <v>227</v>
      </c>
      <c r="F27" s="267">
        <f>IFERROR(VLOOKUP($A27,ImportDataWA!$A$14:$BB$200,9,FALSE),0)</f>
        <v>54</v>
      </c>
      <c r="G27" s="268">
        <f>IFERROR(VLOOKUP($A27,ImportDataWA!$A$12:$BB$200,10,FALSE),0)</f>
        <v>211067.20006060609</v>
      </c>
      <c r="H27" s="268">
        <f>IFERROR(VLOOKUP($A27,ImportDataWA!$A$12:$BB$200,14,FALSE),0)</f>
        <v>0</v>
      </c>
      <c r="I27" s="268">
        <f>IFERROR(VLOOKUP($A27,ImportDataWA!$A$12:$BB$200,18,FALSE),0)</f>
        <v>0</v>
      </c>
      <c r="J27" s="267">
        <f>IFERROR(VLOOKUP($A27,ImportDataWA!$A$12:$BB$200,5,FALSE),0)</f>
        <v>13</v>
      </c>
      <c r="K27" s="268">
        <f>IFERROR(VLOOKUP($A27,ImportDataWA!$A$12:$BB$200,7,FALSE),0)</f>
        <v>52272.727272727272</v>
      </c>
      <c r="L27" s="267">
        <f>IFERROR(VLOOKUP($A27,ImportDataWA!$A$12:$BB$200,3,FALSE),0)</f>
        <v>7</v>
      </c>
      <c r="M27" s="267">
        <f>IFERROR(VLOOKUP($A27,ImportDataWA!$A$12:$BB$200,4,FALSE),0)</f>
        <v>7</v>
      </c>
    </row>
    <row r="28" spans="1:13" x14ac:dyDescent="0.25">
      <c r="A28" s="9" t="s">
        <v>432</v>
      </c>
      <c r="B28" s="86" t="s">
        <v>219</v>
      </c>
      <c r="C28" s="9" t="s">
        <v>134</v>
      </c>
      <c r="D28" s="9" t="s">
        <v>154</v>
      </c>
      <c r="E28" s="9" t="s">
        <v>227</v>
      </c>
      <c r="F28" s="267">
        <f>IFERROR(VLOOKUP($A28,ImportDataWA!$A$14:$BB$200,9,FALSE),0)</f>
        <v>24</v>
      </c>
      <c r="G28" s="268">
        <f>IFERROR(VLOOKUP($A28,ImportDataWA!$A$12:$BB$200,10,FALSE),0)</f>
        <v>89010.853007575744</v>
      </c>
      <c r="H28" s="268">
        <f>IFERROR(VLOOKUP($A28,ImportDataWA!$A$12:$BB$200,14,FALSE),0)</f>
        <v>0</v>
      </c>
      <c r="I28" s="268">
        <f>IFERROR(VLOOKUP($A28,ImportDataWA!$A$12:$BB$200,18,FALSE),0)</f>
        <v>0</v>
      </c>
      <c r="J28" s="267">
        <f>IFERROR(VLOOKUP($A28,ImportDataWA!$A$12:$BB$200,5,FALSE),0)</f>
        <v>5</v>
      </c>
      <c r="K28" s="268">
        <f>IFERROR(VLOOKUP($A28,ImportDataWA!$A$12:$BB$200,7,FALSE),0)</f>
        <v>25000.000000000004</v>
      </c>
      <c r="L28" s="267">
        <f>IFERROR(VLOOKUP($A28,ImportDataWA!$A$12:$BB$200,3,FALSE),0)</f>
        <v>2</v>
      </c>
      <c r="M28" s="267">
        <f>IFERROR(VLOOKUP($A28,ImportDataWA!$A$12:$BB$200,4,FALSE),0)</f>
        <v>2</v>
      </c>
    </row>
    <row r="29" spans="1:13" x14ac:dyDescent="0.25">
      <c r="A29" s="9" t="s">
        <v>205</v>
      </c>
      <c r="B29" s="86" t="s">
        <v>278</v>
      </c>
      <c r="C29" s="9" t="s">
        <v>278</v>
      </c>
      <c r="D29" s="9" t="s">
        <v>163</v>
      </c>
      <c r="E29" s="9" t="s">
        <v>278</v>
      </c>
      <c r="F29" s="10">
        <f>IFERROR(VLOOKUP($A29,ImportDataWA!$A$14:$BB$200,9,FALSE),0)</f>
        <v>0</v>
      </c>
      <c r="G29" s="11">
        <f>IFERROR(VLOOKUP($A29,ImportDataWA!$A$12:$BB$200,10,FALSE),0)</f>
        <v>0</v>
      </c>
      <c r="H29" s="11">
        <f>IFERROR(VLOOKUP($A29,ImportDataWA!$A$12:$BB$200,14,FALSE),0)</f>
        <v>0</v>
      </c>
      <c r="I29" s="11">
        <f>IFERROR(VLOOKUP($A29,ImportDataWA!$A$12:$BB$200,18,FALSE),0)</f>
        <v>0</v>
      </c>
      <c r="J29" s="10">
        <f>IFERROR(VLOOKUP($A29,ImportDataWA!$A$12:$BB$200,5,FALSE),0)</f>
        <v>0</v>
      </c>
      <c r="K29" s="11">
        <f>IFERROR(VLOOKUP($A29,ImportDataWA!$A$12:$BB$200,7,FALSE),0)</f>
        <v>0</v>
      </c>
      <c r="L29" s="10">
        <f>IFERROR(VLOOKUP($A29,ImportDataWA!$A$12:$BB$200,3,FALSE),0)</f>
        <v>0</v>
      </c>
      <c r="M29" s="10">
        <f>IFERROR(VLOOKUP($A29,ImportDataWA!$A$12:$BB$200,4,FALSE),0)</f>
        <v>0</v>
      </c>
    </row>
    <row r="30" spans="1:13" x14ac:dyDescent="0.25">
      <c r="A30" s="186" t="s">
        <v>30</v>
      </c>
      <c r="B30" s="190" t="s">
        <v>278</v>
      </c>
      <c r="C30" s="32" t="s">
        <v>278</v>
      </c>
      <c r="D30" s="32" t="s">
        <v>163</v>
      </c>
      <c r="E30" s="32" t="s">
        <v>278</v>
      </c>
      <c r="F30" s="10">
        <f>IFERROR(VLOOKUP($A30,ImportDataWA!$A$14:$BB$200,9,FALSE),0)</f>
        <v>0</v>
      </c>
      <c r="G30" s="11">
        <f>IFERROR(VLOOKUP($A30,ImportDataWA!$A$12:$BB$200,10,FALSE),0)</f>
        <v>0</v>
      </c>
      <c r="H30" s="11">
        <f>IFERROR(VLOOKUP($A30,ImportDataWA!$A$12:$BB$200,14,FALSE),0)</f>
        <v>0</v>
      </c>
      <c r="I30" s="11">
        <f>IFERROR(VLOOKUP($A30,ImportDataWA!$A$12:$BB$200,18,FALSE),0)</f>
        <v>0</v>
      </c>
      <c r="J30" s="10">
        <f>IFERROR(VLOOKUP($A30,ImportDataWA!$A$12:$BB$200,5,FALSE),0)</f>
        <v>0</v>
      </c>
      <c r="K30" s="11">
        <f>IFERROR(VLOOKUP($A30,ImportDataWA!$A$12:$BB$200,7,FALSE),0)</f>
        <v>0</v>
      </c>
      <c r="L30" s="10">
        <f>IFERROR(VLOOKUP($A30,ImportDataWA!$A$12:$BB$200,3,FALSE),0)</f>
        <v>0</v>
      </c>
      <c r="M30" s="10">
        <f>IFERROR(VLOOKUP($A30,ImportDataWA!$A$12:$BB$200,4,FALSE),0)</f>
        <v>0</v>
      </c>
    </row>
    <row r="31" spans="1:13" x14ac:dyDescent="0.25">
      <c r="A31" s="9" t="s">
        <v>210</v>
      </c>
      <c r="B31" s="86" t="s">
        <v>278</v>
      </c>
      <c r="C31" s="9" t="s">
        <v>278</v>
      </c>
      <c r="D31" s="9" t="s">
        <v>163</v>
      </c>
      <c r="E31" s="9" t="s">
        <v>278</v>
      </c>
      <c r="F31" s="10">
        <f>IFERROR(VLOOKUP($A31,ImportDataWA!$A$14:$BB$200,9,FALSE),0)</f>
        <v>0</v>
      </c>
      <c r="G31" s="11">
        <f>IFERROR(VLOOKUP($A31,ImportDataWA!$A$12:$BB$200,10,FALSE),0)</f>
        <v>0</v>
      </c>
      <c r="H31" s="11">
        <f>IFERROR(VLOOKUP($A31,ImportDataWA!$A$12:$BB$200,14,FALSE),0)</f>
        <v>0</v>
      </c>
      <c r="I31" s="11">
        <f>IFERROR(VLOOKUP($A31,ImportDataWA!$A$12:$BB$200,18,FALSE),0)</f>
        <v>0</v>
      </c>
      <c r="J31" s="10">
        <f>IFERROR(VLOOKUP($A31,ImportDataWA!$A$12:$BB$200,5,FALSE),0)</f>
        <v>0</v>
      </c>
      <c r="K31" s="11">
        <f>IFERROR(VLOOKUP($A31,ImportDataWA!$A$12:$BB$200,7,FALSE),0)</f>
        <v>0</v>
      </c>
      <c r="L31" s="10">
        <f>IFERROR(VLOOKUP($A31,ImportDataWA!$A$12:$BB$200,3,FALSE),0)</f>
        <v>0</v>
      </c>
      <c r="M31" s="10">
        <f>IFERROR(VLOOKUP($A31,ImportDataWA!$A$12:$BB$200,4,FALSE),0)</f>
        <v>0</v>
      </c>
    </row>
    <row r="32" spans="1:13" x14ac:dyDescent="0.25">
      <c r="A32" t="s">
        <v>86</v>
      </c>
      <c r="B32" s="86" t="s">
        <v>278</v>
      </c>
      <c r="C32" s="9" t="s">
        <v>278</v>
      </c>
      <c r="D32" s="9" t="s">
        <v>163</v>
      </c>
      <c r="E32" s="9" t="s">
        <v>278</v>
      </c>
      <c r="F32" s="10">
        <f>IFERROR(VLOOKUP($A32,ImportDataWA!$A$14:$BB$200,9,FALSE),0)</f>
        <v>0</v>
      </c>
      <c r="G32" s="11">
        <f>IFERROR(VLOOKUP($A32,ImportDataWA!$A$12:$BB$200,10,FALSE),0)</f>
        <v>0</v>
      </c>
      <c r="H32" s="11">
        <f>IFERROR(VLOOKUP($A32,ImportDataWA!$A$12:$BB$200,14,FALSE),0)</f>
        <v>0</v>
      </c>
      <c r="I32" s="11">
        <f>IFERROR(VLOOKUP($A32,ImportDataWA!$A$12:$BB$200,18,FALSE),0)</f>
        <v>0</v>
      </c>
      <c r="J32" s="10">
        <f>IFERROR(VLOOKUP($A32,ImportDataWA!$A$12:$BB$200,5,FALSE),0)</f>
        <v>0</v>
      </c>
      <c r="K32" s="11">
        <f>IFERROR(VLOOKUP($A32,ImportDataWA!$A$12:$BB$200,7,FALSE),0)</f>
        <v>0</v>
      </c>
      <c r="L32" s="10">
        <f>IFERROR(VLOOKUP($A32,ImportDataWA!$A$12:$BB$200,3,FALSE),0)</f>
        <v>0</v>
      </c>
      <c r="M32" s="10">
        <f>IFERROR(VLOOKUP($A32,ImportDataWA!$A$12:$BB$200,4,FALSE),0)</f>
        <v>0</v>
      </c>
    </row>
    <row r="33" spans="1:13" x14ac:dyDescent="0.25">
      <c r="A33" s="9" t="s">
        <v>417</v>
      </c>
      <c r="B33" s="86" t="s">
        <v>278</v>
      </c>
      <c r="C33" s="9" t="s">
        <v>278</v>
      </c>
      <c r="D33" s="9" t="s">
        <v>163</v>
      </c>
      <c r="E33" s="9" t="s">
        <v>278</v>
      </c>
      <c r="F33" s="10">
        <f>IFERROR(VLOOKUP($A33,ImportDataWA!$A$14:$BB$200,9,FALSE),0)</f>
        <v>0</v>
      </c>
      <c r="G33" s="11">
        <f>IFERROR(VLOOKUP($A33,ImportDataWA!$A$12:$BB$200,10,FALSE),0)</f>
        <v>0</v>
      </c>
      <c r="H33" s="11">
        <f>IFERROR(VLOOKUP($A33,ImportDataWA!$A$12:$BB$200,14,FALSE),0)</f>
        <v>0</v>
      </c>
      <c r="I33" s="11">
        <f>IFERROR(VLOOKUP($A33,ImportDataWA!$A$12:$BB$200,18,FALSE),0)</f>
        <v>0</v>
      </c>
      <c r="J33" s="10">
        <f>IFERROR(VLOOKUP($A33,ImportDataWA!$A$12:$BB$200,5,FALSE),0)</f>
        <v>0</v>
      </c>
      <c r="K33" s="11">
        <f>IFERROR(VLOOKUP($A33,ImportDataWA!$A$12:$BB$200,7,FALSE),0)</f>
        <v>0</v>
      </c>
      <c r="L33" s="10">
        <f>IFERROR(VLOOKUP($A33,ImportDataWA!$A$12:$BB$200,3,FALSE),0)</f>
        <v>0</v>
      </c>
      <c r="M33" s="10">
        <f>IFERROR(VLOOKUP($A33,ImportDataWA!$A$12:$BB$200,4,FALSE),0)</f>
        <v>0</v>
      </c>
    </row>
    <row r="34" spans="1:13" x14ac:dyDescent="0.25">
      <c r="A34" s="9" t="s">
        <v>1</v>
      </c>
      <c r="B34" s="86" t="s">
        <v>219</v>
      </c>
      <c r="C34" s="9" t="s">
        <v>465</v>
      </c>
      <c r="D34" s="9" t="s">
        <v>153</v>
      </c>
      <c r="E34" s="9" t="s">
        <v>227</v>
      </c>
      <c r="F34" s="10">
        <f>IFERROR(VLOOKUP($A34,ImportDataWA!$A$14:$BB$200,9,FALSE),0)</f>
        <v>244</v>
      </c>
      <c r="G34" s="11">
        <f>IFERROR(VLOOKUP($A34,ImportDataWA!$A$12:$BB$200,10,FALSE),0)</f>
        <v>598048.84202695545</v>
      </c>
      <c r="H34" s="11">
        <f>IFERROR(VLOOKUP($A34,ImportDataWA!$A$12:$BB$200,14,FALSE),0)</f>
        <v>14831.415651515152</v>
      </c>
      <c r="I34" s="11">
        <f>IFERROR(VLOOKUP($A34,ImportDataWA!$A$12:$BB$200,18,FALSE),0)</f>
        <v>0</v>
      </c>
      <c r="J34" s="10">
        <f>IFERROR(VLOOKUP($A34,ImportDataWA!$A$12:$BB$200,5,FALSE),0)</f>
        <v>13</v>
      </c>
      <c r="K34" s="11">
        <f>IFERROR(VLOOKUP($A34,ImportDataWA!$A$12:$BB$200,7,FALSE),0)</f>
        <v>50000</v>
      </c>
      <c r="L34" s="10">
        <f>IFERROR(VLOOKUP($A34,ImportDataWA!$A$12:$BB$200,3,FALSE),0)</f>
        <v>7</v>
      </c>
      <c r="M34" s="10">
        <f>IFERROR(VLOOKUP($A34,ImportDataWA!$A$12:$BB$200,4,FALSE),0)</f>
        <v>5</v>
      </c>
    </row>
    <row r="35" spans="1:13" x14ac:dyDescent="0.25">
      <c r="A35" s="185" t="s">
        <v>28</v>
      </c>
      <c r="B35" s="86" t="s">
        <v>219</v>
      </c>
      <c r="C35" s="9" t="s">
        <v>276</v>
      </c>
      <c r="D35" s="9" t="s">
        <v>153</v>
      </c>
      <c r="E35" s="9" t="s">
        <v>227</v>
      </c>
      <c r="F35" s="10">
        <f>IFERROR(VLOOKUP($A35,ImportDataWA!$A$14:$BB$200,9,FALSE),0)</f>
        <v>279</v>
      </c>
      <c r="G35" s="11">
        <f>IFERROR(VLOOKUP($A35,ImportDataWA!$A$12:$BB$200,10,FALSE),0)</f>
        <v>718744.97469333815</v>
      </c>
      <c r="H35" s="11">
        <f>IFERROR(VLOOKUP($A35,ImportDataWA!$A$12:$BB$200,14,FALSE),0)</f>
        <v>3773.9205454545458</v>
      </c>
      <c r="I35" s="11">
        <f>IFERROR(VLOOKUP($A35,ImportDataWA!$A$12:$BB$200,18,FALSE),0)</f>
        <v>9682.9316060606052</v>
      </c>
      <c r="J35" s="10">
        <f>IFERROR(VLOOKUP($A35,ImportDataWA!$A$12:$BB$200,5,FALSE),0)</f>
        <v>13</v>
      </c>
      <c r="K35" s="11">
        <f>IFERROR(VLOOKUP($A35,ImportDataWA!$A$12:$BB$200,7,FALSE),0)</f>
        <v>61363.636363636375</v>
      </c>
      <c r="L35" s="10">
        <f>IFERROR(VLOOKUP($A35,ImportDataWA!$A$12:$BB$200,3,FALSE),0)</f>
        <v>6</v>
      </c>
      <c r="M35" s="10">
        <f>IFERROR(VLOOKUP($A35,ImportDataWA!$A$12:$BB$200,4,FALSE),0)</f>
        <v>5</v>
      </c>
    </row>
    <row r="36" spans="1:13" x14ac:dyDescent="0.25">
      <c r="A36" s="192" t="s">
        <v>276</v>
      </c>
      <c r="B36" s="245" t="s">
        <v>278</v>
      </c>
      <c r="C36" s="189" t="s">
        <v>278</v>
      </c>
      <c r="D36" s="189" t="s">
        <v>153</v>
      </c>
      <c r="E36" s="189" t="s">
        <v>278</v>
      </c>
      <c r="F36" s="10">
        <f>IFERROR(VLOOKUP($A36,ImportDataWA!$A$14:$BB$200,9,FALSE),0)</f>
        <v>7</v>
      </c>
      <c r="G36" s="11">
        <f>IFERROR(VLOOKUP($A36,ImportDataWA!$A$12:$BB$200,10,FALSE),0)</f>
        <v>22916.413325757574</v>
      </c>
      <c r="H36" s="11">
        <f>IFERROR(VLOOKUP($A36,ImportDataWA!$A$12:$BB$200,14,FALSE),0)</f>
        <v>0</v>
      </c>
      <c r="I36" s="11">
        <f>IFERROR(VLOOKUP($A36,ImportDataWA!$A$12:$BB$200,18,FALSE),0)</f>
        <v>0</v>
      </c>
      <c r="J36" s="10">
        <f>IFERROR(VLOOKUP($A36,ImportDataWA!$A$12:$BB$200,5,FALSE),0)</f>
        <v>0</v>
      </c>
      <c r="K36" s="11">
        <f>IFERROR(VLOOKUP($A36,ImportDataWA!$A$12:$BB$200,7,FALSE),0)</f>
        <v>0</v>
      </c>
      <c r="L36" s="10">
        <f>IFERROR(VLOOKUP($A36,ImportDataWA!$A$12:$BB$200,3,FALSE),0)</f>
        <v>0</v>
      </c>
      <c r="M36" s="10">
        <f>IFERROR(VLOOKUP($A36,ImportDataWA!$A$12:$BB$200,4,FALSE),0)</f>
        <v>0</v>
      </c>
    </row>
    <row r="37" spans="1:13" x14ac:dyDescent="0.25">
      <c r="A37" s="192" t="s">
        <v>404</v>
      </c>
      <c r="B37" s="245" t="s">
        <v>278</v>
      </c>
      <c r="C37" s="189" t="s">
        <v>278</v>
      </c>
      <c r="D37" s="192" t="s">
        <v>153</v>
      </c>
      <c r="E37" s="189" t="s">
        <v>278</v>
      </c>
      <c r="F37" s="10">
        <f>IFERROR(VLOOKUP($A37,ImportDataWA!$A$14:$BB$200,9,FALSE),0)</f>
        <v>0</v>
      </c>
      <c r="G37" s="11">
        <f>IFERROR(VLOOKUP($A37,ImportDataWA!$A$12:$BB$200,10,FALSE),0)</f>
        <v>0</v>
      </c>
      <c r="H37" s="11">
        <f>IFERROR(VLOOKUP($A37,ImportDataWA!$A$12:$BB$200,14,FALSE),0)</f>
        <v>0</v>
      </c>
      <c r="I37" s="11">
        <f>IFERROR(VLOOKUP($A37,ImportDataWA!$A$12:$BB$200,18,FALSE),0)</f>
        <v>0</v>
      </c>
      <c r="J37" s="10">
        <f>IFERROR(VLOOKUP($A37,ImportDataWA!$A$12:$BB$200,5,FALSE),0)</f>
        <v>0</v>
      </c>
      <c r="K37" s="11">
        <f>IFERROR(VLOOKUP($A37,ImportDataWA!$A$12:$BB$200,7,FALSE),0)</f>
        <v>0</v>
      </c>
      <c r="L37" s="10">
        <f>IFERROR(VLOOKUP($A37,ImportDataWA!$A$12:$BB$200,3,FALSE),0)</f>
        <v>0</v>
      </c>
      <c r="M37" s="10">
        <f>IFERROR(VLOOKUP($A37,ImportDataWA!$A$12:$BB$200,4,FALSE),0)</f>
        <v>0</v>
      </c>
    </row>
    <row r="38" spans="1:13" x14ac:dyDescent="0.25">
      <c r="A38" s="185" t="s">
        <v>58</v>
      </c>
      <c r="B38" s="86" t="s">
        <v>219</v>
      </c>
      <c r="C38" s="9" t="s">
        <v>276</v>
      </c>
      <c r="D38" s="9" t="s">
        <v>153</v>
      </c>
      <c r="E38" s="9" t="s">
        <v>227</v>
      </c>
      <c r="F38" s="10">
        <f>IFERROR(VLOOKUP($A38,ImportDataWA!$A$14:$BB$200,9,FALSE),0)</f>
        <v>289</v>
      </c>
      <c r="G38" s="11">
        <f>IFERROR(VLOOKUP($A38,ImportDataWA!$A$12:$BB$200,10,FALSE),0)</f>
        <v>892400.20514806185</v>
      </c>
      <c r="H38" s="11">
        <f>IFERROR(VLOOKUP($A38,ImportDataWA!$A$12:$BB$200,14,FALSE),0)</f>
        <v>10984.035500879447</v>
      </c>
      <c r="I38" s="11">
        <f>IFERROR(VLOOKUP($A38,ImportDataWA!$A$12:$BB$200,18,FALSE),0)</f>
        <v>9481.7196439393938</v>
      </c>
      <c r="J38" s="10">
        <f>IFERROR(VLOOKUP($A38,ImportDataWA!$A$12:$BB$200,5,FALSE),0)</f>
        <v>12</v>
      </c>
      <c r="K38" s="11">
        <f>IFERROR(VLOOKUP($A38,ImportDataWA!$A$12:$BB$200,7,FALSE),0)</f>
        <v>53787.878787878792</v>
      </c>
      <c r="L38" s="10">
        <f>IFERROR(VLOOKUP($A38,ImportDataWA!$A$12:$BB$200,3,FALSE),0)</f>
        <v>3</v>
      </c>
      <c r="M38" s="10">
        <f>IFERROR(VLOOKUP($A38,ImportDataWA!$A$12:$BB$200,4,FALSE),0)</f>
        <v>9</v>
      </c>
    </row>
    <row r="39" spans="1:13" x14ac:dyDescent="0.25">
      <c r="A39" s="185" t="s">
        <v>62</v>
      </c>
      <c r="B39" s="86" t="s">
        <v>219</v>
      </c>
      <c r="C39" s="9" t="s">
        <v>465</v>
      </c>
      <c r="D39" s="9" t="s">
        <v>153</v>
      </c>
      <c r="E39" s="9" t="s">
        <v>227</v>
      </c>
      <c r="F39" s="10">
        <f>IFERROR(VLOOKUP($A39,ImportDataWA!$A$14:$BB$200,9,FALSE),0)</f>
        <v>225</v>
      </c>
      <c r="G39" s="11">
        <f>IFERROR(VLOOKUP($A39,ImportDataWA!$A$12:$BB$200,10,FALSE),0)</f>
        <v>756561.45054545451</v>
      </c>
      <c r="H39" s="11">
        <f>IFERROR(VLOOKUP($A39,ImportDataWA!$A$12:$BB$200,14,FALSE),0)</f>
        <v>0</v>
      </c>
      <c r="I39" s="11">
        <f>IFERROR(VLOOKUP($A39,ImportDataWA!$A$12:$BB$200,18,FALSE),0)</f>
        <v>0</v>
      </c>
      <c r="J39" s="10">
        <f>IFERROR(VLOOKUP($A39,ImportDataWA!$A$12:$BB$200,5,FALSE),0)</f>
        <v>16</v>
      </c>
      <c r="K39" s="11">
        <f>IFERROR(VLOOKUP($A39,ImportDataWA!$A$12:$BB$200,7,FALSE),0)</f>
        <v>76439.393939393936</v>
      </c>
      <c r="L39" s="10">
        <f>IFERROR(VLOOKUP($A39,ImportDataWA!$A$12:$BB$200,3,FALSE),0)</f>
        <v>8</v>
      </c>
      <c r="M39" s="10">
        <f>IFERROR(VLOOKUP($A39,ImportDataWA!$A$12:$BB$200,4,FALSE),0)</f>
        <v>14</v>
      </c>
    </row>
    <row r="40" spans="1:13" x14ac:dyDescent="0.25">
      <c r="A40" s="9" t="s">
        <v>103</v>
      </c>
      <c r="B40" s="86" t="s">
        <v>218</v>
      </c>
      <c r="C40" s="9" t="s">
        <v>465</v>
      </c>
      <c r="D40" s="9" t="s">
        <v>153</v>
      </c>
      <c r="E40" s="9" t="s">
        <v>230</v>
      </c>
      <c r="F40" s="10">
        <f>IFERROR(VLOOKUP($A40,ImportDataWA!$A$14:$BB$200,9,FALSE),0)</f>
        <v>83</v>
      </c>
      <c r="G40" s="11">
        <f>IFERROR(VLOOKUP($A40,ImportDataWA!$A$12:$BB$200,10,FALSE),0)</f>
        <v>865489.53938956338</v>
      </c>
      <c r="H40" s="11">
        <f>IFERROR(VLOOKUP($A40,ImportDataWA!$A$12:$BB$200,14,FALSE),0)</f>
        <v>0</v>
      </c>
      <c r="I40" s="11">
        <f>IFERROR(VLOOKUP($A40,ImportDataWA!$A$12:$BB$200,18,FALSE),0)</f>
        <v>8242.8172690534448</v>
      </c>
      <c r="J40" s="10">
        <f>IFERROR(VLOOKUP($A40,ImportDataWA!$A$12:$BB$200,5,FALSE),0)</f>
        <v>5</v>
      </c>
      <c r="K40" s="11">
        <f>IFERROR(VLOOKUP($A40,ImportDataWA!$A$12:$BB$200,7,FALSE),0)</f>
        <v>86363.636363636368</v>
      </c>
      <c r="L40" s="10">
        <f>IFERROR(VLOOKUP($A40,ImportDataWA!$A$12:$BB$200,3,FALSE),0)</f>
        <v>1</v>
      </c>
      <c r="M40" s="10">
        <f>IFERROR(VLOOKUP($A40,ImportDataWA!$A$12:$BB$200,4,FALSE),0)</f>
        <v>4</v>
      </c>
    </row>
    <row r="41" spans="1:13" x14ac:dyDescent="0.25">
      <c r="A41" s="9" t="s">
        <v>104</v>
      </c>
      <c r="B41" s="86" t="s">
        <v>219</v>
      </c>
      <c r="C41" s="9" t="s">
        <v>276</v>
      </c>
      <c r="D41" s="9" t="s">
        <v>153</v>
      </c>
      <c r="E41" s="9" t="s">
        <v>227</v>
      </c>
      <c r="F41" s="10">
        <f>IFERROR(VLOOKUP($A41,ImportDataWA!$A$14:$BB$200,9,FALSE),0)</f>
        <v>252</v>
      </c>
      <c r="G41" s="11">
        <f>IFERROR(VLOOKUP($A41,ImportDataWA!$A$12:$BB$200,10,FALSE),0)</f>
        <v>737569.93490036344</v>
      </c>
      <c r="H41" s="11">
        <f>IFERROR(VLOOKUP($A41,ImportDataWA!$A$12:$BB$200,14,FALSE),0)</f>
        <v>0</v>
      </c>
      <c r="I41" s="11">
        <f>IFERROR(VLOOKUP($A41,ImportDataWA!$A$12:$BB$200,18,FALSE),0)</f>
        <v>0</v>
      </c>
      <c r="J41" s="10">
        <f>IFERROR(VLOOKUP($A41,ImportDataWA!$A$12:$BB$200,5,FALSE),0)</f>
        <v>15</v>
      </c>
      <c r="K41" s="11">
        <f>IFERROR(VLOOKUP($A41,ImportDataWA!$A$12:$BB$200,7,FALSE),0)</f>
        <v>78787.878787878784</v>
      </c>
      <c r="L41" s="10">
        <f>IFERROR(VLOOKUP($A41,ImportDataWA!$A$12:$BB$200,3,FALSE),0)</f>
        <v>5</v>
      </c>
      <c r="M41" s="10">
        <f>IFERROR(VLOOKUP($A41,ImportDataWA!$A$12:$BB$200,4,FALSE),0)</f>
        <v>7</v>
      </c>
    </row>
    <row r="42" spans="1:13" x14ac:dyDescent="0.25">
      <c r="A42" s="189" t="s">
        <v>112</v>
      </c>
      <c r="B42" s="245" t="s">
        <v>278</v>
      </c>
      <c r="C42" s="245" t="s">
        <v>278</v>
      </c>
      <c r="D42" s="189" t="s">
        <v>153</v>
      </c>
      <c r="E42" s="245" t="s">
        <v>278</v>
      </c>
      <c r="F42" s="10">
        <f>IFERROR(VLOOKUP($A42,ImportDataWA!$A$14:$BB$200,9,FALSE),0)</f>
        <v>0</v>
      </c>
      <c r="G42" s="11">
        <f>IFERROR(VLOOKUP($A42,ImportDataWA!$A$12:$BB$200,10,FALSE),0)</f>
        <v>0</v>
      </c>
      <c r="H42" s="11">
        <f>IFERROR(VLOOKUP($A42,ImportDataWA!$A$12:$BB$200,14,FALSE),0)</f>
        <v>0</v>
      </c>
      <c r="I42" s="11">
        <f>IFERROR(VLOOKUP($A42,ImportDataWA!$A$12:$BB$200,18,FALSE),0)</f>
        <v>0</v>
      </c>
      <c r="J42" s="10">
        <f>IFERROR(VLOOKUP($A42,ImportDataWA!$A$12:$BB$200,5,FALSE),0)</f>
        <v>0</v>
      </c>
      <c r="K42" s="11">
        <f>IFERROR(VLOOKUP($A42,ImportDataWA!$A$12:$BB$200,7,FALSE),0)</f>
        <v>0</v>
      </c>
      <c r="L42" s="10">
        <f>IFERROR(VLOOKUP($A42,ImportDataWA!$A$12:$BB$200,3,FALSE),0)</f>
        <v>0</v>
      </c>
      <c r="M42" s="10">
        <f>IFERROR(VLOOKUP($A42,ImportDataWA!$A$12:$BB$200,4,FALSE),0)</f>
        <v>0</v>
      </c>
    </row>
    <row r="43" spans="1:13" x14ac:dyDescent="0.25">
      <c r="A43" s="9" t="s">
        <v>7</v>
      </c>
      <c r="B43" s="86" t="s">
        <v>218</v>
      </c>
      <c r="C43" s="9" t="s">
        <v>466</v>
      </c>
      <c r="D43" s="9" t="s">
        <v>158</v>
      </c>
      <c r="E43" s="9" t="s">
        <v>230</v>
      </c>
      <c r="F43" s="10">
        <f>IFERROR(VLOOKUP($A43,ImportDataWA!$A$14:$BB$200,9,FALSE),0)</f>
        <v>73</v>
      </c>
      <c r="G43" s="11">
        <f>IFERROR(VLOOKUP($A43,ImportDataWA!$A$12:$BB$200,10,FALSE),0)</f>
        <v>1455457.4463443225</v>
      </c>
      <c r="H43" s="11">
        <f>IFERROR(VLOOKUP($A43,ImportDataWA!$A$12:$BB$200,14,FALSE),0)</f>
        <v>49317.606878787876</v>
      </c>
      <c r="I43" s="11">
        <f>IFERROR(VLOOKUP($A43,ImportDataWA!$A$12:$BB$200,18,FALSE),0)</f>
        <v>91983.202242424246</v>
      </c>
      <c r="J43" s="10">
        <f>IFERROR(VLOOKUP($A43,ImportDataWA!$A$12:$BB$200,5,FALSE),0)</f>
        <v>0</v>
      </c>
      <c r="K43" s="11">
        <f>IFERROR(VLOOKUP($A43,ImportDataWA!$A$12:$BB$200,7,FALSE),0)</f>
        <v>0</v>
      </c>
      <c r="L43" s="10">
        <f>IFERROR(VLOOKUP($A43,ImportDataWA!$A$12:$BB$200,3,FALSE),0)</f>
        <v>0</v>
      </c>
      <c r="M43" s="10">
        <f>IFERROR(VLOOKUP($A43,ImportDataWA!$A$12:$BB$200,4,FALSE),0)</f>
        <v>0</v>
      </c>
    </row>
    <row r="44" spans="1:13" x14ac:dyDescent="0.25">
      <c r="A44" s="9" t="s">
        <v>369</v>
      </c>
      <c r="B44" s="86" t="s">
        <v>383</v>
      </c>
      <c r="C44" s="9" t="s">
        <v>467</v>
      </c>
      <c r="D44" s="9" t="s">
        <v>158</v>
      </c>
      <c r="E44" s="9" t="s">
        <v>149</v>
      </c>
      <c r="F44" s="10">
        <f>IFERROR(VLOOKUP($A44,ImportDataWA!$A$14:$BB$200,9,FALSE),0)</f>
        <v>140</v>
      </c>
      <c r="G44" s="11">
        <f>IFERROR(VLOOKUP($A44,ImportDataWA!$A$12:$BB$200,10,FALSE),0)</f>
        <v>576839.7210681818</v>
      </c>
      <c r="H44" s="11">
        <f>IFERROR(VLOOKUP($A44,ImportDataWA!$A$12:$BB$200,14,FALSE),0)</f>
        <v>0</v>
      </c>
      <c r="I44" s="11">
        <f>IFERROR(VLOOKUP($A44,ImportDataWA!$A$12:$BB$200,18,FALSE),0)</f>
        <v>0</v>
      </c>
      <c r="J44" s="10">
        <f>IFERROR(VLOOKUP($A44,ImportDataWA!$A$12:$BB$200,5,FALSE),0)</f>
        <v>12</v>
      </c>
      <c r="K44" s="11">
        <f>IFERROR(VLOOKUP($A44,ImportDataWA!$A$12:$BB$200,7,FALSE),0)</f>
        <v>50757.575757575745</v>
      </c>
      <c r="L44" s="10">
        <f>IFERROR(VLOOKUP($A44,ImportDataWA!$A$12:$BB$200,3,FALSE),0)</f>
        <v>4</v>
      </c>
      <c r="M44" s="10">
        <f>IFERROR(VLOOKUP($A44,ImportDataWA!$A$12:$BB$200,4,FALSE),0)</f>
        <v>3</v>
      </c>
    </row>
    <row r="45" spans="1:13" x14ac:dyDescent="0.25">
      <c r="A45" s="185" t="s">
        <v>22</v>
      </c>
      <c r="B45" s="86" t="s">
        <v>383</v>
      </c>
      <c r="C45" s="9" t="s">
        <v>467</v>
      </c>
      <c r="D45" s="9" t="s">
        <v>158</v>
      </c>
      <c r="E45" s="9" t="s">
        <v>149</v>
      </c>
      <c r="F45" s="10">
        <f>IFERROR(VLOOKUP($A45,ImportDataWA!$A$14:$BB$200,9,FALSE),0)</f>
        <v>117</v>
      </c>
      <c r="G45" s="11">
        <f>IFERROR(VLOOKUP($A45,ImportDataWA!$A$12:$BB$200,10,FALSE),0)</f>
        <v>460846.48089524789</v>
      </c>
      <c r="H45" s="11">
        <f>IFERROR(VLOOKUP($A45,ImportDataWA!$A$12:$BB$200,14,FALSE),0)</f>
        <v>1003.5998257575756</v>
      </c>
      <c r="I45" s="11">
        <f>IFERROR(VLOOKUP($A45,ImportDataWA!$A$12:$BB$200,18,FALSE),0)</f>
        <v>22547.714288251169</v>
      </c>
      <c r="J45" s="10">
        <f>IFERROR(VLOOKUP($A45,ImportDataWA!$A$12:$BB$200,5,FALSE),0)</f>
        <v>3</v>
      </c>
      <c r="K45" s="11">
        <f>IFERROR(VLOOKUP($A45,ImportDataWA!$A$12:$BB$200,7,FALSE),0)</f>
        <v>21212.121212121212</v>
      </c>
      <c r="L45" s="10">
        <f>IFERROR(VLOOKUP($A45,ImportDataWA!$A$12:$BB$200,3,FALSE),0)</f>
        <v>1</v>
      </c>
      <c r="M45" s="10">
        <f>IFERROR(VLOOKUP($A45,ImportDataWA!$A$12:$BB$200,4,FALSE),0)</f>
        <v>2</v>
      </c>
    </row>
    <row r="46" spans="1:13" x14ac:dyDescent="0.25">
      <c r="A46" s="185" t="s">
        <v>34</v>
      </c>
      <c r="B46" s="86" t="s">
        <v>219</v>
      </c>
      <c r="C46" s="9" t="s">
        <v>466</v>
      </c>
      <c r="D46" s="9" t="s">
        <v>158</v>
      </c>
      <c r="E46" s="9" t="s">
        <v>149</v>
      </c>
      <c r="F46" s="10">
        <f>IFERROR(VLOOKUP($A46,ImportDataWA!$A$14:$BB$200,9,FALSE),0)</f>
        <v>98</v>
      </c>
      <c r="G46" s="11">
        <f>IFERROR(VLOOKUP($A46,ImportDataWA!$A$12:$BB$200,10,FALSE),0)</f>
        <v>192462.46991498847</v>
      </c>
      <c r="H46" s="11">
        <f>IFERROR(VLOOKUP($A46,ImportDataWA!$A$12:$BB$200,14,FALSE),0)</f>
        <v>3602.5598484848488</v>
      </c>
      <c r="I46" s="11">
        <f>IFERROR(VLOOKUP($A46,ImportDataWA!$A$12:$BB$200,18,FALSE),0)</f>
        <v>1193.0503771096783</v>
      </c>
      <c r="J46" s="10">
        <f>IFERROR(VLOOKUP($A46,ImportDataWA!$A$12:$BB$200,5,FALSE),0)</f>
        <v>2</v>
      </c>
      <c r="K46" s="11">
        <f>IFERROR(VLOOKUP($A46,ImportDataWA!$A$12:$BB$200,7,FALSE),0)</f>
        <v>8484.8484848484841</v>
      </c>
      <c r="L46" s="10">
        <f>IFERROR(VLOOKUP($A46,ImportDataWA!$A$12:$BB$200,3,FALSE),0)</f>
        <v>0</v>
      </c>
      <c r="M46" s="10">
        <f>IFERROR(VLOOKUP($A46,ImportDataWA!$A$12:$BB$200,4,FALSE),0)</f>
        <v>0</v>
      </c>
    </row>
    <row r="47" spans="1:13" x14ac:dyDescent="0.25">
      <c r="A47" s="192" t="s">
        <v>401</v>
      </c>
      <c r="B47" s="245" t="s">
        <v>278</v>
      </c>
      <c r="C47" s="189" t="s">
        <v>278</v>
      </c>
      <c r="D47" s="189" t="s">
        <v>158</v>
      </c>
      <c r="E47" s="189" t="s">
        <v>278</v>
      </c>
      <c r="F47" s="10">
        <f>IFERROR(VLOOKUP($A47,ImportDataWA!$A$14:$BB$200,9,FALSE),0)</f>
        <v>0</v>
      </c>
      <c r="G47" s="11">
        <f>IFERROR(VLOOKUP($A47,ImportDataWA!$A$12:$BB$200,10,FALSE),0)</f>
        <v>0</v>
      </c>
      <c r="H47" s="11">
        <f>IFERROR(VLOOKUP($A47,ImportDataWA!$A$12:$BB$200,14,FALSE),0)</f>
        <v>0</v>
      </c>
      <c r="I47" s="11">
        <f>IFERROR(VLOOKUP($A47,ImportDataWA!$A$12:$BB$200,18,FALSE),0)</f>
        <v>0</v>
      </c>
      <c r="J47" s="10">
        <f>IFERROR(VLOOKUP($A47,ImportDataWA!$A$12:$BB$200,5,FALSE),0)</f>
        <v>0</v>
      </c>
      <c r="K47" s="11">
        <f>IFERROR(VLOOKUP($A47,ImportDataWA!$A$12:$BB$200,7,FALSE),0)</f>
        <v>0</v>
      </c>
      <c r="L47" s="10">
        <f>IFERROR(VLOOKUP($A47,ImportDataWA!$A$12:$BB$200,3,FALSE),0)</f>
        <v>0</v>
      </c>
      <c r="M47" s="10">
        <f>IFERROR(VLOOKUP($A47,ImportDataWA!$A$12:$BB$200,4,FALSE),0)</f>
        <v>0</v>
      </c>
    </row>
    <row r="48" spans="1:13" x14ac:dyDescent="0.25">
      <c r="A48" s="185" t="s">
        <v>361</v>
      </c>
      <c r="B48" s="86" t="s">
        <v>219</v>
      </c>
      <c r="C48" s="9" t="s">
        <v>467</v>
      </c>
      <c r="D48" s="9" t="s">
        <v>158</v>
      </c>
      <c r="E48" s="9" t="s">
        <v>149</v>
      </c>
      <c r="F48" s="10">
        <f>IFERROR(VLOOKUP($A48,ImportDataWA!$A$14:$BB$200,9,FALSE),0)</f>
        <v>170</v>
      </c>
      <c r="G48" s="11">
        <f>IFERROR(VLOOKUP($A48,ImportDataWA!$A$12:$BB$200,10,FALSE),0)</f>
        <v>638100.4649606772</v>
      </c>
      <c r="H48" s="11">
        <f>IFERROR(VLOOKUP($A48,ImportDataWA!$A$12:$BB$200,14,FALSE),0)</f>
        <v>14452.50476334226</v>
      </c>
      <c r="I48" s="11">
        <f>IFERROR(VLOOKUP($A48,ImportDataWA!$A$12:$BB$200,18,FALSE),0)</f>
        <v>12692.012983595398</v>
      </c>
      <c r="J48" s="10">
        <f>IFERROR(VLOOKUP($A48,ImportDataWA!$A$12:$BB$200,5,FALSE),0)</f>
        <v>12</v>
      </c>
      <c r="K48" s="11">
        <f>IFERROR(VLOOKUP($A48,ImportDataWA!$A$12:$BB$200,7,FALSE),0)</f>
        <v>68181.818181818177</v>
      </c>
      <c r="L48" s="10">
        <f>IFERROR(VLOOKUP($A48,ImportDataWA!$A$12:$BB$200,3,FALSE),0)</f>
        <v>3</v>
      </c>
      <c r="M48" s="10">
        <f>IFERROR(VLOOKUP($A48,ImportDataWA!$A$12:$BB$200,4,FALSE),0)</f>
        <v>8</v>
      </c>
    </row>
    <row r="49" spans="1:13" x14ac:dyDescent="0.25">
      <c r="A49" s="185" t="s">
        <v>37</v>
      </c>
      <c r="B49" s="86" t="s">
        <v>219</v>
      </c>
      <c r="C49" s="9" t="s">
        <v>466</v>
      </c>
      <c r="D49" s="9" t="s">
        <v>158</v>
      </c>
      <c r="E49" s="9" t="s">
        <v>149</v>
      </c>
      <c r="F49" s="10">
        <f>IFERROR(VLOOKUP($A49,ImportDataWA!$A$14:$BB$200,9,FALSE),0)</f>
        <v>212</v>
      </c>
      <c r="G49" s="11">
        <f>IFERROR(VLOOKUP($A49,ImportDataWA!$A$12:$BB$200,10,FALSE),0)</f>
        <v>704930.80621185538</v>
      </c>
      <c r="H49" s="11">
        <f>IFERROR(VLOOKUP($A49,ImportDataWA!$A$12:$BB$200,14,FALSE),0)</f>
        <v>13878.842621212121</v>
      </c>
      <c r="I49" s="11">
        <f>IFERROR(VLOOKUP($A49,ImportDataWA!$A$12:$BB$200,18,FALSE),0)</f>
        <v>5183.7725075757589</v>
      </c>
      <c r="J49" s="10">
        <f>IFERROR(VLOOKUP($A49,ImportDataWA!$A$12:$BB$200,5,FALSE),0)</f>
        <v>13</v>
      </c>
      <c r="K49" s="11">
        <f>IFERROR(VLOOKUP($A49,ImportDataWA!$A$12:$BB$200,7,FALSE),0)</f>
        <v>80681.818181818162</v>
      </c>
      <c r="L49" s="10">
        <f>IFERROR(VLOOKUP($A49,ImportDataWA!$A$12:$BB$200,3,FALSE),0)</f>
        <v>4</v>
      </c>
      <c r="M49" s="10">
        <f>IFERROR(VLOOKUP($A49,ImportDataWA!$A$12:$BB$200,4,FALSE),0)</f>
        <v>8</v>
      </c>
    </row>
    <row r="50" spans="1:13" x14ac:dyDescent="0.25">
      <c r="A50" s="192" t="s">
        <v>403</v>
      </c>
      <c r="B50" s="245" t="s">
        <v>278</v>
      </c>
      <c r="C50" s="189" t="s">
        <v>278</v>
      </c>
      <c r="D50" s="189" t="s">
        <v>158</v>
      </c>
      <c r="E50" s="189" t="s">
        <v>278</v>
      </c>
      <c r="F50" s="10">
        <f>IFERROR(VLOOKUP($A50,ImportDataWA!$A$14:$BB$200,9,FALSE),0)</f>
        <v>0</v>
      </c>
      <c r="G50" s="11">
        <f>IFERROR(VLOOKUP($A50,ImportDataWA!$A$12:$BB$200,10,FALSE),0)</f>
        <v>0</v>
      </c>
      <c r="H50" s="11">
        <f>IFERROR(VLOOKUP($A50,ImportDataWA!$A$12:$BB$200,14,FALSE),0)</f>
        <v>0</v>
      </c>
      <c r="I50" s="11">
        <f>IFERROR(VLOOKUP($A50,ImportDataWA!$A$12:$BB$200,18,FALSE),0)</f>
        <v>0</v>
      </c>
      <c r="J50" s="10">
        <f>IFERROR(VLOOKUP($A50,ImportDataWA!$A$12:$BB$200,5,FALSE),0)</f>
        <v>0</v>
      </c>
      <c r="K50" s="11">
        <f>IFERROR(VLOOKUP($A50,ImportDataWA!$A$12:$BB$200,7,FALSE),0)</f>
        <v>0</v>
      </c>
      <c r="L50" s="10">
        <f>IFERROR(VLOOKUP($A50,ImportDataWA!$A$12:$BB$200,3,FALSE),0)</f>
        <v>0</v>
      </c>
      <c r="M50" s="10">
        <f>IFERROR(VLOOKUP($A50,ImportDataWA!$A$12:$BB$200,4,FALSE),0)</f>
        <v>0</v>
      </c>
    </row>
    <row r="51" spans="1:13" x14ac:dyDescent="0.25">
      <c r="A51" s="185" t="s">
        <v>50</v>
      </c>
      <c r="B51" s="86" t="s">
        <v>383</v>
      </c>
      <c r="C51" s="9" t="s">
        <v>466</v>
      </c>
      <c r="D51" s="9" t="s">
        <v>158</v>
      </c>
      <c r="E51" s="9" t="s">
        <v>149</v>
      </c>
      <c r="F51" s="10">
        <f>IFERROR(VLOOKUP($A51,ImportDataWA!$A$14:$BB$200,9,FALSE),0)</f>
        <v>151</v>
      </c>
      <c r="G51" s="11">
        <f>IFERROR(VLOOKUP($A51,ImportDataWA!$A$12:$BB$200,10,FALSE),0)</f>
        <v>581267.33852793439</v>
      </c>
      <c r="H51" s="11">
        <f>IFERROR(VLOOKUP($A51,ImportDataWA!$A$12:$BB$200,14,FALSE),0)</f>
        <v>9725.0975303030318</v>
      </c>
      <c r="I51" s="11">
        <f>IFERROR(VLOOKUP($A51,ImportDataWA!$A$12:$BB$200,18,FALSE),0)</f>
        <v>6081.9345303030304</v>
      </c>
      <c r="J51" s="10">
        <f>IFERROR(VLOOKUP($A51,ImportDataWA!$A$12:$BB$200,5,FALSE),0)</f>
        <v>13</v>
      </c>
      <c r="K51" s="11">
        <f>IFERROR(VLOOKUP($A51,ImportDataWA!$A$12:$BB$200,7,FALSE),0)</f>
        <v>68181.818181818191</v>
      </c>
      <c r="L51" s="10">
        <f>IFERROR(VLOOKUP($A51,ImportDataWA!$A$12:$BB$200,3,FALSE),0)</f>
        <v>5</v>
      </c>
      <c r="M51" s="10">
        <f>IFERROR(VLOOKUP($A51,ImportDataWA!$A$12:$BB$200,4,FALSE),0)</f>
        <v>4</v>
      </c>
    </row>
    <row r="52" spans="1:13" x14ac:dyDescent="0.25">
      <c r="A52" s="9" t="s">
        <v>65</v>
      </c>
      <c r="B52" s="86" t="s">
        <v>383</v>
      </c>
      <c r="C52" s="9" t="s">
        <v>466</v>
      </c>
      <c r="D52" s="9" t="s">
        <v>158</v>
      </c>
      <c r="E52" s="9" t="s">
        <v>149</v>
      </c>
      <c r="F52" s="10">
        <f>IFERROR(VLOOKUP($A52,ImportDataWA!$A$14:$BB$200,9,FALSE),0)</f>
        <v>212</v>
      </c>
      <c r="G52" s="11">
        <f>IFERROR(VLOOKUP($A52,ImportDataWA!$A$12:$BB$200,10,FALSE),0)</f>
        <v>790068.04258084029</v>
      </c>
      <c r="H52" s="11">
        <f>IFERROR(VLOOKUP($A52,ImportDataWA!$A$12:$BB$200,14,FALSE),0)</f>
        <v>16890.350053030303</v>
      </c>
      <c r="I52" s="11">
        <f>IFERROR(VLOOKUP($A52,ImportDataWA!$A$12:$BB$200,18,FALSE),0)</f>
        <v>29415.506754811166</v>
      </c>
      <c r="J52" s="10">
        <f>IFERROR(VLOOKUP($A52,ImportDataWA!$A$12:$BB$200,5,FALSE),0)</f>
        <v>9</v>
      </c>
      <c r="K52" s="11">
        <f>IFERROR(VLOOKUP($A52,ImportDataWA!$A$12:$BB$200,7,FALSE),0)</f>
        <v>66969.696969696975</v>
      </c>
      <c r="L52" s="10">
        <f>IFERROR(VLOOKUP($A52,ImportDataWA!$A$12:$BB$200,3,FALSE),0)</f>
        <v>3</v>
      </c>
      <c r="M52" s="10">
        <f>IFERROR(VLOOKUP($A52,ImportDataWA!$A$12:$BB$200,4,FALSE),0)</f>
        <v>7</v>
      </c>
    </row>
    <row r="53" spans="1:13" x14ac:dyDescent="0.25">
      <c r="A53" s="9" t="s">
        <v>69</v>
      </c>
      <c r="B53" s="86" t="s">
        <v>383</v>
      </c>
      <c r="C53" s="9" t="s">
        <v>466</v>
      </c>
      <c r="D53" s="9" t="s">
        <v>158</v>
      </c>
      <c r="E53" s="9" t="s">
        <v>149</v>
      </c>
      <c r="F53" s="10">
        <f>IFERROR(VLOOKUP($A53,ImportDataWA!$A$14:$BB$200,9,FALSE),0)</f>
        <v>106</v>
      </c>
      <c r="G53" s="11">
        <f>IFERROR(VLOOKUP($A53,ImportDataWA!$A$12:$BB$200,10,FALSE),0)</f>
        <v>529524.97764869139</v>
      </c>
      <c r="H53" s="11">
        <f>IFERROR(VLOOKUP($A53,ImportDataWA!$A$12:$BB$200,14,FALSE),0)</f>
        <v>11021.500298272069</v>
      </c>
      <c r="I53" s="11">
        <f>IFERROR(VLOOKUP($A53,ImportDataWA!$A$12:$BB$200,18,FALSE),0)</f>
        <v>14714.729721631396</v>
      </c>
      <c r="J53" s="10">
        <f>IFERROR(VLOOKUP($A53,ImportDataWA!$A$12:$BB$200,5,FALSE),0)</f>
        <v>3</v>
      </c>
      <c r="K53" s="11">
        <f>IFERROR(VLOOKUP($A53,ImportDataWA!$A$12:$BB$200,7,FALSE),0)</f>
        <v>20454.545454545456</v>
      </c>
      <c r="L53" s="10">
        <f>IFERROR(VLOOKUP($A53,ImportDataWA!$A$12:$BB$200,3,FALSE),0)</f>
        <v>0</v>
      </c>
      <c r="M53" s="10">
        <f>IFERROR(VLOOKUP($A53,ImportDataWA!$A$12:$BB$200,4,FALSE),0)</f>
        <v>2</v>
      </c>
    </row>
    <row r="54" spans="1:13" x14ac:dyDescent="0.25">
      <c r="A54" s="192" t="s">
        <v>413</v>
      </c>
      <c r="B54" s="245" t="s">
        <v>278</v>
      </c>
      <c r="C54" s="189" t="s">
        <v>278</v>
      </c>
      <c r="D54" s="189" t="s">
        <v>158</v>
      </c>
      <c r="E54" s="189" t="s">
        <v>278</v>
      </c>
      <c r="F54" s="10">
        <f>IFERROR(VLOOKUP($A54,ImportDataWA!$A$14:$BB$200,9,FALSE),0)</f>
        <v>0</v>
      </c>
      <c r="G54" s="11">
        <f>IFERROR(VLOOKUP($A54,ImportDataWA!$A$12:$BB$200,10,FALSE),0)</f>
        <v>0</v>
      </c>
      <c r="H54" s="11">
        <f>IFERROR(VLOOKUP($A54,ImportDataWA!$A$12:$BB$200,14,FALSE),0)</f>
        <v>0</v>
      </c>
      <c r="I54" s="11">
        <f>IFERROR(VLOOKUP($A54,ImportDataWA!$A$12:$BB$200,18,FALSE),0)</f>
        <v>0</v>
      </c>
      <c r="J54" s="10">
        <f>IFERROR(VLOOKUP($A54,ImportDataWA!$A$12:$BB$200,5,FALSE),0)</f>
        <v>0</v>
      </c>
      <c r="K54" s="11">
        <f>IFERROR(VLOOKUP($A54,ImportDataWA!$A$12:$BB$200,7,FALSE),0)</f>
        <v>0</v>
      </c>
      <c r="L54" s="10">
        <f>IFERROR(VLOOKUP($A54,ImportDataWA!$A$12:$BB$200,3,FALSE),0)</f>
        <v>0</v>
      </c>
      <c r="M54" s="10">
        <f>IFERROR(VLOOKUP($A54,ImportDataWA!$A$12:$BB$200,4,FALSE),0)</f>
        <v>0</v>
      </c>
    </row>
    <row r="55" spans="1:13" x14ac:dyDescent="0.25">
      <c r="A55" s="185" t="s">
        <v>250</v>
      </c>
      <c r="B55" s="86" t="s">
        <v>219</v>
      </c>
      <c r="C55" s="9" t="s">
        <v>467</v>
      </c>
      <c r="D55" s="9" t="s">
        <v>158</v>
      </c>
      <c r="E55" s="9" t="s">
        <v>149</v>
      </c>
      <c r="F55" s="10">
        <f>IFERROR(VLOOKUP($A55,ImportDataWA!$A$14:$BB$200,9,FALSE),0)</f>
        <v>222</v>
      </c>
      <c r="G55" s="11">
        <f>IFERROR(VLOOKUP($A55,ImportDataWA!$A$12:$BB$200,10,FALSE),0)</f>
        <v>873822.38916474197</v>
      </c>
      <c r="H55" s="11">
        <f>IFERROR(VLOOKUP($A55,ImportDataWA!$A$12:$BB$200,14,FALSE),0)</f>
        <v>4967.9583636363623</v>
      </c>
      <c r="I55" s="11">
        <f>IFERROR(VLOOKUP($A55,ImportDataWA!$A$12:$BB$200,18,FALSE),0)</f>
        <v>16365.193560606062</v>
      </c>
      <c r="J55" s="10">
        <f>IFERROR(VLOOKUP($A55,ImportDataWA!$A$12:$BB$200,5,FALSE),0)</f>
        <v>9</v>
      </c>
      <c r="K55" s="11">
        <f>IFERROR(VLOOKUP($A55,ImportDataWA!$A$12:$BB$200,7,FALSE),0)</f>
        <v>39166.666666666672</v>
      </c>
      <c r="L55" s="10">
        <f>IFERROR(VLOOKUP($A55,ImportDataWA!$A$12:$BB$200,3,FALSE),0)</f>
        <v>4</v>
      </c>
      <c r="M55" s="10">
        <f>IFERROR(VLOOKUP($A55,ImportDataWA!$A$12:$BB$200,4,FALSE),0)</f>
        <v>2</v>
      </c>
    </row>
    <row r="56" spans="1:13" x14ac:dyDescent="0.25">
      <c r="A56" s="262" t="s">
        <v>353</v>
      </c>
      <c r="B56" s="189" t="s">
        <v>278</v>
      </c>
      <c r="C56" s="189" t="s">
        <v>278</v>
      </c>
      <c r="D56" s="9" t="s">
        <v>158</v>
      </c>
      <c r="E56" s="189" t="s">
        <v>278</v>
      </c>
      <c r="F56" s="10">
        <f>IFERROR(VLOOKUP($A56,ImportDataWA!$A$14:$BB$200,9,FALSE),0)</f>
        <v>29</v>
      </c>
      <c r="G56" s="11">
        <f>IFERROR(VLOOKUP($A56,ImportDataWA!$A$12:$BB$200,10,FALSE),0)</f>
        <v>52889.980491194598</v>
      </c>
      <c r="H56" s="11">
        <f>IFERROR(VLOOKUP($A56,ImportDataWA!$A$12:$BB$200,14,FALSE),0)</f>
        <v>4131.1331805885347</v>
      </c>
      <c r="I56" s="11">
        <f>IFERROR(VLOOKUP($A56,ImportDataWA!$A$12:$BB$200,18,FALSE),0)</f>
        <v>25038.510333333332</v>
      </c>
      <c r="J56" s="10">
        <f>IFERROR(VLOOKUP($A56,ImportDataWA!$A$12:$BB$200,5,FALSE),0)</f>
        <v>0</v>
      </c>
      <c r="K56" s="11">
        <f>IFERROR(VLOOKUP($A56,ImportDataWA!$A$12:$BB$200,7,FALSE),0)</f>
        <v>0</v>
      </c>
      <c r="L56" s="10">
        <f>IFERROR(VLOOKUP($A56,ImportDataWA!$A$12:$BB$200,3,FALSE),0)</f>
        <v>0</v>
      </c>
      <c r="M56" s="10">
        <f>IFERROR(VLOOKUP($A56,ImportDataWA!$A$12:$BB$200,4,FALSE),0)</f>
        <v>0</v>
      </c>
    </row>
    <row r="57" spans="1:13" x14ac:dyDescent="0.25">
      <c r="A57" s="81" t="s">
        <v>424</v>
      </c>
      <c r="B57" s="138" t="s">
        <v>278</v>
      </c>
      <c r="C57" s="81" t="s">
        <v>278</v>
      </c>
      <c r="D57" s="81" t="s">
        <v>158</v>
      </c>
      <c r="E57" s="81" t="s">
        <v>278</v>
      </c>
      <c r="F57" s="10">
        <f>IFERROR(VLOOKUP($A57,ImportDataWA!$A$14:$BB$200,9,FALSE),0)</f>
        <v>0</v>
      </c>
      <c r="G57" s="11">
        <f>IFERROR(VLOOKUP($A57,ImportDataWA!$A$12:$BB$200,10,FALSE),0)</f>
        <v>0</v>
      </c>
      <c r="H57" s="11">
        <f>IFERROR(VLOOKUP($A57,ImportDataWA!$A$12:$BB$200,14,FALSE),0)</f>
        <v>0</v>
      </c>
      <c r="I57" s="11">
        <f>IFERROR(VLOOKUP($A57,ImportDataWA!$A$12:$BB$200,18,FALSE),0)</f>
        <v>0</v>
      </c>
      <c r="J57" s="10">
        <f>IFERROR(VLOOKUP($A57,ImportDataWA!$A$12:$BB$200,5,FALSE),0)</f>
        <v>0</v>
      </c>
      <c r="K57" s="11">
        <f>IFERROR(VLOOKUP($A57,ImportDataWA!$A$12:$BB$200,7,FALSE),0)</f>
        <v>0</v>
      </c>
      <c r="L57" s="10">
        <f>IFERROR(VLOOKUP($A57,ImportDataWA!$A$12:$BB$200,3,FALSE),0)</f>
        <v>0</v>
      </c>
      <c r="M57" s="10">
        <f>IFERROR(VLOOKUP($A57,ImportDataWA!$A$12:$BB$200,4,FALSE),0)</f>
        <v>0</v>
      </c>
    </row>
    <row r="58" spans="1:13" x14ac:dyDescent="0.25">
      <c r="A58" s="9" t="s">
        <v>363</v>
      </c>
      <c r="B58" s="86" t="s">
        <v>219</v>
      </c>
      <c r="C58" s="9" t="s">
        <v>467</v>
      </c>
      <c r="D58" s="9" t="s">
        <v>158</v>
      </c>
      <c r="E58" s="9" t="s">
        <v>149</v>
      </c>
      <c r="F58" s="10">
        <f>IFERROR(VLOOKUP($A58,ImportDataWA!$A$14:$BB$200,9,FALSE),0)</f>
        <v>148</v>
      </c>
      <c r="G58" s="11">
        <f>IFERROR(VLOOKUP($A58,ImportDataWA!$A$12:$BB$200,10,FALSE),0)</f>
        <v>447793.2178967573</v>
      </c>
      <c r="H58" s="11">
        <f>IFERROR(VLOOKUP($A58,ImportDataWA!$A$12:$BB$200,14,FALSE),0)</f>
        <v>15751.952340909091</v>
      </c>
      <c r="I58" s="11">
        <f>IFERROR(VLOOKUP($A58,ImportDataWA!$A$12:$BB$200,18,FALSE),0)</f>
        <v>11738.073023474153</v>
      </c>
      <c r="J58" s="10">
        <f>IFERROR(VLOOKUP($A58,ImportDataWA!$A$12:$BB$200,5,FALSE),0)</f>
        <v>6</v>
      </c>
      <c r="K58" s="11">
        <f>IFERROR(VLOOKUP($A58,ImportDataWA!$A$12:$BB$200,7,FALSE),0)</f>
        <v>20454.545454545452</v>
      </c>
      <c r="L58" s="10">
        <f>IFERROR(VLOOKUP($A58,ImportDataWA!$A$12:$BB$200,3,FALSE),0)</f>
        <v>4</v>
      </c>
      <c r="M58" s="10">
        <f>IFERROR(VLOOKUP($A58,ImportDataWA!$A$12:$BB$200,4,FALSE),0)</f>
        <v>2</v>
      </c>
    </row>
    <row r="59" spans="1:13" x14ac:dyDescent="0.25">
      <c r="A59" s="9" t="s">
        <v>101</v>
      </c>
      <c r="B59" s="86" t="s">
        <v>383</v>
      </c>
      <c r="C59" s="9" t="s">
        <v>467</v>
      </c>
      <c r="D59" s="9" t="s">
        <v>158</v>
      </c>
      <c r="E59" s="9" t="s">
        <v>149</v>
      </c>
      <c r="F59" s="10">
        <f>IFERROR(VLOOKUP($A59,ImportDataWA!$A$14:$BB$200,9,FALSE),0)</f>
        <v>108</v>
      </c>
      <c r="G59" s="11">
        <f>IFERROR(VLOOKUP($A59,ImportDataWA!$A$12:$BB$200,10,FALSE),0)</f>
        <v>449583.47685163177</v>
      </c>
      <c r="H59" s="11">
        <f>IFERROR(VLOOKUP($A59,ImportDataWA!$A$12:$BB$200,14,FALSE),0)</f>
        <v>11558.023189393938</v>
      </c>
      <c r="I59" s="11">
        <f>IFERROR(VLOOKUP($A59,ImportDataWA!$A$12:$BB$200,18,FALSE),0)</f>
        <v>10796.436106060606</v>
      </c>
      <c r="J59" s="10">
        <f>IFERROR(VLOOKUP($A59,ImportDataWA!$A$12:$BB$200,5,FALSE),0)</f>
        <v>2</v>
      </c>
      <c r="K59" s="11">
        <f>IFERROR(VLOOKUP($A59,ImportDataWA!$A$12:$BB$200,7,FALSE),0)</f>
        <v>15909.090909090908</v>
      </c>
      <c r="L59" s="10">
        <f>IFERROR(VLOOKUP($A59,ImportDataWA!$A$12:$BB$200,3,FALSE),0)</f>
        <v>1</v>
      </c>
      <c r="M59" s="10">
        <f>IFERROR(VLOOKUP($A59,ImportDataWA!$A$12:$BB$200,4,FALSE),0)</f>
        <v>1</v>
      </c>
    </row>
    <row r="60" spans="1:13" x14ac:dyDescent="0.25">
      <c r="A60" s="9" t="s">
        <v>113</v>
      </c>
      <c r="B60" s="86" t="s">
        <v>383</v>
      </c>
      <c r="C60" s="9" t="s">
        <v>467</v>
      </c>
      <c r="D60" s="9" t="s">
        <v>158</v>
      </c>
      <c r="E60" s="9" t="s">
        <v>149</v>
      </c>
      <c r="F60" s="10">
        <f>IFERROR(VLOOKUP($A60,ImportDataWA!$A$14:$BB$200,9,FALSE),0)</f>
        <v>188</v>
      </c>
      <c r="G60" s="11">
        <f>IFERROR(VLOOKUP($A60,ImportDataWA!$A$12:$BB$200,10,FALSE),0)</f>
        <v>691665.00719439518</v>
      </c>
      <c r="H60" s="11">
        <f>IFERROR(VLOOKUP($A60,ImportDataWA!$A$12:$BB$200,14,FALSE),0)</f>
        <v>24170.006235533532</v>
      </c>
      <c r="I60" s="11">
        <f>IFERROR(VLOOKUP($A60,ImportDataWA!$A$12:$BB$200,18,FALSE),0)</f>
        <v>22037.010672634784</v>
      </c>
      <c r="J60" s="10">
        <f>IFERROR(VLOOKUP($A60,ImportDataWA!$A$12:$BB$200,5,FALSE),0)</f>
        <v>2</v>
      </c>
      <c r="K60" s="11">
        <f>IFERROR(VLOOKUP($A60,ImportDataWA!$A$12:$BB$200,7,FALSE),0)</f>
        <v>8333.3333333333321</v>
      </c>
      <c r="L60" s="10">
        <f>IFERROR(VLOOKUP($A60,ImportDataWA!$A$12:$BB$200,3,FALSE),0)</f>
        <v>1</v>
      </c>
      <c r="M60" s="10">
        <f>IFERROR(VLOOKUP($A60,ImportDataWA!$A$12:$BB$200,4,FALSE),0)</f>
        <v>0</v>
      </c>
    </row>
    <row r="61" spans="1:13" x14ac:dyDescent="0.25">
      <c r="A61" s="9" t="s">
        <v>365</v>
      </c>
      <c r="B61" s="86" t="s">
        <v>219</v>
      </c>
      <c r="C61" s="9" t="s">
        <v>467</v>
      </c>
      <c r="D61" s="9" t="s">
        <v>158</v>
      </c>
      <c r="E61" s="9" t="s">
        <v>149</v>
      </c>
      <c r="F61" s="10">
        <f>IFERROR(VLOOKUP($A61,ImportDataWA!$A$14:$BB$200,9,FALSE),0)</f>
        <v>162</v>
      </c>
      <c r="G61" s="11">
        <f>IFERROR(VLOOKUP($A61,ImportDataWA!$A$12:$BB$200,10,FALSE),0)</f>
        <v>493602.00417865033</v>
      </c>
      <c r="H61" s="11">
        <f>IFERROR(VLOOKUP($A61,ImportDataWA!$A$12:$BB$200,14,FALSE),0)</f>
        <v>15607.88450757576</v>
      </c>
      <c r="I61" s="11">
        <f>IFERROR(VLOOKUP($A61,ImportDataWA!$A$12:$BB$200,18,FALSE),0)</f>
        <v>3627.4292847109186</v>
      </c>
      <c r="J61" s="10">
        <f>IFERROR(VLOOKUP($A61,ImportDataWA!$A$12:$BB$200,5,FALSE),0)</f>
        <v>12</v>
      </c>
      <c r="K61" s="11">
        <f>IFERROR(VLOOKUP($A61,ImportDataWA!$A$12:$BB$200,7,FALSE),0)</f>
        <v>52045.454545454551</v>
      </c>
      <c r="L61" s="10">
        <f>IFERROR(VLOOKUP($A61,ImportDataWA!$A$12:$BB$200,3,FALSE),0)</f>
        <v>10</v>
      </c>
      <c r="M61" s="10">
        <f>IFERROR(VLOOKUP($A61,ImportDataWA!$A$12:$BB$200,4,FALSE),0)</f>
        <v>6</v>
      </c>
    </row>
    <row r="62" spans="1:13" x14ac:dyDescent="0.25">
      <c r="A62" s="185" t="s">
        <v>40</v>
      </c>
      <c r="B62" s="86" t="s">
        <v>219</v>
      </c>
      <c r="C62" s="9" t="s">
        <v>111</v>
      </c>
      <c r="D62" s="9" t="s">
        <v>166</v>
      </c>
      <c r="E62" s="9" t="s">
        <v>149</v>
      </c>
      <c r="F62" s="10">
        <f>IFERROR(VLOOKUP($A62,ImportDataWA!$A$14:$BB$200,9,FALSE),0)</f>
        <v>288</v>
      </c>
      <c r="G62" s="11">
        <f>IFERROR(VLOOKUP($A62,ImportDataWA!$A$12:$BB$200,10,FALSE),0)</f>
        <v>736725.03321212158</v>
      </c>
      <c r="H62" s="11">
        <f>IFERROR(VLOOKUP($A62,ImportDataWA!$A$12:$BB$200,14,FALSE),0)</f>
        <v>0</v>
      </c>
      <c r="I62" s="11">
        <f>IFERROR(VLOOKUP($A62,ImportDataWA!$A$12:$BB$200,18,FALSE),0)</f>
        <v>0</v>
      </c>
      <c r="J62" s="10">
        <f>IFERROR(VLOOKUP($A62,ImportDataWA!$A$12:$BB$200,5,FALSE),0)</f>
        <v>18</v>
      </c>
      <c r="K62" s="11">
        <f>IFERROR(VLOOKUP($A62,ImportDataWA!$A$12:$BB$200,7,FALSE),0)</f>
        <v>66666.666666666672</v>
      </c>
      <c r="L62" s="10">
        <f>IFERROR(VLOOKUP($A62,ImportDataWA!$A$12:$BB$200,3,FALSE),0)</f>
        <v>6</v>
      </c>
      <c r="M62" s="10">
        <f>IFERROR(VLOOKUP($A62,ImportDataWA!$A$12:$BB$200,4,FALSE),0)</f>
        <v>15</v>
      </c>
    </row>
    <row r="63" spans="1:13" x14ac:dyDescent="0.25">
      <c r="A63" s="233" t="s">
        <v>481</v>
      </c>
      <c r="B63" s="245" t="s">
        <v>278</v>
      </c>
      <c r="C63" s="245" t="s">
        <v>278</v>
      </c>
      <c r="D63" s="189" t="s">
        <v>166</v>
      </c>
      <c r="E63" s="245" t="s">
        <v>278</v>
      </c>
      <c r="F63" s="10">
        <f>IFERROR(VLOOKUP($A63,ImportDataWA!$A$14:$BB$200,9,FALSE),0)</f>
        <v>315</v>
      </c>
      <c r="G63" s="11">
        <f>IFERROR(VLOOKUP($A63,ImportDataWA!$A$12:$BB$200,10,FALSE),0)</f>
        <v>962297.6908017901</v>
      </c>
      <c r="H63" s="11">
        <f>IFERROR(VLOOKUP($A63,ImportDataWA!$A$12:$BB$200,14,FALSE),0)</f>
        <v>542.94253787878779</v>
      </c>
      <c r="I63" s="11">
        <f>IFERROR(VLOOKUP($A63,ImportDataWA!$A$12:$BB$200,18,FALSE),0)</f>
        <v>2021.1825454545456</v>
      </c>
      <c r="J63" s="10">
        <f>IFERROR(VLOOKUP($A63,ImportDataWA!$A$12:$BB$200,5,FALSE),0)</f>
        <v>15</v>
      </c>
      <c r="K63" s="11">
        <f>IFERROR(VLOOKUP($A63,ImportDataWA!$A$12:$BB$200,7,FALSE),0)</f>
        <v>59090.909090909088</v>
      </c>
      <c r="L63" s="10">
        <f>IFERROR(VLOOKUP($A63,ImportDataWA!$A$12:$BB$200,3,FALSE),0)</f>
        <v>5</v>
      </c>
      <c r="M63" s="10">
        <f>IFERROR(VLOOKUP($A63,ImportDataWA!$A$12:$BB$200,4,FALSE),0)</f>
        <v>9</v>
      </c>
    </row>
    <row r="64" spans="1:13" x14ac:dyDescent="0.25">
      <c r="A64" s="9" t="s">
        <v>428</v>
      </c>
      <c r="B64" s="86" t="s">
        <v>219</v>
      </c>
      <c r="C64" s="9" t="s">
        <v>111</v>
      </c>
      <c r="D64" s="9" t="s">
        <v>166</v>
      </c>
      <c r="E64" s="9" t="s">
        <v>149</v>
      </c>
      <c r="F64" s="10">
        <f>IFERROR(VLOOKUP($A64,ImportDataWA!$A$14:$BB$200,9,FALSE),0)</f>
        <v>271</v>
      </c>
      <c r="G64" s="11">
        <f>IFERROR(VLOOKUP($A64,ImportDataWA!$A$12:$BB$200,10,FALSE),0)</f>
        <v>684483.0212487058</v>
      </c>
      <c r="H64" s="11">
        <f>IFERROR(VLOOKUP($A64,ImportDataWA!$A$12:$BB$200,14,FALSE),0)</f>
        <v>0</v>
      </c>
      <c r="I64" s="11">
        <f>IFERROR(VLOOKUP($A64,ImportDataWA!$A$12:$BB$200,18,FALSE),0)</f>
        <v>0</v>
      </c>
      <c r="J64" s="10">
        <f>IFERROR(VLOOKUP($A64,ImportDataWA!$A$12:$BB$200,5,FALSE),0)</f>
        <v>16</v>
      </c>
      <c r="K64" s="11">
        <f>IFERROR(VLOOKUP($A64,ImportDataWA!$A$12:$BB$200,7,FALSE),0)</f>
        <v>60606.060606060615</v>
      </c>
      <c r="L64" s="10">
        <f>IFERROR(VLOOKUP($A64,ImportDataWA!$A$12:$BB$200,3,FALSE),0)</f>
        <v>9</v>
      </c>
      <c r="M64" s="10">
        <f>IFERROR(VLOOKUP($A64,ImportDataWA!$A$12:$BB$200,4,FALSE),0)</f>
        <v>7</v>
      </c>
    </row>
    <row r="65" spans="1:13" x14ac:dyDescent="0.25">
      <c r="A65" s="9" t="s">
        <v>430</v>
      </c>
      <c r="B65" s="86" t="s">
        <v>219</v>
      </c>
      <c r="C65" s="9" t="s">
        <v>111</v>
      </c>
      <c r="D65" s="9" t="s">
        <v>166</v>
      </c>
      <c r="E65" s="9" t="s">
        <v>149</v>
      </c>
      <c r="F65" s="10">
        <f>IFERROR(VLOOKUP($A65,ImportDataWA!$A$14:$BB$200,9,FALSE),0)</f>
        <v>211</v>
      </c>
      <c r="G65" s="11">
        <f>IFERROR(VLOOKUP($A65,ImportDataWA!$A$12:$BB$200,10,FALSE),0)</f>
        <v>661722.67761666584</v>
      </c>
      <c r="H65" s="11">
        <f>IFERROR(VLOOKUP($A65,ImportDataWA!$A$12:$BB$200,14,FALSE),0)</f>
        <v>1345.619393224265</v>
      </c>
      <c r="I65" s="11">
        <f>IFERROR(VLOOKUP($A65,ImportDataWA!$A$12:$BB$200,18,FALSE),0)</f>
        <v>0</v>
      </c>
      <c r="J65" s="10">
        <f>IFERROR(VLOOKUP($A65,ImportDataWA!$A$12:$BB$200,5,FALSE),0)</f>
        <v>15</v>
      </c>
      <c r="K65" s="11">
        <f>IFERROR(VLOOKUP($A65,ImportDataWA!$A$12:$BB$200,7,FALSE),0)</f>
        <v>60606.060606060608</v>
      </c>
      <c r="L65" s="10">
        <f>IFERROR(VLOOKUP($A65,ImportDataWA!$A$12:$BB$200,3,FALSE),0)</f>
        <v>6</v>
      </c>
      <c r="M65" s="10">
        <f>IFERROR(VLOOKUP($A65,ImportDataWA!$A$12:$BB$200,4,FALSE),0)</f>
        <v>5</v>
      </c>
    </row>
    <row r="66" spans="1:13" x14ac:dyDescent="0.25">
      <c r="A66" s="192" t="s">
        <v>421</v>
      </c>
      <c r="B66" s="245" t="s">
        <v>278</v>
      </c>
      <c r="C66" s="189" t="s">
        <v>278</v>
      </c>
      <c r="D66" s="189" t="s">
        <v>166</v>
      </c>
      <c r="E66" s="189" t="s">
        <v>278</v>
      </c>
      <c r="F66" s="10">
        <f>IFERROR(VLOOKUP($A66,ImportDataWA!$A$14:$BB$200,9,FALSE),0)</f>
        <v>0</v>
      </c>
      <c r="G66" s="11">
        <f>IFERROR(VLOOKUP($A66,ImportDataWA!$A$12:$BB$200,10,FALSE),0)</f>
        <v>0</v>
      </c>
      <c r="H66" s="11">
        <f>IFERROR(VLOOKUP($A66,ImportDataWA!$A$12:$BB$200,14,FALSE),0)</f>
        <v>0</v>
      </c>
      <c r="I66" s="11">
        <f>IFERROR(VLOOKUP($A66,ImportDataWA!$A$12:$BB$200,18,FALSE),0)</f>
        <v>0</v>
      </c>
      <c r="J66" s="10">
        <f>IFERROR(VLOOKUP($A66,ImportDataWA!$A$12:$BB$200,5,FALSE),0)</f>
        <v>0</v>
      </c>
      <c r="K66" s="11">
        <f>IFERROR(VLOOKUP($A66,ImportDataWA!$A$12:$BB$200,7,FALSE),0)</f>
        <v>0</v>
      </c>
      <c r="L66" s="10">
        <f>IFERROR(VLOOKUP($A66,ImportDataWA!$A$12:$BB$200,3,FALSE),0)</f>
        <v>0</v>
      </c>
      <c r="M66" s="10">
        <f>IFERROR(VLOOKUP($A66,ImportDataWA!$A$12:$BB$200,4,FALSE),0)</f>
        <v>0</v>
      </c>
    </row>
    <row r="67" spans="1:13" x14ac:dyDescent="0.25">
      <c r="A67" s="185" t="s">
        <v>251</v>
      </c>
      <c r="B67" s="86" t="s">
        <v>219</v>
      </c>
      <c r="C67" s="9" t="s">
        <v>111</v>
      </c>
      <c r="D67" s="9" t="s">
        <v>166</v>
      </c>
      <c r="E67" s="9" t="s">
        <v>149</v>
      </c>
      <c r="F67" s="10">
        <f>IFERROR(VLOOKUP($A67,ImportDataWA!$A$14:$BB$200,9,FALSE),0)</f>
        <v>340</v>
      </c>
      <c r="G67" s="11">
        <f>IFERROR(VLOOKUP($A67,ImportDataWA!$A$12:$BB$200,10,FALSE),0)</f>
        <v>874475.87430303055</v>
      </c>
      <c r="H67" s="11">
        <f>IFERROR(VLOOKUP($A67,ImportDataWA!$A$12:$BB$200,14,FALSE),0)</f>
        <v>0</v>
      </c>
      <c r="I67" s="11">
        <f>IFERROR(VLOOKUP($A67,ImportDataWA!$A$12:$BB$200,18,FALSE),0)</f>
        <v>0</v>
      </c>
      <c r="J67" s="10">
        <f>IFERROR(VLOOKUP($A67,ImportDataWA!$A$12:$BB$200,5,FALSE),0)</f>
        <v>17</v>
      </c>
      <c r="K67" s="11">
        <f>IFERROR(VLOOKUP($A67,ImportDataWA!$A$12:$BB$200,7,FALSE),0)</f>
        <v>68939.393939393936</v>
      </c>
      <c r="L67" s="10">
        <f>IFERROR(VLOOKUP($A67,ImportDataWA!$A$12:$BB$200,3,FALSE),0)</f>
        <v>6</v>
      </c>
      <c r="M67" s="10">
        <f>IFERROR(VLOOKUP($A67,ImportDataWA!$A$12:$BB$200,4,FALSE),0)</f>
        <v>7</v>
      </c>
    </row>
    <row r="68" spans="1:13" x14ac:dyDescent="0.25">
      <c r="A68" t="s">
        <v>17</v>
      </c>
      <c r="B68" s="86" t="s">
        <v>219</v>
      </c>
      <c r="C68" s="9" t="s">
        <v>468</v>
      </c>
      <c r="D68" s="9" t="s">
        <v>161</v>
      </c>
      <c r="E68" s="9" t="s">
        <v>149</v>
      </c>
      <c r="F68" s="10">
        <f>IFERROR(VLOOKUP($A68,ImportDataWA!$A$14:$BB$200,9,FALSE),0)</f>
        <v>232</v>
      </c>
      <c r="G68" s="11">
        <f>IFERROR(VLOOKUP($A68,ImportDataWA!$A$12:$BB$200,10,FALSE),0)</f>
        <v>822545.11182540329</v>
      </c>
      <c r="H68" s="11">
        <f>IFERROR(VLOOKUP($A68,ImportDataWA!$A$12:$BB$200,14,FALSE),0)</f>
        <v>26667.162818181823</v>
      </c>
      <c r="I68" s="11">
        <f>IFERROR(VLOOKUP($A68,ImportDataWA!$A$12:$BB$200,18,FALSE),0)</f>
        <v>4929.9457348484848</v>
      </c>
      <c r="J68" s="10">
        <f>IFERROR(VLOOKUP($A68,ImportDataWA!$A$12:$BB$200,5,FALSE),0)</f>
        <v>12</v>
      </c>
      <c r="K68" s="11">
        <f>IFERROR(VLOOKUP($A68,ImportDataWA!$A$12:$BB$200,7,FALSE),0)</f>
        <v>60606.060606060622</v>
      </c>
      <c r="L68" s="10">
        <f>IFERROR(VLOOKUP($A68,ImportDataWA!$A$12:$BB$200,3,FALSE),0)</f>
        <v>4</v>
      </c>
      <c r="M68" s="10">
        <f>IFERROR(VLOOKUP($A68,ImportDataWA!$A$12:$BB$200,4,FALSE),0)</f>
        <v>5</v>
      </c>
    </row>
    <row r="69" spans="1:13" x14ac:dyDescent="0.25">
      <c r="A69" s="192" t="s">
        <v>395</v>
      </c>
      <c r="B69" s="245" t="s">
        <v>278</v>
      </c>
      <c r="C69" s="189" t="s">
        <v>278</v>
      </c>
      <c r="D69" s="189" t="s">
        <v>161</v>
      </c>
      <c r="E69" s="189" t="s">
        <v>278</v>
      </c>
      <c r="F69" s="10">
        <f>IFERROR(VLOOKUP($A69,ImportDataWA!$A$14:$BB$200,9,FALSE),0)</f>
        <v>0</v>
      </c>
      <c r="G69" s="11">
        <f>IFERROR(VLOOKUP($A69,ImportDataWA!$A$12:$BB$200,10,FALSE),0)</f>
        <v>0</v>
      </c>
      <c r="H69" s="11">
        <f>IFERROR(VLOOKUP($A69,ImportDataWA!$A$12:$BB$200,14,FALSE),0)</f>
        <v>0</v>
      </c>
      <c r="I69" s="11">
        <f>IFERROR(VLOOKUP($A69,ImportDataWA!$A$12:$BB$200,18,FALSE),0)</f>
        <v>0</v>
      </c>
      <c r="J69" s="10">
        <f>IFERROR(VLOOKUP($A69,ImportDataWA!$A$12:$BB$200,5,FALSE),0)</f>
        <v>0</v>
      </c>
      <c r="K69" s="11">
        <f>IFERROR(VLOOKUP($A69,ImportDataWA!$A$12:$BB$200,7,FALSE),0)</f>
        <v>0</v>
      </c>
      <c r="L69" s="10">
        <f>IFERROR(VLOOKUP($A69,ImportDataWA!$A$12:$BB$200,3,FALSE),0)</f>
        <v>0</v>
      </c>
      <c r="M69" s="10">
        <f>IFERROR(VLOOKUP($A69,ImportDataWA!$A$12:$BB$200,4,FALSE),0)</f>
        <v>0</v>
      </c>
    </row>
    <row r="70" spans="1:13" x14ac:dyDescent="0.25">
      <c r="A70" s="185" t="s">
        <v>344</v>
      </c>
      <c r="B70" s="86" t="s">
        <v>219</v>
      </c>
      <c r="C70" s="9" t="s">
        <v>469</v>
      </c>
      <c r="D70" s="9" t="s">
        <v>161</v>
      </c>
      <c r="E70" s="9" t="s">
        <v>149</v>
      </c>
      <c r="F70" s="10">
        <f>IFERROR(VLOOKUP($A70,ImportDataWA!$A$14:$BB$200,9,FALSE),0)</f>
        <v>198</v>
      </c>
      <c r="G70" s="11">
        <f>IFERROR(VLOOKUP($A70,ImportDataWA!$A$12:$BB$200,10,FALSE),0)</f>
        <v>546307.49396540318</v>
      </c>
      <c r="H70" s="11">
        <f>IFERROR(VLOOKUP($A70,ImportDataWA!$A$12:$BB$200,14,FALSE),0)</f>
        <v>37658.056204545457</v>
      </c>
      <c r="I70" s="11">
        <f>IFERROR(VLOOKUP($A70,ImportDataWA!$A$12:$BB$200,18,FALSE),0)</f>
        <v>8833.6170454545463</v>
      </c>
      <c r="J70" s="10">
        <f>IFERROR(VLOOKUP($A70,ImportDataWA!$A$12:$BB$200,5,FALSE),0)</f>
        <v>12</v>
      </c>
      <c r="K70" s="11">
        <f>IFERROR(VLOOKUP($A70,ImportDataWA!$A$12:$BB$200,7,FALSE),0)</f>
        <v>57121.212121212127</v>
      </c>
      <c r="L70" s="10">
        <f>IFERROR(VLOOKUP($A70,ImportDataWA!$A$12:$BB$200,3,FALSE),0)</f>
        <v>4</v>
      </c>
      <c r="M70" s="10">
        <f>IFERROR(VLOOKUP($A70,ImportDataWA!$A$12:$BB$200,4,FALSE),0)</f>
        <v>3</v>
      </c>
    </row>
    <row r="71" spans="1:13" x14ac:dyDescent="0.25">
      <c r="A71" s="185" t="s">
        <v>36</v>
      </c>
      <c r="B71" s="86" t="s">
        <v>218</v>
      </c>
      <c r="C71" s="9" t="s">
        <v>469</v>
      </c>
      <c r="D71" s="9" t="s">
        <v>161</v>
      </c>
      <c r="E71" s="9" t="s">
        <v>230</v>
      </c>
      <c r="F71" s="10">
        <f>IFERROR(VLOOKUP($A71,ImportDataWA!$A$14:$BB$200,9,FALSE),0)</f>
        <v>70</v>
      </c>
      <c r="G71" s="11">
        <f>IFERROR(VLOOKUP($A71,ImportDataWA!$A$12:$BB$200,10,FALSE),0)</f>
        <v>1246533.5092008857</v>
      </c>
      <c r="H71" s="11">
        <f>IFERROR(VLOOKUP($A71,ImportDataWA!$A$12:$BB$200,14,FALSE),0)</f>
        <v>5872.727272727273</v>
      </c>
      <c r="I71" s="11">
        <f>IFERROR(VLOOKUP($A71,ImportDataWA!$A$12:$BB$200,18,FALSE),0)</f>
        <v>0</v>
      </c>
      <c r="J71" s="10">
        <f>IFERROR(VLOOKUP($A71,ImportDataWA!$A$12:$BB$200,5,FALSE),0)</f>
        <v>3</v>
      </c>
      <c r="K71" s="11">
        <f>IFERROR(VLOOKUP($A71,ImportDataWA!$A$12:$BB$200,7,FALSE),0)</f>
        <v>109469.69696969696</v>
      </c>
      <c r="L71" s="10">
        <f>IFERROR(VLOOKUP($A71,ImportDataWA!$A$12:$BB$200,3,FALSE),0)</f>
        <v>0</v>
      </c>
      <c r="M71" s="10">
        <f>IFERROR(VLOOKUP($A71,ImportDataWA!$A$12:$BB$200,4,FALSE),0)</f>
        <v>3</v>
      </c>
    </row>
    <row r="72" spans="1:13" x14ac:dyDescent="0.25">
      <c r="A72" s="192" t="s">
        <v>414</v>
      </c>
      <c r="B72" s="245" t="s">
        <v>278</v>
      </c>
      <c r="C72" s="189" t="s">
        <v>278</v>
      </c>
      <c r="D72" s="189" t="s">
        <v>161</v>
      </c>
      <c r="E72" s="189" t="s">
        <v>278</v>
      </c>
      <c r="F72" s="10">
        <f>IFERROR(VLOOKUP($A72,ImportDataWA!$A$14:$BB$200,9,FALSE),0)</f>
        <v>0</v>
      </c>
      <c r="G72" s="11">
        <f>IFERROR(VLOOKUP($A72,ImportDataWA!$A$12:$BB$200,10,FALSE),0)</f>
        <v>0</v>
      </c>
      <c r="H72" s="11">
        <f>IFERROR(VLOOKUP($A72,ImportDataWA!$A$12:$BB$200,14,FALSE),0)</f>
        <v>0</v>
      </c>
      <c r="I72" s="11">
        <f>IFERROR(VLOOKUP($A72,ImportDataWA!$A$12:$BB$200,18,FALSE),0)</f>
        <v>0</v>
      </c>
      <c r="J72" s="10">
        <f>IFERROR(VLOOKUP($A72,ImportDataWA!$A$12:$BB$200,5,FALSE),0)</f>
        <v>0</v>
      </c>
      <c r="K72" s="11">
        <f>IFERROR(VLOOKUP($A72,ImportDataWA!$A$12:$BB$200,7,FALSE),0)</f>
        <v>0</v>
      </c>
      <c r="L72" s="10">
        <f>IFERROR(VLOOKUP($A72,ImportDataWA!$A$12:$BB$200,3,FALSE),0)</f>
        <v>0</v>
      </c>
      <c r="M72" s="10">
        <f>IFERROR(VLOOKUP($A72,ImportDataWA!$A$12:$BB$200,4,FALSE),0)</f>
        <v>0</v>
      </c>
    </row>
    <row r="73" spans="1:13" x14ac:dyDescent="0.25">
      <c r="A73" s="232" t="s">
        <v>415</v>
      </c>
      <c r="B73" s="245" t="s">
        <v>278</v>
      </c>
      <c r="C73" s="189" t="s">
        <v>278</v>
      </c>
      <c r="D73" s="249" t="s">
        <v>161</v>
      </c>
      <c r="E73" s="189" t="s">
        <v>278</v>
      </c>
      <c r="F73" s="10">
        <f>IFERROR(VLOOKUP($A73,ImportDataWA!$A$14:$BB$200,9,FALSE),0)</f>
        <v>0</v>
      </c>
      <c r="G73" s="11">
        <f>IFERROR(VLOOKUP($A73,ImportDataWA!$A$12:$BB$200,10,FALSE),0)</f>
        <v>0</v>
      </c>
      <c r="H73" s="11">
        <f>IFERROR(VLOOKUP($A73,ImportDataWA!$A$12:$BB$200,14,FALSE),0)</f>
        <v>0</v>
      </c>
      <c r="I73" s="11">
        <f>IFERROR(VLOOKUP($A73,ImportDataWA!$A$12:$BB$200,18,FALSE),0)</f>
        <v>0</v>
      </c>
      <c r="J73" s="10">
        <f>IFERROR(VLOOKUP($A73,ImportDataWA!$A$12:$BB$200,5,FALSE),0)</f>
        <v>0</v>
      </c>
      <c r="K73" s="11">
        <f>IFERROR(VLOOKUP($A73,ImportDataWA!$A$12:$BB$200,7,FALSE),0)</f>
        <v>0</v>
      </c>
      <c r="L73" s="10">
        <f>IFERROR(VLOOKUP($A73,ImportDataWA!$A$12:$BB$200,3,FALSE),0)</f>
        <v>0</v>
      </c>
      <c r="M73" s="10">
        <f>IFERROR(VLOOKUP($A73,ImportDataWA!$A$12:$BB$200,4,FALSE),0)</f>
        <v>0</v>
      </c>
    </row>
    <row r="74" spans="1:13" s="77" customFormat="1" x14ac:dyDescent="0.25">
      <c r="A74" t="s">
        <v>77</v>
      </c>
      <c r="B74" s="86" t="s">
        <v>383</v>
      </c>
      <c r="C74" s="9" t="s">
        <v>468</v>
      </c>
      <c r="D74" t="s">
        <v>161</v>
      </c>
      <c r="E74" s="9" t="s">
        <v>149</v>
      </c>
      <c r="F74" s="10">
        <f>IFERROR(VLOOKUP($A74,ImportDataWA!$A$14:$BB$200,9,FALSE),0)</f>
        <v>205</v>
      </c>
      <c r="G74" s="11">
        <f>IFERROR(VLOOKUP($A74,ImportDataWA!$A$12:$BB$200,10,FALSE),0)</f>
        <v>744328.23066652054</v>
      </c>
      <c r="H74" s="11">
        <f>IFERROR(VLOOKUP($A74,ImportDataWA!$A$12:$BB$200,14,FALSE),0)</f>
        <v>39929.210152598404</v>
      </c>
      <c r="I74" s="11">
        <f>IFERROR(VLOOKUP($A74,ImportDataWA!$A$12:$BB$200,18,FALSE),0)</f>
        <v>6352.5654469082538</v>
      </c>
      <c r="J74" s="10">
        <f>IFERROR(VLOOKUP($A74,ImportDataWA!$A$12:$BB$200,5,FALSE),0)</f>
        <v>12</v>
      </c>
      <c r="K74" s="11">
        <f>IFERROR(VLOOKUP($A74,ImportDataWA!$A$12:$BB$200,7,FALSE),0)</f>
        <v>57575.757575757591</v>
      </c>
      <c r="L74" s="10">
        <f>IFERROR(VLOOKUP($A74,ImportDataWA!$A$12:$BB$200,3,FALSE),0)</f>
        <v>7</v>
      </c>
      <c r="M74" s="10">
        <f>IFERROR(VLOOKUP($A74,ImportDataWA!$A$12:$BB$200,4,FALSE),0)</f>
        <v>6</v>
      </c>
    </row>
    <row r="75" spans="1:13" x14ac:dyDescent="0.25">
      <c r="A75" s="9" t="s">
        <v>79</v>
      </c>
      <c r="B75" s="86" t="s">
        <v>219</v>
      </c>
      <c r="C75" s="9" t="s">
        <v>469</v>
      </c>
      <c r="D75" s="9" t="s">
        <v>161</v>
      </c>
      <c r="E75" s="9" t="s">
        <v>149</v>
      </c>
      <c r="F75" s="10">
        <f>IFERROR(VLOOKUP($A75,ImportDataWA!$A$14:$BB$200,9,FALSE),0)</f>
        <v>217</v>
      </c>
      <c r="G75" s="11">
        <f>IFERROR(VLOOKUP($A75,ImportDataWA!$A$12:$BB$200,10,FALSE),0)</f>
        <v>584418.54087293323</v>
      </c>
      <c r="H75" s="11">
        <f>IFERROR(VLOOKUP($A75,ImportDataWA!$A$12:$BB$200,14,FALSE),0)</f>
        <v>0</v>
      </c>
      <c r="I75" s="11">
        <f>IFERROR(VLOOKUP($A75,ImportDataWA!$A$12:$BB$200,18,FALSE),0)</f>
        <v>0</v>
      </c>
      <c r="J75" s="10">
        <f>IFERROR(VLOOKUP($A75,ImportDataWA!$A$12:$BB$200,5,FALSE),0)</f>
        <v>12</v>
      </c>
      <c r="K75" s="11">
        <f>IFERROR(VLOOKUP($A75,ImportDataWA!$A$12:$BB$200,7,FALSE),0)</f>
        <v>52272.727272727272</v>
      </c>
      <c r="L75" s="10">
        <f>IFERROR(VLOOKUP($A75,ImportDataWA!$A$12:$BB$200,3,FALSE),0)</f>
        <v>1</v>
      </c>
      <c r="M75" s="10">
        <f>IFERROR(VLOOKUP($A75,ImportDataWA!$A$12:$BB$200,4,FALSE),0)</f>
        <v>8</v>
      </c>
    </row>
    <row r="76" spans="1:13" x14ac:dyDescent="0.25">
      <c r="A76" s="9" t="s">
        <v>82</v>
      </c>
      <c r="B76" s="86" t="s">
        <v>383</v>
      </c>
      <c r="C76" s="9" t="s">
        <v>468</v>
      </c>
      <c r="D76" s="9" t="s">
        <v>161</v>
      </c>
      <c r="E76" s="9" t="s">
        <v>149</v>
      </c>
      <c r="F76" s="10">
        <f>IFERROR(VLOOKUP($A76,ImportDataWA!$A$14:$BB$200,9,FALSE),0)</f>
        <v>226</v>
      </c>
      <c r="G76" s="11">
        <f>IFERROR(VLOOKUP($A76,ImportDataWA!$A$12:$BB$200,10,FALSE),0)</f>
        <v>742572.29971700604</v>
      </c>
      <c r="H76" s="11">
        <f>IFERROR(VLOOKUP($A76,ImportDataWA!$A$12:$BB$200,14,FALSE),0)</f>
        <v>143132.81104791188</v>
      </c>
      <c r="I76" s="11">
        <f>IFERROR(VLOOKUP($A76,ImportDataWA!$A$12:$BB$200,18,FALSE),0)</f>
        <v>8527.3796969696959</v>
      </c>
      <c r="J76" s="10">
        <f>IFERROR(VLOOKUP($A76,ImportDataWA!$A$12:$BB$200,5,FALSE),0)</f>
        <v>12</v>
      </c>
      <c r="K76" s="11">
        <f>IFERROR(VLOOKUP($A76,ImportDataWA!$A$12:$BB$200,7,FALSE),0)</f>
        <v>85227.272727272735</v>
      </c>
      <c r="L76" s="10">
        <f>IFERROR(VLOOKUP($A76,ImportDataWA!$A$12:$BB$200,3,FALSE),0)</f>
        <v>4</v>
      </c>
      <c r="M76" s="10">
        <f>IFERROR(VLOOKUP($A76,ImportDataWA!$A$12:$BB$200,4,FALSE),0)</f>
        <v>6</v>
      </c>
    </row>
    <row r="77" spans="1:13" x14ac:dyDescent="0.25">
      <c r="A77" s="9" t="s">
        <v>87</v>
      </c>
      <c r="B77" s="86" t="s">
        <v>383</v>
      </c>
      <c r="C77" s="9" t="s">
        <v>469</v>
      </c>
      <c r="D77" s="9" t="s">
        <v>161</v>
      </c>
      <c r="E77" s="9" t="s">
        <v>149</v>
      </c>
      <c r="F77" s="10">
        <f>IFERROR(VLOOKUP($A77,ImportDataWA!$A$14:$BB$200,9,FALSE),0)</f>
        <v>170</v>
      </c>
      <c r="G77" s="11">
        <f>IFERROR(VLOOKUP($A77,ImportDataWA!$A$12:$BB$200,10,FALSE),0)</f>
        <v>589253.73991887551</v>
      </c>
      <c r="H77" s="11">
        <f>IFERROR(VLOOKUP($A77,ImportDataWA!$A$12:$BB$200,14,FALSE),0)</f>
        <v>7103.273219696971</v>
      </c>
      <c r="I77" s="11">
        <f>IFERROR(VLOOKUP($A77,ImportDataWA!$A$12:$BB$200,18,FALSE),0)</f>
        <v>15994.91846419956</v>
      </c>
      <c r="J77" s="10">
        <f>IFERROR(VLOOKUP($A77,ImportDataWA!$A$12:$BB$200,5,FALSE),0)</f>
        <v>13</v>
      </c>
      <c r="K77" s="11">
        <f>IFERROR(VLOOKUP($A77,ImportDataWA!$A$12:$BB$200,7,FALSE),0)</f>
        <v>51515.151515151512</v>
      </c>
      <c r="L77" s="10">
        <f>IFERROR(VLOOKUP($A77,ImportDataWA!$A$12:$BB$200,3,FALSE),0)</f>
        <v>5</v>
      </c>
      <c r="M77" s="10">
        <f>IFERROR(VLOOKUP($A77,ImportDataWA!$A$12:$BB$200,4,FALSE),0)</f>
        <v>7</v>
      </c>
    </row>
    <row r="78" spans="1:13" x14ac:dyDescent="0.25">
      <c r="A78" s="9" t="s">
        <v>88</v>
      </c>
      <c r="B78" s="86" t="s">
        <v>219</v>
      </c>
      <c r="C78" s="9" t="s">
        <v>468</v>
      </c>
      <c r="D78" s="9" t="s">
        <v>161</v>
      </c>
      <c r="E78" s="9" t="s">
        <v>149</v>
      </c>
      <c r="F78" s="10">
        <f>IFERROR(VLOOKUP($A78,ImportDataWA!$A$14:$BB$200,9,FALSE),0)</f>
        <v>175</v>
      </c>
      <c r="G78" s="11">
        <f>IFERROR(VLOOKUP($A78,ImportDataWA!$A$12:$BB$200,10,FALSE),0)</f>
        <v>516911.56169564067</v>
      </c>
      <c r="H78" s="11">
        <f>IFERROR(VLOOKUP($A78,ImportDataWA!$A$12:$BB$200,14,FALSE),0)</f>
        <v>42460.908325757577</v>
      </c>
      <c r="I78" s="11">
        <f>IFERROR(VLOOKUP($A78,ImportDataWA!$A$12:$BB$200,18,FALSE),0)</f>
        <v>11325.780143939393</v>
      </c>
      <c r="J78" s="10">
        <f>IFERROR(VLOOKUP($A78,ImportDataWA!$A$12:$BB$200,5,FALSE),0)</f>
        <v>14</v>
      </c>
      <c r="K78" s="11">
        <f>IFERROR(VLOOKUP($A78,ImportDataWA!$A$12:$BB$200,7,FALSE),0)</f>
        <v>56818.181818181816</v>
      </c>
      <c r="L78" s="10">
        <f>IFERROR(VLOOKUP($A78,ImportDataWA!$A$12:$BB$200,3,FALSE),0)</f>
        <v>5</v>
      </c>
      <c r="M78" s="10">
        <f>IFERROR(VLOOKUP($A78,ImportDataWA!$A$12:$BB$200,4,FALSE),0)</f>
        <v>6</v>
      </c>
    </row>
    <row r="79" spans="1:13" x14ac:dyDescent="0.25">
      <c r="A79" s="9" t="s">
        <v>341</v>
      </c>
      <c r="B79" s="86" t="s">
        <v>219</v>
      </c>
      <c r="C79" s="9" t="s">
        <v>469</v>
      </c>
      <c r="D79" s="9" t="s">
        <v>161</v>
      </c>
      <c r="E79" s="9" t="s">
        <v>149</v>
      </c>
      <c r="F79" s="10">
        <f>IFERROR(VLOOKUP($A79,ImportDataWA!$A$14:$BB$200,9,FALSE),0)</f>
        <v>161</v>
      </c>
      <c r="G79" s="11">
        <f>IFERROR(VLOOKUP($A79,ImportDataWA!$A$12:$BB$200,10,FALSE),0)</f>
        <v>415988.72412121214</v>
      </c>
      <c r="H79" s="11">
        <f>IFERROR(VLOOKUP($A79,ImportDataWA!$A$12:$BB$200,14,FALSE),0)</f>
        <v>20018.518310606061</v>
      </c>
      <c r="I79" s="11">
        <f>IFERROR(VLOOKUP($A79,ImportDataWA!$A$12:$BB$200,18,FALSE),0)</f>
        <v>3903.0003484848485</v>
      </c>
      <c r="J79" s="10">
        <f>IFERROR(VLOOKUP($A79,ImportDataWA!$A$12:$BB$200,5,FALSE),0)</f>
        <v>0</v>
      </c>
      <c r="K79" s="11">
        <f>IFERROR(VLOOKUP($A79,ImportDataWA!$A$12:$BB$200,7,FALSE),0)</f>
        <v>0</v>
      </c>
      <c r="L79" s="10">
        <f>IFERROR(VLOOKUP($A79,ImportDataWA!$A$12:$BB$200,3,FALSE),0)</f>
        <v>0</v>
      </c>
      <c r="M79" s="10">
        <f>IFERROR(VLOOKUP($A79,ImportDataWA!$A$12:$BB$200,4,FALSE),0)</f>
        <v>0</v>
      </c>
    </row>
    <row r="80" spans="1:13" x14ac:dyDescent="0.25">
      <c r="A80" s="9" t="s">
        <v>98</v>
      </c>
      <c r="B80" s="86" t="s">
        <v>383</v>
      </c>
      <c r="C80" s="9" t="s">
        <v>469</v>
      </c>
      <c r="D80" s="9" t="s">
        <v>161</v>
      </c>
      <c r="E80" s="9" t="s">
        <v>149</v>
      </c>
      <c r="F80" s="10">
        <f>IFERROR(VLOOKUP($A80,ImportDataWA!$A$14:$BB$200,9,FALSE),0)</f>
        <v>253</v>
      </c>
      <c r="G80" s="11">
        <f>IFERROR(VLOOKUP($A80,ImportDataWA!$A$12:$BB$200,10,FALSE),0)</f>
        <v>837228.99680583482</v>
      </c>
      <c r="H80" s="11">
        <f>IFERROR(VLOOKUP($A80,ImportDataWA!$A$12:$BB$200,14,FALSE),0)</f>
        <v>60130.975540412095</v>
      </c>
      <c r="I80" s="11">
        <f>IFERROR(VLOOKUP($A80,ImportDataWA!$A$12:$BB$200,18,FALSE),0)</f>
        <v>15050.398378787877</v>
      </c>
      <c r="J80" s="10">
        <f>IFERROR(VLOOKUP($A80,ImportDataWA!$A$12:$BB$200,5,FALSE),0)</f>
        <v>6</v>
      </c>
      <c r="K80" s="11">
        <f>IFERROR(VLOOKUP($A80,ImportDataWA!$A$12:$BB$200,7,FALSE),0)</f>
        <v>20833.333333333332</v>
      </c>
      <c r="L80" s="10">
        <f>IFERROR(VLOOKUP($A80,ImportDataWA!$A$12:$BB$200,3,FALSE),0)</f>
        <v>3</v>
      </c>
      <c r="M80" s="10">
        <f>IFERROR(VLOOKUP($A80,ImportDataWA!$A$12:$BB$200,4,FALSE),0)</f>
        <v>4</v>
      </c>
    </row>
    <row r="81" spans="1:13" x14ac:dyDescent="0.25">
      <c r="A81" s="9" t="s">
        <v>102</v>
      </c>
      <c r="B81" s="86" t="s">
        <v>383</v>
      </c>
      <c r="C81" s="9" t="s">
        <v>468</v>
      </c>
      <c r="D81" s="9" t="s">
        <v>161</v>
      </c>
      <c r="E81" s="9" t="s">
        <v>149</v>
      </c>
      <c r="F81" s="10">
        <f>IFERROR(VLOOKUP($A81,ImportDataWA!$A$14:$BB$200,9,FALSE),0)</f>
        <v>218</v>
      </c>
      <c r="G81" s="11">
        <f>IFERROR(VLOOKUP($A81,ImportDataWA!$A$12:$BB$200,10,FALSE),0)</f>
        <v>682235.77351674961</v>
      </c>
      <c r="H81" s="11">
        <f>IFERROR(VLOOKUP($A81,ImportDataWA!$A$12:$BB$200,14,FALSE),0)</f>
        <v>19197.002484848486</v>
      </c>
      <c r="I81" s="11">
        <f>IFERROR(VLOOKUP($A81,ImportDataWA!$A$12:$BB$200,18,FALSE),0)</f>
        <v>18336.547032841096</v>
      </c>
      <c r="J81" s="10">
        <f>IFERROR(VLOOKUP($A81,ImportDataWA!$A$12:$BB$200,5,FALSE),0)</f>
        <v>15</v>
      </c>
      <c r="K81" s="11">
        <f>IFERROR(VLOOKUP($A81,ImportDataWA!$A$12:$BB$200,7,FALSE),0)</f>
        <v>57954.545454545456</v>
      </c>
      <c r="L81" s="10">
        <f>IFERROR(VLOOKUP($A81,ImportDataWA!$A$12:$BB$200,3,FALSE),0)</f>
        <v>4</v>
      </c>
      <c r="M81" s="10">
        <f>IFERROR(VLOOKUP($A81,ImportDataWA!$A$12:$BB$200,4,FALSE),0)</f>
        <v>11</v>
      </c>
    </row>
    <row r="82" spans="1:13" x14ac:dyDescent="0.25">
      <c r="A82" t="s">
        <v>3</v>
      </c>
      <c r="B82" s="86" t="s">
        <v>219</v>
      </c>
      <c r="C82" s="9" t="s">
        <v>20</v>
      </c>
      <c r="D82" s="9" t="s">
        <v>156</v>
      </c>
      <c r="E82" s="9" t="s">
        <v>227</v>
      </c>
      <c r="F82" s="10">
        <f>IFERROR(VLOOKUP($A82,ImportDataWA!$A$14:$BB$200,9,FALSE),0)</f>
        <v>290</v>
      </c>
      <c r="G82" s="11">
        <f>IFERROR(VLOOKUP($A82,ImportDataWA!$A$12:$BB$200,10,FALSE),0)</f>
        <v>699862.1903251037</v>
      </c>
      <c r="H82" s="11">
        <f>IFERROR(VLOOKUP($A82,ImportDataWA!$A$12:$BB$200,14,FALSE),0)</f>
        <v>32973.368189393943</v>
      </c>
      <c r="I82" s="11">
        <f>IFERROR(VLOOKUP($A82,ImportDataWA!$A$12:$BB$200,18,FALSE),0)</f>
        <v>11147.860737549705</v>
      </c>
      <c r="J82" s="10">
        <f>IFERROR(VLOOKUP($A82,ImportDataWA!$A$12:$BB$200,5,FALSE),0)</f>
        <v>4</v>
      </c>
      <c r="K82" s="11">
        <f>IFERROR(VLOOKUP($A82,ImportDataWA!$A$12:$BB$200,7,FALSE),0)</f>
        <v>21212.121212121216</v>
      </c>
      <c r="L82" s="10">
        <f>IFERROR(VLOOKUP($A82,ImportDataWA!$A$12:$BB$200,3,FALSE),0)</f>
        <v>3</v>
      </c>
      <c r="M82" s="10">
        <f>IFERROR(VLOOKUP($A82,ImportDataWA!$A$12:$BB$200,4,FALSE),0)</f>
        <v>1</v>
      </c>
    </row>
    <row r="83" spans="1:13" x14ac:dyDescent="0.25">
      <c r="A83" s="185" t="s">
        <v>275</v>
      </c>
      <c r="B83" s="86" t="s">
        <v>219</v>
      </c>
      <c r="C83" s="9" t="s">
        <v>144</v>
      </c>
      <c r="D83" s="9" t="s">
        <v>156</v>
      </c>
      <c r="E83" s="9" t="s">
        <v>227</v>
      </c>
      <c r="F83" s="10">
        <f>IFERROR(VLOOKUP($A83,ImportDataWA!$A$14:$BB$200,9,FALSE),0)</f>
        <v>398</v>
      </c>
      <c r="G83" s="11">
        <f>IFERROR(VLOOKUP($A83,ImportDataWA!$A$12:$BB$200,10,FALSE),0)</f>
        <v>1133707.2776055171</v>
      </c>
      <c r="H83" s="11">
        <f>IFERROR(VLOOKUP($A83,ImportDataWA!$A$12:$BB$200,14,FALSE),0)</f>
        <v>14310.165787429401</v>
      </c>
      <c r="I83" s="11">
        <f>IFERROR(VLOOKUP($A83,ImportDataWA!$A$12:$BB$200,18,FALSE),0)</f>
        <v>4590.7416590909097</v>
      </c>
      <c r="J83" s="10">
        <f>IFERROR(VLOOKUP($A83,ImportDataWA!$A$12:$BB$200,5,FALSE),0)</f>
        <v>15</v>
      </c>
      <c r="K83" s="11">
        <f>IFERROR(VLOOKUP($A83,ImportDataWA!$A$12:$BB$200,7,FALSE),0)</f>
        <v>72803.030303030304</v>
      </c>
      <c r="L83" s="10">
        <f>IFERROR(VLOOKUP($A83,ImportDataWA!$A$12:$BB$200,3,FALSE),0)</f>
        <v>10</v>
      </c>
      <c r="M83" s="10">
        <f>IFERROR(VLOOKUP($A83,ImportDataWA!$A$12:$BB$200,4,FALSE),0)</f>
        <v>6</v>
      </c>
    </row>
    <row r="84" spans="1:13" x14ac:dyDescent="0.25">
      <c r="A84" s="192" t="s">
        <v>427</v>
      </c>
      <c r="B84" s="245" t="s">
        <v>278</v>
      </c>
      <c r="C84" s="189" t="s">
        <v>278</v>
      </c>
      <c r="D84" s="189" t="s">
        <v>156</v>
      </c>
      <c r="E84" s="189" t="s">
        <v>278</v>
      </c>
      <c r="F84" s="10">
        <f>IFERROR(VLOOKUP($A84,ImportDataWA!$A$14:$BB$200,9,FALSE),0)</f>
        <v>0</v>
      </c>
      <c r="G84" s="11">
        <f>IFERROR(VLOOKUP($A84,ImportDataWA!$A$12:$BB$200,10,FALSE),0)</f>
        <v>0</v>
      </c>
      <c r="H84" s="11">
        <f>IFERROR(VLOOKUP($A84,ImportDataWA!$A$12:$BB$200,14,FALSE),0)</f>
        <v>0</v>
      </c>
      <c r="I84" s="11">
        <f>IFERROR(VLOOKUP($A84,ImportDataWA!$A$12:$BB$200,18,FALSE),0)</f>
        <v>0</v>
      </c>
      <c r="J84" s="10">
        <f>IFERROR(VLOOKUP($A84,ImportDataWA!$A$12:$BB$200,5,FALSE),0)</f>
        <v>0</v>
      </c>
      <c r="K84" s="11">
        <f>IFERROR(VLOOKUP($A84,ImportDataWA!$A$12:$BB$200,7,FALSE),0)</f>
        <v>0</v>
      </c>
      <c r="L84" s="10">
        <f>IFERROR(VLOOKUP($A84,ImportDataWA!$A$12:$BB$200,3,FALSE),0)</f>
        <v>0</v>
      </c>
      <c r="M84" s="10">
        <f>IFERROR(VLOOKUP($A84,ImportDataWA!$A$12:$BB$200,4,FALSE),0)</f>
        <v>0</v>
      </c>
    </row>
    <row r="85" spans="1:13" x14ac:dyDescent="0.25">
      <c r="A85" s="192" t="s">
        <v>423</v>
      </c>
      <c r="B85" s="245" t="s">
        <v>278</v>
      </c>
      <c r="C85" s="189" t="s">
        <v>278</v>
      </c>
      <c r="D85" s="189" t="s">
        <v>156</v>
      </c>
      <c r="E85" s="189" t="s">
        <v>278</v>
      </c>
      <c r="F85" s="10">
        <f>IFERROR(VLOOKUP($A85,ImportDataWA!$A$14:$BB$200,9,FALSE),0)</f>
        <v>0</v>
      </c>
      <c r="G85" s="11">
        <f>IFERROR(VLOOKUP($A85,ImportDataWA!$A$12:$BB$200,10,FALSE),0)</f>
        <v>0</v>
      </c>
      <c r="H85" s="11">
        <f>IFERROR(VLOOKUP($A85,ImportDataWA!$A$12:$BB$200,14,FALSE),0)</f>
        <v>0</v>
      </c>
      <c r="I85" s="11">
        <f>IFERROR(VLOOKUP($A85,ImportDataWA!$A$12:$BB$200,18,FALSE),0)</f>
        <v>0</v>
      </c>
      <c r="J85" s="10">
        <f>IFERROR(VLOOKUP($A85,ImportDataWA!$A$12:$BB$200,5,FALSE),0)</f>
        <v>0</v>
      </c>
      <c r="K85" s="11">
        <f>IFERROR(VLOOKUP($A85,ImportDataWA!$A$12:$BB$200,7,FALSE),0)</f>
        <v>0</v>
      </c>
      <c r="L85" s="10">
        <f>IFERROR(VLOOKUP($A85,ImportDataWA!$A$12:$BB$200,3,FALSE),0)</f>
        <v>0</v>
      </c>
      <c r="M85" s="10">
        <f>IFERROR(VLOOKUP($A85,ImportDataWA!$A$12:$BB$200,4,FALSE),0)</f>
        <v>0</v>
      </c>
    </row>
    <row r="86" spans="1:13" x14ac:dyDescent="0.25">
      <c r="A86" s="192" t="s">
        <v>405</v>
      </c>
      <c r="B86" s="245" t="s">
        <v>278</v>
      </c>
      <c r="C86" s="189" t="s">
        <v>278</v>
      </c>
      <c r="D86" s="189" t="s">
        <v>156</v>
      </c>
      <c r="E86" s="189" t="s">
        <v>278</v>
      </c>
      <c r="F86" s="10">
        <f>IFERROR(VLOOKUP($A86,ImportDataWA!$A$14:$BB$200,9,FALSE),0)</f>
        <v>0</v>
      </c>
      <c r="G86" s="11">
        <f>IFERROR(VLOOKUP($A86,ImportDataWA!$A$12:$BB$200,10,FALSE),0)</f>
        <v>0</v>
      </c>
      <c r="H86" s="11">
        <f>IFERROR(VLOOKUP($A86,ImportDataWA!$A$12:$BB$200,14,FALSE),0)</f>
        <v>0</v>
      </c>
      <c r="I86" s="11">
        <f>IFERROR(VLOOKUP($A86,ImportDataWA!$A$12:$BB$200,18,FALSE),0)</f>
        <v>0</v>
      </c>
      <c r="J86" s="10">
        <f>IFERROR(VLOOKUP($A86,ImportDataWA!$A$12:$BB$200,5,FALSE),0)</f>
        <v>0</v>
      </c>
      <c r="K86" s="11">
        <f>IFERROR(VLOOKUP($A86,ImportDataWA!$A$12:$BB$200,7,FALSE),0)</f>
        <v>0</v>
      </c>
      <c r="L86" s="10">
        <f>IFERROR(VLOOKUP($A86,ImportDataWA!$A$12:$BB$200,3,FALSE),0)</f>
        <v>0</v>
      </c>
      <c r="M86" s="10">
        <f>IFERROR(VLOOKUP($A86,ImportDataWA!$A$12:$BB$200,4,FALSE),0)</f>
        <v>0</v>
      </c>
    </row>
    <row r="87" spans="1:13" x14ac:dyDescent="0.25">
      <c r="A87" s="9" t="s">
        <v>64</v>
      </c>
      <c r="B87" s="86" t="s">
        <v>219</v>
      </c>
      <c r="C87" s="9" t="s">
        <v>144</v>
      </c>
      <c r="D87" s="9" t="s">
        <v>156</v>
      </c>
      <c r="E87" s="9" t="s">
        <v>230</v>
      </c>
      <c r="F87" s="10">
        <f>IFERROR(VLOOKUP($A87,ImportDataWA!$A$14:$BB$200,9,FALSE),0)</f>
        <v>263</v>
      </c>
      <c r="G87" s="11">
        <f>IFERROR(VLOOKUP($A87,ImportDataWA!$A$12:$BB$200,10,FALSE),0)</f>
        <v>681779.60386209772</v>
      </c>
      <c r="H87" s="11">
        <f>IFERROR(VLOOKUP($A87,ImportDataWA!$A$12:$BB$200,14,FALSE),0)</f>
        <v>11363.636363636364</v>
      </c>
      <c r="I87" s="11">
        <f>IFERROR(VLOOKUP($A87,ImportDataWA!$A$12:$BB$200,18,FALSE),0)</f>
        <v>4823.4842196969694</v>
      </c>
      <c r="J87" s="10">
        <f>IFERROR(VLOOKUP($A87,ImportDataWA!$A$12:$BB$200,5,FALSE),0)</f>
        <v>15</v>
      </c>
      <c r="K87" s="11">
        <f>IFERROR(VLOOKUP($A87,ImportDataWA!$A$12:$BB$200,7,FALSE),0)</f>
        <v>57575.757575757591</v>
      </c>
      <c r="L87" s="10">
        <f>IFERROR(VLOOKUP($A87,ImportDataWA!$A$12:$BB$200,3,FALSE),0)</f>
        <v>11</v>
      </c>
      <c r="M87" s="10">
        <f>IFERROR(VLOOKUP($A87,ImportDataWA!$A$12:$BB$200,4,FALSE),0)</f>
        <v>5</v>
      </c>
    </row>
    <row r="88" spans="1:13" x14ac:dyDescent="0.25">
      <c r="A88" s="77" t="s">
        <v>70</v>
      </c>
      <c r="B88" s="86" t="s">
        <v>219</v>
      </c>
      <c r="C88" s="9" t="s">
        <v>144</v>
      </c>
      <c r="D88" s="9" t="s">
        <v>156</v>
      </c>
      <c r="E88" s="9" t="s">
        <v>227</v>
      </c>
      <c r="F88" s="10">
        <f>IFERROR(VLOOKUP($A88,ImportDataWA!$A$14:$BB$200,9,FALSE),0)</f>
        <v>238</v>
      </c>
      <c r="G88" s="11">
        <f>IFERROR(VLOOKUP($A88,ImportDataWA!$A$12:$BB$200,10,FALSE),0)</f>
        <v>464710.26003501355</v>
      </c>
      <c r="H88" s="11">
        <f>IFERROR(VLOOKUP($A88,ImportDataWA!$A$12:$BB$200,14,FALSE),0)</f>
        <v>11084.950363636361</v>
      </c>
      <c r="I88" s="11">
        <f>IFERROR(VLOOKUP($A88,ImportDataWA!$A$12:$BB$200,18,FALSE),0)</f>
        <v>26809.139618513724</v>
      </c>
      <c r="J88" s="10">
        <f>IFERROR(VLOOKUP($A88,ImportDataWA!$A$12:$BB$200,5,FALSE),0)</f>
        <v>8</v>
      </c>
      <c r="K88" s="11">
        <f>IFERROR(VLOOKUP($A88,ImportDataWA!$A$12:$BB$200,7,FALSE),0)</f>
        <v>26704.545454545456</v>
      </c>
      <c r="L88" s="10">
        <f>IFERROR(VLOOKUP($A88,ImportDataWA!$A$12:$BB$200,3,FALSE),0)</f>
        <v>8</v>
      </c>
      <c r="M88" s="10">
        <f>IFERROR(VLOOKUP($A88,ImportDataWA!$A$12:$BB$200,4,FALSE),0)</f>
        <v>4</v>
      </c>
    </row>
    <row r="89" spans="1:13" x14ac:dyDescent="0.25">
      <c r="A89" s="9" t="s">
        <v>74</v>
      </c>
      <c r="B89" s="86" t="s">
        <v>219</v>
      </c>
      <c r="C89" s="9" t="s">
        <v>144</v>
      </c>
      <c r="D89" s="9" t="s">
        <v>156</v>
      </c>
      <c r="E89" s="9" t="s">
        <v>227</v>
      </c>
      <c r="F89" s="10">
        <f>IFERROR(VLOOKUP($A89,ImportDataWA!$A$14:$BB$200,9,FALSE),0)</f>
        <v>245</v>
      </c>
      <c r="G89" s="11">
        <f>IFERROR(VLOOKUP($A89,ImportDataWA!$A$12:$BB$200,10,FALSE),0)</f>
        <v>466281.83719301998</v>
      </c>
      <c r="H89" s="11">
        <f>IFERROR(VLOOKUP($A89,ImportDataWA!$A$12:$BB$200,14,FALSE),0)</f>
        <v>0</v>
      </c>
      <c r="I89" s="11">
        <f>IFERROR(VLOOKUP($A89,ImportDataWA!$A$12:$BB$200,18,FALSE),0)</f>
        <v>0</v>
      </c>
      <c r="J89" s="10">
        <f>IFERROR(VLOOKUP($A89,ImportDataWA!$A$12:$BB$200,5,FALSE),0)</f>
        <v>15</v>
      </c>
      <c r="K89" s="11">
        <f>IFERROR(VLOOKUP($A89,ImportDataWA!$A$12:$BB$200,7,FALSE),0)</f>
        <v>57575.757575757591</v>
      </c>
      <c r="L89" s="10">
        <f>IFERROR(VLOOKUP($A89,ImportDataWA!$A$12:$BB$200,3,FALSE),0)</f>
        <v>12</v>
      </c>
      <c r="M89" s="10">
        <f>IFERROR(VLOOKUP($A89,ImportDataWA!$A$12:$BB$200,4,FALSE),0)</f>
        <v>8</v>
      </c>
    </row>
    <row r="90" spans="1:13" x14ac:dyDescent="0.25">
      <c r="A90" s="232" t="s">
        <v>416</v>
      </c>
      <c r="B90" s="245" t="s">
        <v>278</v>
      </c>
      <c r="C90" s="189" t="s">
        <v>278</v>
      </c>
      <c r="D90" s="189" t="s">
        <v>156</v>
      </c>
      <c r="E90" s="189" t="s">
        <v>278</v>
      </c>
      <c r="F90" s="10">
        <f>IFERROR(VLOOKUP($A90,ImportDataWA!$A$14:$BB$200,9,FALSE),0)</f>
        <v>0</v>
      </c>
      <c r="G90" s="11">
        <f>IFERROR(VLOOKUP($A90,ImportDataWA!$A$12:$BB$200,10,FALSE),0)</f>
        <v>0</v>
      </c>
      <c r="H90" s="11">
        <f>IFERROR(VLOOKUP($A90,ImportDataWA!$A$12:$BB$200,14,FALSE),0)</f>
        <v>0</v>
      </c>
      <c r="I90" s="11">
        <f>IFERROR(VLOOKUP($A90,ImportDataWA!$A$12:$BB$200,18,FALSE),0)</f>
        <v>0</v>
      </c>
      <c r="J90" s="10">
        <f>IFERROR(VLOOKUP($A90,ImportDataWA!$A$12:$BB$200,5,FALSE),0)</f>
        <v>0</v>
      </c>
      <c r="K90" s="11">
        <f>IFERROR(VLOOKUP($A90,ImportDataWA!$A$12:$BB$200,7,FALSE),0)</f>
        <v>0</v>
      </c>
      <c r="L90" s="10">
        <f>IFERROR(VLOOKUP($A90,ImportDataWA!$A$12:$BB$200,3,FALSE),0)</f>
        <v>0</v>
      </c>
      <c r="M90" s="10">
        <f>IFERROR(VLOOKUP($A90,ImportDataWA!$A$12:$BB$200,4,FALSE),0)</f>
        <v>0</v>
      </c>
    </row>
    <row r="91" spans="1:13" x14ac:dyDescent="0.25">
      <c r="A91" s="9" t="s">
        <v>94</v>
      </c>
      <c r="B91" s="86" t="s">
        <v>383</v>
      </c>
      <c r="C91" s="9" t="s">
        <v>20</v>
      </c>
      <c r="D91" s="9" t="s">
        <v>156</v>
      </c>
      <c r="E91" s="9" t="s">
        <v>227</v>
      </c>
      <c r="F91" s="10">
        <f>IFERROR(VLOOKUP($A91,ImportDataWA!$A$14:$BB$200,9,FALSE),0)</f>
        <v>262</v>
      </c>
      <c r="G91" s="11">
        <f>IFERROR(VLOOKUP($A91,ImportDataWA!$A$12:$BB$200,10,FALSE),0)</f>
        <v>566758.54878814006</v>
      </c>
      <c r="H91" s="11">
        <f>IFERROR(VLOOKUP($A91,ImportDataWA!$A$12:$BB$200,14,FALSE),0)</f>
        <v>18851.833761441812</v>
      </c>
      <c r="I91" s="11">
        <f>IFERROR(VLOOKUP($A91,ImportDataWA!$A$12:$BB$200,18,FALSE),0)</f>
        <v>1389.0218787878787</v>
      </c>
      <c r="J91" s="10">
        <f>IFERROR(VLOOKUP($A91,ImportDataWA!$A$12:$BB$200,5,FALSE),0)</f>
        <v>16</v>
      </c>
      <c r="K91" s="11">
        <f>IFERROR(VLOOKUP($A91,ImportDataWA!$A$12:$BB$200,7,FALSE),0)</f>
        <v>56818.181818181823</v>
      </c>
      <c r="L91" s="10">
        <f>IFERROR(VLOOKUP($A91,ImportDataWA!$A$12:$BB$200,3,FALSE),0)</f>
        <v>10</v>
      </c>
      <c r="M91" s="10">
        <f>IFERROR(VLOOKUP($A91,ImportDataWA!$A$12:$BB$200,4,FALSE),0)</f>
        <v>9</v>
      </c>
    </row>
    <row r="92" spans="1:13" x14ac:dyDescent="0.25">
      <c r="A92" s="185" t="s">
        <v>335</v>
      </c>
      <c r="B92" s="86" t="s">
        <v>219</v>
      </c>
      <c r="C92" s="9" t="s">
        <v>20</v>
      </c>
      <c r="D92" s="9" t="s">
        <v>156</v>
      </c>
      <c r="E92" s="9" t="s">
        <v>227</v>
      </c>
      <c r="F92" s="10">
        <f>IFERROR(VLOOKUP($A92,ImportDataWA!$A$14:$BB$200,9,FALSE),0)</f>
        <v>242</v>
      </c>
      <c r="G92" s="11">
        <f>IFERROR(VLOOKUP($A92,ImportDataWA!$A$12:$BB$200,10,FALSE),0)</f>
        <v>437711.24467448739</v>
      </c>
      <c r="H92" s="11">
        <f>IFERROR(VLOOKUP($A92,ImportDataWA!$A$12:$BB$200,14,FALSE),0)</f>
        <v>10606.183548892692</v>
      </c>
      <c r="I92" s="11">
        <f>IFERROR(VLOOKUP($A92,ImportDataWA!$A$12:$BB$200,18,FALSE),0)</f>
        <v>8044.0271742424256</v>
      </c>
      <c r="J92" s="10">
        <f>IFERROR(VLOOKUP($A92,ImportDataWA!$A$12:$BB$200,5,FALSE),0)</f>
        <v>5</v>
      </c>
      <c r="K92" s="11">
        <f>IFERROR(VLOOKUP($A92,ImportDataWA!$A$12:$BB$200,7,FALSE),0)</f>
        <v>15909.090909090908</v>
      </c>
      <c r="L92" s="10">
        <f>IFERROR(VLOOKUP($A92,ImportDataWA!$A$12:$BB$200,3,FALSE),0)</f>
        <v>4</v>
      </c>
      <c r="M92" s="10">
        <f>IFERROR(VLOOKUP($A92,ImportDataWA!$A$12:$BB$200,4,FALSE),0)</f>
        <v>1</v>
      </c>
    </row>
    <row r="93" spans="1:13" x14ac:dyDescent="0.25">
      <c r="A93" s="9" t="s">
        <v>99</v>
      </c>
      <c r="B93" s="86" t="s">
        <v>219</v>
      </c>
      <c r="C93" s="9" t="s">
        <v>144</v>
      </c>
      <c r="D93" s="9" t="s">
        <v>156</v>
      </c>
      <c r="E93" s="9" t="s">
        <v>227</v>
      </c>
      <c r="F93" s="10">
        <f>IFERROR(VLOOKUP($A93,ImportDataWA!$A$14:$BB$200,9,FALSE),0)</f>
        <v>339</v>
      </c>
      <c r="G93" s="11">
        <f>IFERROR(VLOOKUP($A93,ImportDataWA!$A$12:$BB$200,10,FALSE),0)</f>
        <v>748599.56802059198</v>
      </c>
      <c r="H93" s="11">
        <f>IFERROR(VLOOKUP($A93,ImportDataWA!$A$12:$BB$200,14,FALSE),0)</f>
        <v>0</v>
      </c>
      <c r="I93" s="11">
        <f>IFERROR(VLOOKUP($A93,ImportDataWA!$A$12:$BB$200,18,FALSE),0)</f>
        <v>0</v>
      </c>
      <c r="J93" s="10">
        <f>IFERROR(VLOOKUP($A93,ImportDataWA!$A$12:$BB$200,5,FALSE),0)</f>
        <v>18</v>
      </c>
      <c r="K93" s="11">
        <f>IFERROR(VLOOKUP($A93,ImportDataWA!$A$12:$BB$200,7,FALSE),0)</f>
        <v>63257.575757575774</v>
      </c>
      <c r="L93" s="10">
        <f>IFERROR(VLOOKUP($A93,ImportDataWA!$A$12:$BB$200,3,FALSE),0)</f>
        <v>13</v>
      </c>
      <c r="M93" s="10">
        <f>IFERROR(VLOOKUP($A93,ImportDataWA!$A$12:$BB$200,4,FALSE),0)</f>
        <v>10</v>
      </c>
    </row>
    <row r="94" spans="1:13" x14ac:dyDescent="0.25">
      <c r="A94" t="s">
        <v>110</v>
      </c>
      <c r="B94" s="86" t="s">
        <v>219</v>
      </c>
      <c r="C94" s="9" t="s">
        <v>20</v>
      </c>
      <c r="D94" s="9" t="s">
        <v>156</v>
      </c>
      <c r="E94" s="9" t="s">
        <v>227</v>
      </c>
      <c r="F94" s="10">
        <f>IFERROR(VLOOKUP($A94,ImportDataWA!$A$14:$BB$200,9,FALSE),0)</f>
        <v>328</v>
      </c>
      <c r="G94" s="11">
        <f>IFERROR(VLOOKUP($A94,ImportDataWA!$A$12:$BB$200,10,FALSE),0)</f>
        <v>669471.94401297998</v>
      </c>
      <c r="H94" s="11">
        <f>IFERROR(VLOOKUP($A94,ImportDataWA!$A$12:$BB$200,14,FALSE),0)</f>
        <v>18539.823396089225</v>
      </c>
      <c r="I94" s="11">
        <f>IFERROR(VLOOKUP($A94,ImportDataWA!$A$12:$BB$200,18,FALSE),0)</f>
        <v>17950.651515151512</v>
      </c>
      <c r="J94" s="10">
        <f>IFERROR(VLOOKUP($A94,ImportDataWA!$A$12:$BB$200,5,FALSE),0)</f>
        <v>16</v>
      </c>
      <c r="K94" s="11">
        <f>IFERROR(VLOOKUP($A94,ImportDataWA!$A$12:$BB$200,7,FALSE),0)</f>
        <v>50757.575757575774</v>
      </c>
      <c r="L94" s="10">
        <f>IFERROR(VLOOKUP($A94,ImportDataWA!$A$12:$BB$200,3,FALSE),0)</f>
        <v>12</v>
      </c>
      <c r="M94" s="10">
        <f>IFERROR(VLOOKUP($A94,ImportDataWA!$A$12:$BB$200,4,FALSE),0)</f>
        <v>9</v>
      </c>
    </row>
    <row r="95" spans="1:13" x14ac:dyDescent="0.25">
      <c r="A95" s="249" t="s">
        <v>390</v>
      </c>
      <c r="B95" s="245" t="s">
        <v>278</v>
      </c>
      <c r="C95" s="189" t="s">
        <v>278</v>
      </c>
      <c r="D95" s="189" t="s">
        <v>155</v>
      </c>
      <c r="E95" s="189" t="s">
        <v>278</v>
      </c>
      <c r="F95" s="10">
        <f>IFERROR(VLOOKUP($A95,ImportDataWA!$A$14:$BB$200,9,FALSE),0)</f>
        <v>0</v>
      </c>
      <c r="G95" s="11">
        <f>IFERROR(VLOOKUP($A95,ImportDataWA!$A$12:$BB$200,10,FALSE),0)</f>
        <v>0</v>
      </c>
      <c r="H95" s="11">
        <f>IFERROR(VLOOKUP($A95,ImportDataWA!$A$12:$BB$200,14,FALSE),0)</f>
        <v>0</v>
      </c>
      <c r="I95" s="11">
        <f>IFERROR(VLOOKUP($A95,ImportDataWA!$A$12:$BB$200,18,FALSE),0)</f>
        <v>0</v>
      </c>
      <c r="J95" s="10">
        <f>IFERROR(VLOOKUP($A95,ImportDataWA!$A$12:$BB$200,5,FALSE),0)</f>
        <v>0</v>
      </c>
      <c r="K95" s="11">
        <f>IFERROR(VLOOKUP($A95,ImportDataWA!$A$12:$BB$200,7,FALSE),0)</f>
        <v>0</v>
      </c>
      <c r="L95" s="10">
        <f>IFERROR(VLOOKUP($A95,ImportDataWA!$A$12:$BB$200,3,FALSE),0)</f>
        <v>0</v>
      </c>
      <c r="M95" s="10">
        <f>IFERROR(VLOOKUP($A95,ImportDataWA!$A$12:$BB$200,4,FALSE),0)</f>
        <v>0</v>
      </c>
    </row>
    <row r="96" spans="1:13" x14ac:dyDescent="0.25">
      <c r="A96" s="9" t="s">
        <v>10</v>
      </c>
      <c r="B96" s="86" t="s">
        <v>218</v>
      </c>
      <c r="C96" s="9" t="s">
        <v>470</v>
      </c>
      <c r="D96" s="9" t="s">
        <v>155</v>
      </c>
      <c r="E96" s="9" t="s">
        <v>230</v>
      </c>
      <c r="F96" s="10">
        <f>IFERROR(VLOOKUP($A96,ImportDataWA!$A$14:$BB$200,9,FALSE),0)</f>
        <v>51</v>
      </c>
      <c r="G96" s="11">
        <f>IFERROR(VLOOKUP($A96,ImportDataWA!$A$12:$BB$200,10,FALSE),0)</f>
        <v>923439.90920002246</v>
      </c>
      <c r="H96" s="11">
        <f>IFERROR(VLOOKUP($A96,ImportDataWA!$A$12:$BB$200,14,FALSE),0)</f>
        <v>16154.038310606054</v>
      </c>
      <c r="I96" s="11">
        <f>IFERROR(VLOOKUP($A96,ImportDataWA!$A$12:$BB$200,18,FALSE),0)</f>
        <v>14652.727553030307</v>
      </c>
      <c r="J96" s="10">
        <f>IFERROR(VLOOKUP($A96,ImportDataWA!$A$12:$BB$200,5,FALSE),0)</f>
        <v>1</v>
      </c>
      <c r="K96" s="11">
        <f>IFERROR(VLOOKUP($A96,ImportDataWA!$A$12:$BB$200,7,FALSE),0)</f>
        <v>34090.909090909088</v>
      </c>
      <c r="L96" s="10">
        <f>IFERROR(VLOOKUP($A96,ImportDataWA!$A$12:$BB$200,3,FALSE),0)</f>
        <v>0</v>
      </c>
      <c r="M96" s="10">
        <f>IFERROR(VLOOKUP($A96,ImportDataWA!$A$12:$BB$200,4,FALSE),0)</f>
        <v>1</v>
      </c>
    </row>
    <row r="97" spans="1:13" x14ac:dyDescent="0.25">
      <c r="A97" s="9" t="s">
        <v>11</v>
      </c>
      <c r="B97" s="86" t="s">
        <v>383</v>
      </c>
      <c r="C97" s="9" t="s">
        <v>470</v>
      </c>
      <c r="D97" s="9" t="s">
        <v>155</v>
      </c>
      <c r="E97" s="9" t="s">
        <v>228</v>
      </c>
      <c r="F97" s="10">
        <f>IFERROR(VLOOKUP($A97,ImportDataWA!$A$14:$BB$200,9,FALSE),0)</f>
        <v>222</v>
      </c>
      <c r="G97" s="11">
        <f>IFERROR(VLOOKUP($A97,ImportDataWA!$A$12:$BB$200,10,FALSE),0)</f>
        <v>697313.97486840864</v>
      </c>
      <c r="H97" s="11">
        <f>IFERROR(VLOOKUP($A97,ImportDataWA!$A$12:$BB$200,14,FALSE),0)</f>
        <v>38395.734327766579</v>
      </c>
      <c r="I97" s="11">
        <f>IFERROR(VLOOKUP($A97,ImportDataWA!$A$12:$BB$200,18,FALSE),0)</f>
        <v>13939.951290641697</v>
      </c>
      <c r="J97" s="10">
        <f>IFERROR(VLOOKUP($A97,ImportDataWA!$A$12:$BB$200,5,FALSE),0)</f>
        <v>10</v>
      </c>
      <c r="K97" s="11">
        <f>IFERROR(VLOOKUP($A97,ImportDataWA!$A$12:$BB$200,7,FALSE),0)</f>
        <v>43181.818181818177</v>
      </c>
      <c r="L97" s="10">
        <f>IFERROR(VLOOKUP($A97,ImportDataWA!$A$12:$BB$200,3,FALSE),0)</f>
        <v>1</v>
      </c>
      <c r="M97" s="10">
        <f>IFERROR(VLOOKUP($A97,ImportDataWA!$A$12:$BB$200,4,FALSE),0)</f>
        <v>8</v>
      </c>
    </row>
    <row r="98" spans="1:13" x14ac:dyDescent="0.25">
      <c r="A98" s="9" t="s">
        <v>350</v>
      </c>
      <c r="B98" s="86" t="s">
        <v>219</v>
      </c>
      <c r="C98" s="9" t="s">
        <v>470</v>
      </c>
      <c r="D98" s="9" t="s">
        <v>155</v>
      </c>
      <c r="E98" s="9" t="s">
        <v>228</v>
      </c>
      <c r="F98" s="10">
        <f>IFERROR(VLOOKUP($A98,ImportDataWA!$A$14:$BB$200,9,FALSE),0)</f>
        <v>50</v>
      </c>
      <c r="G98" s="11">
        <f>IFERROR(VLOOKUP($A98,ImportDataWA!$A$12:$BB$200,10,FALSE),0)</f>
        <v>135723.81889851336</v>
      </c>
      <c r="H98" s="11">
        <f>IFERROR(VLOOKUP($A98,ImportDataWA!$A$12:$BB$200,14,FALSE),0)</f>
        <v>6785.4916287878787</v>
      </c>
      <c r="I98" s="11">
        <f>IFERROR(VLOOKUP($A98,ImportDataWA!$A$12:$BB$200,18,FALSE),0)</f>
        <v>19624.264072755795</v>
      </c>
      <c r="J98" s="10">
        <f>IFERROR(VLOOKUP($A98,ImportDataWA!$A$12:$BB$200,5,FALSE),0)</f>
        <v>0</v>
      </c>
      <c r="K98" s="11">
        <f>IFERROR(VLOOKUP($A98,ImportDataWA!$A$12:$BB$200,7,FALSE),0)</f>
        <v>0</v>
      </c>
      <c r="L98" s="10">
        <f>IFERROR(VLOOKUP($A98,ImportDataWA!$A$12:$BB$200,3,FALSE),0)</f>
        <v>0</v>
      </c>
      <c r="M98" s="10">
        <f>IFERROR(VLOOKUP($A98,ImportDataWA!$A$12:$BB$200,4,FALSE),0)</f>
        <v>0</v>
      </c>
    </row>
    <row r="99" spans="1:13" x14ac:dyDescent="0.25">
      <c r="A99" s="185" t="s">
        <v>26</v>
      </c>
      <c r="B99" s="86" t="s">
        <v>218</v>
      </c>
      <c r="C99" s="9" t="s">
        <v>147</v>
      </c>
      <c r="D99" s="9" t="s">
        <v>155</v>
      </c>
      <c r="E99" s="9" t="s">
        <v>230</v>
      </c>
      <c r="F99" s="10">
        <f>IFERROR(VLOOKUP($A99,ImportDataWA!$A$14:$BB$200,9,FALSE),0)</f>
        <v>69</v>
      </c>
      <c r="G99" s="11">
        <f>IFERROR(VLOOKUP($A99,ImportDataWA!$A$12:$BB$200,10,FALSE),0)</f>
        <v>932109.98977164284</v>
      </c>
      <c r="H99" s="11">
        <f>IFERROR(VLOOKUP($A99,ImportDataWA!$A$12:$BB$200,14,FALSE),0)</f>
        <v>6506.0606060606051</v>
      </c>
      <c r="I99" s="11">
        <f>IFERROR(VLOOKUP($A99,ImportDataWA!$A$12:$BB$200,18,FALSE),0)</f>
        <v>19819.469280303034</v>
      </c>
      <c r="J99" s="10">
        <f>IFERROR(VLOOKUP($A99,ImportDataWA!$A$12:$BB$200,5,FALSE),0)</f>
        <v>4</v>
      </c>
      <c r="K99" s="11">
        <f>IFERROR(VLOOKUP($A99,ImportDataWA!$A$12:$BB$200,7,FALSE),0)</f>
        <v>100378.78787878787</v>
      </c>
      <c r="L99" s="10">
        <f>IFERROR(VLOOKUP($A99,ImportDataWA!$A$12:$BB$200,3,FALSE),0)</f>
        <v>1</v>
      </c>
      <c r="M99" s="10">
        <f>IFERROR(VLOOKUP($A99,ImportDataWA!$A$12:$BB$200,4,FALSE),0)</f>
        <v>4</v>
      </c>
    </row>
    <row r="100" spans="1:13" x14ac:dyDescent="0.25">
      <c r="A100" s="192" t="s">
        <v>407</v>
      </c>
      <c r="B100" s="245" t="s">
        <v>278</v>
      </c>
      <c r="C100" s="189" t="s">
        <v>278</v>
      </c>
      <c r="D100" s="189" t="s">
        <v>155</v>
      </c>
      <c r="E100" s="189" t="s">
        <v>278</v>
      </c>
      <c r="F100" s="10">
        <f>IFERROR(VLOOKUP($A100,ImportDataWA!$A$14:$BB$200,9,FALSE),0)</f>
        <v>0</v>
      </c>
      <c r="G100" s="11">
        <f>IFERROR(VLOOKUP($A100,ImportDataWA!$A$12:$BB$200,10,FALSE),0)</f>
        <v>0</v>
      </c>
      <c r="H100" s="11">
        <f>IFERROR(VLOOKUP($A100,ImportDataWA!$A$12:$BB$200,14,FALSE),0)</f>
        <v>0</v>
      </c>
      <c r="I100" s="11">
        <f>IFERROR(VLOOKUP($A100,ImportDataWA!$A$12:$BB$200,18,FALSE),0)</f>
        <v>0</v>
      </c>
      <c r="J100" s="10">
        <f>IFERROR(VLOOKUP($A100,ImportDataWA!$A$12:$BB$200,5,FALSE),0)</f>
        <v>0</v>
      </c>
      <c r="K100" s="11">
        <f>IFERROR(VLOOKUP($A100,ImportDataWA!$A$12:$BB$200,7,FALSE),0)</f>
        <v>0</v>
      </c>
      <c r="L100" s="10">
        <f>IFERROR(VLOOKUP($A100,ImportDataWA!$A$12:$BB$200,3,FALSE),0)</f>
        <v>0</v>
      </c>
      <c r="M100" s="10">
        <f>IFERROR(VLOOKUP($A100,ImportDataWA!$A$12:$BB$200,4,FALSE),0)</f>
        <v>0</v>
      </c>
    </row>
    <row r="101" spans="1:13" x14ac:dyDescent="0.25">
      <c r="A101" s="192" t="s">
        <v>408</v>
      </c>
      <c r="B101" s="245" t="s">
        <v>278</v>
      </c>
      <c r="C101" s="189" t="s">
        <v>278</v>
      </c>
      <c r="D101" s="189" t="s">
        <v>155</v>
      </c>
      <c r="E101" s="189" t="s">
        <v>278</v>
      </c>
      <c r="F101" s="10">
        <f>IFERROR(VLOOKUP($A101,ImportDataWA!$A$14:$BB$200,9,FALSE),0)</f>
        <v>0</v>
      </c>
      <c r="G101" s="11">
        <f>IFERROR(VLOOKUP($A101,ImportDataWA!$A$12:$BB$200,10,FALSE),0)</f>
        <v>0</v>
      </c>
      <c r="H101" s="11">
        <f>IFERROR(VLOOKUP($A101,ImportDataWA!$A$12:$BB$200,14,FALSE),0)</f>
        <v>0</v>
      </c>
      <c r="I101" s="11">
        <f>IFERROR(VLOOKUP($A101,ImportDataWA!$A$12:$BB$200,18,FALSE),0)</f>
        <v>0</v>
      </c>
      <c r="J101" s="10">
        <f>IFERROR(VLOOKUP($A101,ImportDataWA!$A$12:$BB$200,5,FALSE),0)</f>
        <v>0</v>
      </c>
      <c r="K101" s="11">
        <f>IFERROR(VLOOKUP($A101,ImportDataWA!$A$12:$BB$200,7,FALSE),0)</f>
        <v>0</v>
      </c>
      <c r="L101" s="10">
        <f>IFERROR(VLOOKUP($A101,ImportDataWA!$A$12:$BB$200,3,FALSE),0)</f>
        <v>0</v>
      </c>
      <c r="M101" s="10">
        <f>IFERROR(VLOOKUP($A101,ImportDataWA!$A$12:$BB$200,4,FALSE),0)</f>
        <v>0</v>
      </c>
    </row>
    <row r="102" spans="1:13" x14ac:dyDescent="0.25">
      <c r="A102" s="192" t="s">
        <v>410</v>
      </c>
      <c r="B102" s="245" t="s">
        <v>278</v>
      </c>
      <c r="C102" s="189" t="s">
        <v>278</v>
      </c>
      <c r="D102" s="189" t="s">
        <v>155</v>
      </c>
      <c r="E102" s="189" t="s">
        <v>278</v>
      </c>
      <c r="F102" s="10">
        <f>IFERROR(VLOOKUP($A102,ImportDataWA!$A$14:$BB$200,9,FALSE),0)</f>
        <v>0</v>
      </c>
      <c r="G102" s="11">
        <f>IFERROR(VLOOKUP($A102,ImportDataWA!$A$12:$BB$200,10,FALSE),0)</f>
        <v>0</v>
      </c>
      <c r="H102" s="11">
        <f>IFERROR(VLOOKUP($A102,ImportDataWA!$A$12:$BB$200,14,FALSE),0)</f>
        <v>0</v>
      </c>
      <c r="I102" s="11">
        <f>IFERROR(VLOOKUP($A102,ImportDataWA!$A$12:$BB$200,18,FALSE),0)</f>
        <v>0</v>
      </c>
      <c r="J102" s="10">
        <f>IFERROR(VLOOKUP($A102,ImportDataWA!$A$12:$BB$200,5,FALSE),0)</f>
        <v>0</v>
      </c>
      <c r="K102" s="11">
        <f>IFERROR(VLOOKUP($A102,ImportDataWA!$A$12:$BB$200,7,FALSE),0)</f>
        <v>0</v>
      </c>
      <c r="L102" s="10">
        <f>IFERROR(VLOOKUP($A102,ImportDataWA!$A$12:$BB$200,3,FALSE),0)</f>
        <v>0</v>
      </c>
      <c r="M102" s="10">
        <f>IFERROR(VLOOKUP($A102,ImportDataWA!$A$12:$BB$200,4,FALSE),0)</f>
        <v>0</v>
      </c>
    </row>
    <row r="103" spans="1:13" x14ac:dyDescent="0.25">
      <c r="A103" t="s">
        <v>89</v>
      </c>
      <c r="B103" s="86" t="s">
        <v>383</v>
      </c>
      <c r="C103" s="9" t="s">
        <v>147</v>
      </c>
      <c r="D103" s="9" t="s">
        <v>155</v>
      </c>
      <c r="E103" s="9" t="s">
        <v>228</v>
      </c>
      <c r="F103" s="10">
        <f>IFERROR(VLOOKUP($A103,ImportDataWA!$A$14:$BB$200,9,FALSE),0)</f>
        <v>159</v>
      </c>
      <c r="G103" s="11">
        <f>IFERROR(VLOOKUP($A103,ImportDataWA!$A$12:$BB$200,10,FALSE),0)</f>
        <v>625178.30662011995</v>
      </c>
      <c r="H103" s="11">
        <f>IFERROR(VLOOKUP($A103,ImportDataWA!$A$12:$BB$200,14,FALSE),0)</f>
        <v>14407.577176525527</v>
      </c>
      <c r="I103" s="11">
        <f>IFERROR(VLOOKUP($A103,ImportDataWA!$A$12:$BB$200,18,FALSE),0)</f>
        <v>5854.5704930193642</v>
      </c>
      <c r="J103" s="10">
        <f>IFERROR(VLOOKUP($A103,ImportDataWA!$A$12:$BB$200,5,FALSE),0)</f>
        <v>2</v>
      </c>
      <c r="K103" s="11">
        <f>IFERROR(VLOOKUP($A103,ImportDataWA!$A$12:$BB$200,7,FALSE),0)</f>
        <v>27651.515151515152</v>
      </c>
      <c r="L103" s="10">
        <f>IFERROR(VLOOKUP($A103,ImportDataWA!$A$12:$BB$200,3,FALSE),0)</f>
        <v>0</v>
      </c>
      <c r="M103" s="10">
        <f>IFERROR(VLOOKUP($A103,ImportDataWA!$A$12:$BB$200,4,FALSE),0)</f>
        <v>2</v>
      </c>
    </row>
    <row r="104" spans="1:13" x14ac:dyDescent="0.25">
      <c r="A104" t="s">
        <v>92</v>
      </c>
      <c r="B104" s="86" t="s">
        <v>219</v>
      </c>
      <c r="C104" s="9" t="s">
        <v>147</v>
      </c>
      <c r="D104" s="9" t="s">
        <v>155</v>
      </c>
      <c r="E104" s="9" t="s">
        <v>228</v>
      </c>
      <c r="F104" s="10">
        <f>IFERROR(VLOOKUP($A104,ImportDataWA!$A$14:$BB$200,9,FALSE),0)</f>
        <v>182</v>
      </c>
      <c r="G104" s="11">
        <f>IFERROR(VLOOKUP($A104,ImportDataWA!$A$12:$BB$200,10,FALSE),0)</f>
        <v>721507.50067340443</v>
      </c>
      <c r="H104" s="11">
        <f>IFERROR(VLOOKUP($A104,ImportDataWA!$A$12:$BB$200,14,FALSE),0)</f>
        <v>3517.9434621212117</v>
      </c>
      <c r="I104" s="11">
        <f>IFERROR(VLOOKUP($A104,ImportDataWA!$A$12:$BB$200,18,FALSE),0)</f>
        <v>9238.3709293142383</v>
      </c>
      <c r="J104" s="10">
        <f>IFERROR(VLOOKUP($A104,ImportDataWA!$A$12:$BB$200,5,FALSE),0)</f>
        <v>12</v>
      </c>
      <c r="K104" s="11">
        <f>IFERROR(VLOOKUP($A104,ImportDataWA!$A$12:$BB$200,7,FALSE),0)</f>
        <v>62878.787878787887</v>
      </c>
      <c r="L104" s="10">
        <f>IFERROR(VLOOKUP($A104,ImportDataWA!$A$12:$BB$200,3,FALSE),0)</f>
        <v>1</v>
      </c>
      <c r="M104" s="10">
        <f>IFERROR(VLOOKUP($A104,ImportDataWA!$A$12:$BB$200,4,FALSE),0)</f>
        <v>7</v>
      </c>
    </row>
    <row r="105" spans="1:13" x14ac:dyDescent="0.25">
      <c r="A105" s="185" t="s">
        <v>388</v>
      </c>
      <c r="B105" s="86" t="s">
        <v>219</v>
      </c>
      <c r="C105" s="9" t="s">
        <v>470</v>
      </c>
      <c r="D105" s="9" t="s">
        <v>155</v>
      </c>
      <c r="E105" s="9" t="s">
        <v>228</v>
      </c>
      <c r="F105" s="10">
        <f>IFERROR(VLOOKUP($A105,ImportDataWA!$A$14:$BB$200,9,FALSE),0)</f>
        <v>202</v>
      </c>
      <c r="G105" s="11">
        <f>IFERROR(VLOOKUP($A105,ImportDataWA!$A$12:$BB$200,10,FALSE),0)</f>
        <v>635744.60198799649</v>
      </c>
      <c r="H105" s="11">
        <f>IFERROR(VLOOKUP($A105,ImportDataWA!$A$12:$BB$200,14,FALSE),0)</f>
        <v>2686.9647424242426</v>
      </c>
      <c r="I105" s="11">
        <f>IFERROR(VLOOKUP($A105,ImportDataWA!$A$12:$BB$200,18,FALSE),0)</f>
        <v>2653.9694545454545</v>
      </c>
      <c r="J105" s="10">
        <f>IFERROR(VLOOKUP($A105,ImportDataWA!$A$12:$BB$200,5,FALSE),0)</f>
        <v>13</v>
      </c>
      <c r="K105" s="11">
        <f>IFERROR(VLOOKUP($A105,ImportDataWA!$A$12:$BB$200,7,FALSE),0)</f>
        <v>49242.42424242424</v>
      </c>
      <c r="L105" s="10">
        <f>IFERROR(VLOOKUP($A105,ImportDataWA!$A$12:$BB$200,3,FALSE),0)</f>
        <v>1</v>
      </c>
      <c r="M105" s="10">
        <f>IFERROR(VLOOKUP($A105,ImportDataWA!$A$12:$BB$200,4,FALSE),0)</f>
        <v>4</v>
      </c>
    </row>
    <row r="106" spans="1:13" x14ac:dyDescent="0.25">
      <c r="A106" t="s">
        <v>351</v>
      </c>
      <c r="B106" s="86" t="s">
        <v>219</v>
      </c>
      <c r="C106" s="9" t="s">
        <v>147</v>
      </c>
      <c r="D106" s="9" t="s">
        <v>155</v>
      </c>
      <c r="E106" s="9" t="s">
        <v>228</v>
      </c>
      <c r="F106" s="10">
        <f>IFERROR(VLOOKUP($A106,ImportDataWA!$A$14:$BB$200,9,FALSE),0)</f>
        <v>207</v>
      </c>
      <c r="G106" s="11">
        <f>IFERROR(VLOOKUP($A106,ImportDataWA!$A$12:$BB$200,10,FALSE),0)</f>
        <v>695638.74932069099</v>
      </c>
      <c r="H106" s="11">
        <f>IFERROR(VLOOKUP($A106,ImportDataWA!$A$12:$BB$200,14,FALSE),0)</f>
        <v>1839.5334043535381</v>
      </c>
      <c r="I106" s="11">
        <f>IFERROR(VLOOKUP($A106,ImportDataWA!$A$12:$BB$200,18,FALSE),0)</f>
        <v>8173.2235757575754</v>
      </c>
      <c r="J106" s="10">
        <f>IFERROR(VLOOKUP($A106,ImportDataWA!$A$12:$BB$200,5,FALSE),0)</f>
        <v>10</v>
      </c>
      <c r="K106" s="11">
        <f>IFERROR(VLOOKUP($A106,ImportDataWA!$A$12:$BB$200,7,FALSE),0)</f>
        <v>68560.606060606064</v>
      </c>
      <c r="L106" s="10">
        <f>IFERROR(VLOOKUP($A106,ImportDataWA!$A$12:$BB$200,3,FALSE),0)</f>
        <v>3</v>
      </c>
      <c r="M106" s="10">
        <f>IFERROR(VLOOKUP($A106,ImportDataWA!$A$12:$BB$200,4,FALSE),0)</f>
        <v>4</v>
      </c>
    </row>
    <row r="107" spans="1:13" x14ac:dyDescent="0.25">
      <c r="A107" s="185" t="s">
        <v>345</v>
      </c>
      <c r="B107" s="86" t="s">
        <v>219</v>
      </c>
      <c r="C107" s="9" t="s">
        <v>470</v>
      </c>
      <c r="D107" s="9" t="s">
        <v>155</v>
      </c>
      <c r="E107" s="9" t="s">
        <v>228</v>
      </c>
      <c r="F107" s="10">
        <f>IFERROR(VLOOKUP($A107,ImportDataWA!$A$14:$BB$200,9,FALSE),0)</f>
        <v>180</v>
      </c>
      <c r="G107" s="11">
        <f>IFERROR(VLOOKUP($A107,ImportDataWA!$A$12:$BB$200,10,FALSE),0)</f>
        <v>573797.51471936889</v>
      </c>
      <c r="H107" s="11">
        <f>IFERROR(VLOOKUP($A107,ImportDataWA!$A$12:$BB$200,14,FALSE),0)</f>
        <v>16231.823901515148</v>
      </c>
      <c r="I107" s="11">
        <f>IFERROR(VLOOKUP($A107,ImportDataWA!$A$12:$BB$200,18,FALSE),0)</f>
        <v>9670.6832597557077</v>
      </c>
      <c r="J107" s="10">
        <f>IFERROR(VLOOKUP($A107,ImportDataWA!$A$12:$BB$200,5,FALSE),0)</f>
        <v>12</v>
      </c>
      <c r="K107" s="11">
        <f>IFERROR(VLOOKUP($A107,ImportDataWA!$A$12:$BB$200,7,FALSE),0)</f>
        <v>49242.424242424226</v>
      </c>
      <c r="L107" s="10">
        <f>IFERROR(VLOOKUP($A107,ImportDataWA!$A$12:$BB$200,3,FALSE),0)</f>
        <v>1</v>
      </c>
      <c r="M107" s="10">
        <f>IFERROR(VLOOKUP($A107,ImportDataWA!$A$12:$BB$200,4,FALSE),0)</f>
        <v>9</v>
      </c>
    </row>
    <row r="108" spans="1:13" x14ac:dyDescent="0.25">
      <c r="A108" s="77" t="s">
        <v>357</v>
      </c>
      <c r="B108" s="86" t="s">
        <v>219</v>
      </c>
      <c r="C108" s="9" t="s">
        <v>147</v>
      </c>
      <c r="D108" s="9" t="s">
        <v>155</v>
      </c>
      <c r="E108" s="9" t="s">
        <v>228</v>
      </c>
      <c r="F108" s="10">
        <f>IFERROR(VLOOKUP($A108,ImportDataWA!$A$14:$BB$200,9,FALSE),0)</f>
        <v>149</v>
      </c>
      <c r="G108" s="11">
        <f>IFERROR(VLOOKUP($A108,ImportDataWA!$A$12:$BB$200,10,FALSE),0)</f>
        <v>456818.22117322008</v>
      </c>
      <c r="H108" s="11">
        <f>IFERROR(VLOOKUP($A108,ImportDataWA!$A$12:$BB$200,14,FALSE),0)</f>
        <v>5218.345159090909</v>
      </c>
      <c r="I108" s="11">
        <f>IFERROR(VLOOKUP($A108,ImportDataWA!$A$12:$BB$200,18,FALSE),0)</f>
        <v>27879.641416666669</v>
      </c>
      <c r="J108" s="10">
        <f>IFERROR(VLOOKUP($A108,ImportDataWA!$A$12:$BB$200,5,FALSE),0)</f>
        <v>4</v>
      </c>
      <c r="K108" s="11">
        <f>IFERROR(VLOOKUP($A108,ImportDataWA!$A$12:$BB$200,7,FALSE),0)</f>
        <v>22727.272727272728</v>
      </c>
      <c r="L108" s="10">
        <f>IFERROR(VLOOKUP($A108,ImportDataWA!$A$12:$BB$200,3,FALSE),0)</f>
        <v>2</v>
      </c>
      <c r="M108" s="10">
        <f>IFERROR(VLOOKUP($A108,ImportDataWA!$A$12:$BB$200,4,FALSE),0)</f>
        <v>3</v>
      </c>
    </row>
    <row r="109" spans="1:13" x14ac:dyDescent="0.25">
      <c r="A109" s="185" t="s">
        <v>32</v>
      </c>
      <c r="B109" s="86" t="s">
        <v>219</v>
      </c>
      <c r="C109" s="9" t="s">
        <v>71</v>
      </c>
      <c r="D109" s="9" t="s">
        <v>165</v>
      </c>
      <c r="E109" s="211" t="s">
        <v>505</v>
      </c>
      <c r="F109" s="10">
        <f>IFERROR(VLOOKUP($A109,ImportDataWA!$A$14:$BB$200,9,FALSE),0)</f>
        <v>238</v>
      </c>
      <c r="G109" s="11">
        <f>IFERROR(VLOOKUP($A109,ImportDataWA!$A$12:$BB$200,10,FALSE),0)</f>
        <v>612246.39999050274</v>
      </c>
      <c r="H109" s="11">
        <f>IFERROR(VLOOKUP($A109,ImportDataWA!$A$12:$BB$200,14,FALSE),0)</f>
        <v>0</v>
      </c>
      <c r="I109" s="11">
        <f>IFERROR(VLOOKUP($A109,ImportDataWA!$A$12:$BB$200,18,FALSE),0)</f>
        <v>0</v>
      </c>
      <c r="J109" s="10">
        <f>IFERROR(VLOOKUP($A109,ImportDataWA!$A$12:$BB$200,5,FALSE),0)</f>
        <v>17</v>
      </c>
      <c r="K109" s="11">
        <f>IFERROR(VLOOKUP($A109,ImportDataWA!$A$12:$BB$200,7,FALSE),0)</f>
        <v>72424.242424242417</v>
      </c>
      <c r="L109" s="10">
        <f>IFERROR(VLOOKUP($A109,ImportDataWA!$A$12:$BB$200,3,FALSE),0)</f>
        <v>7</v>
      </c>
      <c r="M109" s="10">
        <f>IFERROR(VLOOKUP($A109,ImportDataWA!$A$12:$BB$200,4,FALSE),0)</f>
        <v>9</v>
      </c>
    </row>
    <row r="110" spans="1:13" x14ac:dyDescent="0.25">
      <c r="A110" s="185" t="s">
        <v>46</v>
      </c>
      <c r="B110" s="86" t="s">
        <v>219</v>
      </c>
      <c r="C110" s="9" t="s">
        <v>71</v>
      </c>
      <c r="D110" s="9" t="s">
        <v>165</v>
      </c>
      <c r="E110" s="211" t="s">
        <v>505</v>
      </c>
      <c r="F110" s="10">
        <f>IFERROR(VLOOKUP($A110,ImportDataWA!$A$14:$BB$200,9,FALSE),0)</f>
        <v>183</v>
      </c>
      <c r="G110" s="11">
        <f>IFERROR(VLOOKUP($A110,ImportDataWA!$A$12:$BB$200,10,FALSE),0)</f>
        <v>534911.50862857024</v>
      </c>
      <c r="H110" s="11">
        <f>IFERROR(VLOOKUP($A110,ImportDataWA!$A$12:$BB$200,14,FALSE),0)</f>
        <v>750.75757575757564</v>
      </c>
      <c r="I110" s="11">
        <f>IFERROR(VLOOKUP($A110,ImportDataWA!$A$12:$BB$200,18,FALSE),0)</f>
        <v>7029.8673711481415</v>
      </c>
      <c r="J110" s="10">
        <f>IFERROR(VLOOKUP($A110,ImportDataWA!$A$12:$BB$200,5,FALSE),0)</f>
        <v>15</v>
      </c>
      <c r="K110" s="11">
        <f>IFERROR(VLOOKUP($A110,ImportDataWA!$A$12:$BB$200,7,FALSE),0)</f>
        <v>72727.272727272721</v>
      </c>
      <c r="L110" s="10">
        <f>IFERROR(VLOOKUP($A110,ImportDataWA!$A$12:$BB$200,3,FALSE),0)</f>
        <v>7</v>
      </c>
      <c r="M110" s="10">
        <f>IFERROR(VLOOKUP($A110,ImportDataWA!$A$12:$BB$200,4,FALSE),0)</f>
        <v>6</v>
      </c>
    </row>
    <row r="111" spans="1:13" x14ac:dyDescent="0.25">
      <c r="A111" s="185" t="s">
        <v>51</v>
      </c>
      <c r="B111" s="86" t="s">
        <v>219</v>
      </c>
      <c r="C111" s="9" t="s">
        <v>71</v>
      </c>
      <c r="D111" s="9" t="s">
        <v>165</v>
      </c>
      <c r="E111" s="211" t="s">
        <v>505</v>
      </c>
      <c r="F111" s="10">
        <f>IFERROR(VLOOKUP($A111,ImportDataWA!$A$14:$BB$200,9,FALSE),0)</f>
        <v>48</v>
      </c>
      <c r="G111" s="11">
        <f>IFERROR(VLOOKUP($A111,ImportDataWA!$A$12:$BB$200,10,FALSE),0)</f>
        <v>556762.97115748317</v>
      </c>
      <c r="H111" s="11">
        <f>IFERROR(VLOOKUP($A111,ImportDataWA!$A$12:$BB$200,14,FALSE),0)</f>
        <v>0</v>
      </c>
      <c r="I111" s="11">
        <f>IFERROR(VLOOKUP($A111,ImportDataWA!$A$12:$BB$200,18,FALSE),0)</f>
        <v>55595.255753093326</v>
      </c>
      <c r="J111" s="10">
        <f>IFERROR(VLOOKUP($A111,ImportDataWA!$A$12:$BB$200,5,FALSE),0)</f>
        <v>0</v>
      </c>
      <c r="K111" s="11">
        <f>IFERROR(VLOOKUP($A111,ImportDataWA!$A$12:$BB$200,7,FALSE),0)</f>
        <v>0</v>
      </c>
      <c r="L111" s="10">
        <f>IFERROR(VLOOKUP($A111,ImportDataWA!$A$12:$BB$200,3,FALSE),0)</f>
        <v>0</v>
      </c>
      <c r="M111" s="10">
        <f>IFERROR(VLOOKUP($A111,ImportDataWA!$A$12:$BB$200,4,FALSE),0)</f>
        <v>0</v>
      </c>
    </row>
    <row r="112" spans="1:13" x14ac:dyDescent="0.25">
      <c r="A112" s="192" t="s">
        <v>409</v>
      </c>
      <c r="B112" s="245" t="s">
        <v>278</v>
      </c>
      <c r="C112" s="189" t="s">
        <v>278</v>
      </c>
      <c r="D112" s="189" t="s">
        <v>165</v>
      </c>
      <c r="E112" s="189" t="s">
        <v>278</v>
      </c>
      <c r="F112" s="10">
        <f>IFERROR(VLOOKUP($A112,ImportDataWA!$A$14:$BB$200,9,FALSE),0)</f>
        <v>0</v>
      </c>
      <c r="G112" s="11">
        <f>IFERROR(VLOOKUP($A112,ImportDataWA!$A$12:$BB$200,10,FALSE),0)</f>
        <v>0</v>
      </c>
      <c r="H112" s="11">
        <f>IFERROR(VLOOKUP($A112,ImportDataWA!$A$12:$BB$200,14,FALSE),0)</f>
        <v>0</v>
      </c>
      <c r="I112" s="11">
        <f>IFERROR(VLOOKUP($A112,ImportDataWA!$A$12:$BB$200,18,FALSE),0)</f>
        <v>0</v>
      </c>
      <c r="J112" s="10">
        <f>IFERROR(VLOOKUP($A112,ImportDataWA!$A$12:$BB$200,5,FALSE),0)</f>
        <v>0</v>
      </c>
      <c r="K112" s="11">
        <f>IFERROR(VLOOKUP($A112,ImportDataWA!$A$12:$BB$200,7,FALSE),0)</f>
        <v>0</v>
      </c>
      <c r="L112" s="10">
        <f>IFERROR(VLOOKUP($A112,ImportDataWA!$A$12:$BB$200,3,FALSE),0)</f>
        <v>0</v>
      </c>
      <c r="M112" s="10">
        <f>IFERROR(VLOOKUP($A112,ImportDataWA!$A$12:$BB$200,4,FALSE),0)</f>
        <v>0</v>
      </c>
    </row>
    <row r="113" spans="1:16381" x14ac:dyDescent="0.25">
      <c r="A113" s="9" t="s">
        <v>75</v>
      </c>
      <c r="B113" s="86" t="s">
        <v>219</v>
      </c>
      <c r="C113" s="9" t="s">
        <v>71</v>
      </c>
      <c r="D113" s="9" t="s">
        <v>165</v>
      </c>
      <c r="E113" s="211" t="s">
        <v>505</v>
      </c>
      <c r="F113" s="10">
        <f>IFERROR(VLOOKUP($A113,ImportDataWA!$A$14:$BB$200,9,FALSE),0)</f>
        <v>254</v>
      </c>
      <c r="G113" s="11">
        <f>IFERROR(VLOOKUP($A113,ImportDataWA!$A$12:$BB$200,10,FALSE),0)</f>
        <v>671091.73018172442</v>
      </c>
      <c r="H113" s="11">
        <f>IFERROR(VLOOKUP($A113,ImportDataWA!$A$12:$BB$200,14,FALSE),0)</f>
        <v>0</v>
      </c>
      <c r="I113" s="11">
        <f>IFERROR(VLOOKUP($A113,ImportDataWA!$A$12:$BB$200,18,FALSE),0)</f>
        <v>3797.412102113658</v>
      </c>
      <c r="J113" s="10">
        <f>IFERROR(VLOOKUP($A113,ImportDataWA!$A$12:$BB$200,5,FALSE),0)</f>
        <v>16</v>
      </c>
      <c r="K113" s="11">
        <f>IFERROR(VLOOKUP($A113,ImportDataWA!$A$12:$BB$200,7,FALSE),0)</f>
        <v>70454.545454545456</v>
      </c>
      <c r="L113" s="10">
        <f>IFERROR(VLOOKUP($A113,ImportDataWA!$A$12:$BB$200,3,FALSE),0)</f>
        <v>6</v>
      </c>
      <c r="M113" s="10">
        <f>IFERROR(VLOOKUP($A113,ImportDataWA!$A$12:$BB$200,4,FALSE),0)</f>
        <v>10</v>
      </c>
    </row>
    <row r="114" spans="1:16381" x14ac:dyDescent="0.25">
      <c r="A114" t="s">
        <v>85</v>
      </c>
      <c r="B114" s="86" t="s">
        <v>219</v>
      </c>
      <c r="C114" s="9" t="s">
        <v>71</v>
      </c>
      <c r="D114" s="9" t="s">
        <v>165</v>
      </c>
      <c r="E114" s="211" t="s">
        <v>505</v>
      </c>
      <c r="F114" s="10">
        <f>IFERROR(VLOOKUP($A114,ImportDataWA!$A$14:$BB$200,9,FALSE),0)</f>
        <v>172</v>
      </c>
      <c r="G114" s="11">
        <f>IFERROR(VLOOKUP($A114,ImportDataWA!$A$12:$BB$200,10,FALSE),0)</f>
        <v>635985.12012878782</v>
      </c>
      <c r="H114" s="11">
        <f>IFERROR(VLOOKUP($A114,ImportDataWA!$A$12:$BB$200,14,FALSE),0)</f>
        <v>0</v>
      </c>
      <c r="I114" s="11">
        <f>IFERROR(VLOOKUP($A114,ImportDataWA!$A$12:$BB$200,18,FALSE),0)</f>
        <v>1766.140848484848</v>
      </c>
      <c r="J114" s="10">
        <f>IFERROR(VLOOKUP($A114,ImportDataWA!$A$12:$BB$200,5,FALSE),0)</f>
        <v>12</v>
      </c>
      <c r="K114" s="11">
        <f>IFERROR(VLOOKUP($A114,ImportDataWA!$A$12:$BB$200,7,FALSE),0)</f>
        <v>75151.515151515152</v>
      </c>
      <c r="L114" s="10">
        <f>IFERROR(VLOOKUP($A114,ImportDataWA!$A$12:$BB$200,3,FALSE),0)</f>
        <v>1</v>
      </c>
      <c r="M114" s="10">
        <f>IFERROR(VLOOKUP($A114,ImportDataWA!$A$12:$BB$200,4,FALSE),0)</f>
        <v>11</v>
      </c>
    </row>
    <row r="115" spans="1:16381" x14ac:dyDescent="0.25">
      <c r="A115" s="185" t="s">
        <v>364</v>
      </c>
      <c r="B115" s="86" t="s">
        <v>219</v>
      </c>
      <c r="C115" s="9" t="s">
        <v>71</v>
      </c>
      <c r="D115" s="9" t="s">
        <v>165</v>
      </c>
      <c r="E115" s="211" t="s">
        <v>505</v>
      </c>
      <c r="F115" s="10">
        <f>IFERROR(VLOOKUP($A115,ImportDataWA!$A$14:$BB$200,9,FALSE),0)</f>
        <v>185</v>
      </c>
      <c r="G115" s="11">
        <f>IFERROR(VLOOKUP($A115,ImportDataWA!$A$12:$BB$200,10,FALSE),0)</f>
        <v>408747.02575764718</v>
      </c>
      <c r="H115" s="11">
        <f>IFERROR(VLOOKUP($A115,ImportDataWA!$A$12:$BB$200,14,FALSE),0)</f>
        <v>4384.7648712121209</v>
      </c>
      <c r="I115" s="11">
        <f>IFERROR(VLOOKUP($A115,ImportDataWA!$A$12:$BB$200,18,FALSE),0)</f>
        <v>6799.9006818181824</v>
      </c>
      <c r="J115" s="10">
        <f>IFERROR(VLOOKUP($A115,ImportDataWA!$A$12:$BB$200,5,FALSE),0)</f>
        <v>1</v>
      </c>
      <c r="K115" s="11">
        <f>IFERROR(VLOOKUP($A115,ImportDataWA!$A$12:$BB$200,7,FALSE),0)</f>
        <v>3030.3030303030305</v>
      </c>
      <c r="L115" s="10">
        <f>IFERROR(VLOOKUP($A115,ImportDataWA!$A$12:$BB$200,3,FALSE),0)</f>
        <v>1</v>
      </c>
      <c r="M115" s="10">
        <f>IFERROR(VLOOKUP($A115,ImportDataWA!$A$12:$BB$200,4,FALSE),0)</f>
        <v>0</v>
      </c>
    </row>
    <row r="116" spans="1:16381" x14ac:dyDescent="0.25">
      <c r="A116" s="192" t="s">
        <v>389</v>
      </c>
      <c r="B116" s="245" t="s">
        <v>278</v>
      </c>
      <c r="C116" s="189" t="s">
        <v>278</v>
      </c>
      <c r="D116" s="189" t="s">
        <v>162</v>
      </c>
      <c r="E116" s="189" t="s">
        <v>278</v>
      </c>
      <c r="F116" s="10">
        <f>IFERROR(VLOOKUP($A116,ImportDataWA!$A$14:$BB$200,9,FALSE),0)</f>
        <v>0</v>
      </c>
      <c r="G116" s="11">
        <f>IFERROR(VLOOKUP($A116,ImportDataWA!$A$12:$BB$200,10,FALSE),0)</f>
        <v>0</v>
      </c>
      <c r="H116" s="11">
        <f>IFERROR(VLOOKUP($A116,ImportDataWA!$A$12:$BB$200,14,FALSE),0)</f>
        <v>0</v>
      </c>
      <c r="I116" s="11">
        <f>IFERROR(VLOOKUP($A116,ImportDataWA!$A$12:$BB$200,18,FALSE),0)</f>
        <v>0</v>
      </c>
      <c r="J116" s="10">
        <f>IFERROR(VLOOKUP($A116,ImportDataWA!$A$12:$BB$200,5,FALSE),0)</f>
        <v>0</v>
      </c>
      <c r="K116" s="11">
        <f>IFERROR(VLOOKUP($A116,ImportDataWA!$A$12:$BB$200,7,FALSE),0)</f>
        <v>0</v>
      </c>
      <c r="L116" s="10">
        <f>IFERROR(VLOOKUP($A116,ImportDataWA!$A$12:$BB$200,3,FALSE),0)</f>
        <v>0</v>
      </c>
      <c r="M116" s="10">
        <f>IFERROR(VLOOKUP($A116,ImportDataWA!$A$12:$BB$200,4,FALSE),0)</f>
        <v>0</v>
      </c>
    </row>
    <row r="117" spans="1:16381" x14ac:dyDescent="0.25">
      <c r="A117" s="192" t="s">
        <v>393</v>
      </c>
      <c r="B117" s="245" t="s">
        <v>278</v>
      </c>
      <c r="C117" s="189" t="s">
        <v>278</v>
      </c>
      <c r="D117" s="189" t="s">
        <v>162</v>
      </c>
      <c r="E117" s="189" t="s">
        <v>278</v>
      </c>
      <c r="F117" s="10">
        <f>IFERROR(VLOOKUP($A117,ImportDataWA!$A$14:$BB$200,9,FALSE),0)</f>
        <v>0</v>
      </c>
      <c r="G117" s="11">
        <f>IFERROR(VLOOKUP($A117,ImportDataWA!$A$12:$BB$200,10,FALSE),0)</f>
        <v>0</v>
      </c>
      <c r="H117" s="11">
        <f>IFERROR(VLOOKUP($A117,ImportDataWA!$A$12:$BB$200,14,FALSE),0)</f>
        <v>0</v>
      </c>
      <c r="I117" s="11">
        <f>IFERROR(VLOOKUP($A117,ImportDataWA!$A$12:$BB$200,18,FALSE),0)</f>
        <v>0</v>
      </c>
      <c r="J117" s="10">
        <f>IFERROR(VLOOKUP($A117,ImportDataWA!$A$12:$BB$200,5,FALSE),0)</f>
        <v>0</v>
      </c>
      <c r="K117" s="11">
        <f>IFERROR(VLOOKUP($A117,ImportDataWA!$A$12:$BB$200,7,FALSE),0)</f>
        <v>0</v>
      </c>
      <c r="L117" s="10">
        <f>IFERROR(VLOOKUP($A117,ImportDataWA!$A$12:$BB$200,3,FALSE),0)</f>
        <v>0</v>
      </c>
      <c r="M117" s="10">
        <f>IFERROR(VLOOKUP($A117,ImportDataWA!$A$12:$BB$200,4,FALSE),0)</f>
        <v>0</v>
      </c>
    </row>
    <row r="118" spans="1:16381" x14ac:dyDescent="0.25">
      <c r="A118" s="9" t="s">
        <v>12</v>
      </c>
      <c r="B118" s="86" t="s">
        <v>218</v>
      </c>
      <c r="C118" s="9" t="s">
        <v>471</v>
      </c>
      <c r="D118" s="9" t="s">
        <v>162</v>
      </c>
      <c r="E118" s="9" t="s">
        <v>230</v>
      </c>
      <c r="F118" s="10">
        <f>IFERROR(VLOOKUP($A118,ImportDataWA!$A$14:$BB$200,9,FALSE),0)</f>
        <v>62</v>
      </c>
      <c r="G118" s="11">
        <f>IFERROR(VLOOKUP($A118,ImportDataWA!$A$12:$BB$200,10,FALSE),0)</f>
        <v>1169531.3124277159</v>
      </c>
      <c r="H118" s="11">
        <f>IFERROR(VLOOKUP($A118,ImportDataWA!$A$12:$BB$200,14,FALSE),0)</f>
        <v>32702.267280303036</v>
      </c>
      <c r="I118" s="11">
        <f>IFERROR(VLOOKUP($A118,ImportDataWA!$A$12:$BB$200,18,FALSE),0)</f>
        <v>10323.435651515152</v>
      </c>
      <c r="J118" s="10">
        <f>IFERROR(VLOOKUP($A118,ImportDataWA!$A$12:$BB$200,5,FALSE),0)</f>
        <v>4</v>
      </c>
      <c r="K118" s="11">
        <f>IFERROR(VLOOKUP($A118,ImportDataWA!$A$12:$BB$200,7,FALSE),0)</f>
        <v>107575.75757575758</v>
      </c>
      <c r="L118" s="10">
        <f>IFERROR(VLOOKUP($A118,ImportDataWA!$A$12:$BB$200,3,FALSE),0)</f>
        <v>1</v>
      </c>
      <c r="M118" s="10">
        <f>IFERROR(VLOOKUP($A118,ImportDataWA!$A$12:$BB$200,4,FALSE),0)</f>
        <v>4</v>
      </c>
    </row>
    <row r="119" spans="1:16381" x14ac:dyDescent="0.25">
      <c r="A119" s="77" t="s">
        <v>484</v>
      </c>
      <c r="B119" s="245" t="s">
        <v>278</v>
      </c>
      <c r="C119" s="245" t="s">
        <v>278</v>
      </c>
      <c r="D119" s="9" t="s">
        <v>162</v>
      </c>
      <c r="E119" s="245" t="s">
        <v>278</v>
      </c>
      <c r="F119" s="10">
        <f>IFERROR(VLOOKUP($A119,ImportDataWA!$A$14:$BB$200,9,FALSE),0)</f>
        <v>0</v>
      </c>
      <c r="G119" s="11">
        <f>IFERROR(VLOOKUP($A119,ImportDataWA!$A$12:$BB$200,10,FALSE),0)</f>
        <v>0</v>
      </c>
      <c r="H119" s="11">
        <f>IFERROR(VLOOKUP($A119,ImportDataWA!$A$12:$BB$200,14,FALSE),0)</f>
        <v>0</v>
      </c>
      <c r="I119" s="11">
        <f>IFERROR(VLOOKUP($A119,ImportDataWA!$A$12:$BB$200,18,FALSE),0)</f>
        <v>0</v>
      </c>
      <c r="J119" s="10">
        <f>IFERROR(VLOOKUP($A119,ImportDataWA!$A$12:$BB$200,5,FALSE),0)</f>
        <v>0</v>
      </c>
      <c r="K119" s="11">
        <f>IFERROR(VLOOKUP($A119,ImportDataWA!$A$12:$BB$200,7,FALSE),0)</f>
        <v>0</v>
      </c>
      <c r="L119" s="10">
        <f>IFERROR(VLOOKUP($A119,ImportDataWA!$A$12:$BB$200,3,FALSE),0)</f>
        <v>0</v>
      </c>
      <c r="M119" s="10">
        <f>IFERROR(VLOOKUP($A119,ImportDataWA!$A$12:$BB$200,4,FALSE),0)</f>
        <v>0</v>
      </c>
    </row>
    <row r="120" spans="1:16381" x14ac:dyDescent="0.25">
      <c r="A120" s="185" t="s">
        <v>25</v>
      </c>
      <c r="B120" s="86" t="s">
        <v>218</v>
      </c>
      <c r="C120" s="9" t="s">
        <v>472</v>
      </c>
      <c r="D120" s="9" t="s">
        <v>162</v>
      </c>
      <c r="E120" s="9" t="s">
        <v>230</v>
      </c>
      <c r="F120" s="10">
        <f>IFERROR(VLOOKUP($A120,ImportDataWA!$A$14:$BB$200,9,FALSE),0)</f>
        <v>48</v>
      </c>
      <c r="G120" s="11">
        <f>IFERROR(VLOOKUP($A120,ImportDataWA!$A$12:$BB$200,10,FALSE),0)</f>
        <v>780293.19837961462</v>
      </c>
      <c r="H120" s="11">
        <f>IFERROR(VLOOKUP($A120,ImportDataWA!$A$12:$BB$200,14,FALSE),0)</f>
        <v>25605.31422727272</v>
      </c>
      <c r="I120" s="11">
        <f>IFERROR(VLOOKUP($A120,ImportDataWA!$A$12:$BB$200,18,FALSE),0)</f>
        <v>0</v>
      </c>
      <c r="J120" s="10">
        <f>IFERROR(VLOOKUP($A120,ImportDataWA!$A$12:$BB$200,5,FALSE),0)</f>
        <v>1</v>
      </c>
      <c r="K120" s="11">
        <f>IFERROR(VLOOKUP($A120,ImportDataWA!$A$12:$BB$200,7,FALSE),0)</f>
        <v>27272.727272727272</v>
      </c>
      <c r="L120" s="10">
        <f>IFERROR(VLOOKUP($A120,ImportDataWA!$A$12:$BB$200,3,FALSE),0)</f>
        <v>0</v>
      </c>
      <c r="M120" s="10">
        <f>IFERROR(VLOOKUP($A120,ImportDataWA!$A$12:$BB$200,4,FALSE),0)</f>
        <v>1</v>
      </c>
    </row>
    <row r="121" spans="1:16381" x14ac:dyDescent="0.25">
      <c r="A121" s="185" t="s">
        <v>27</v>
      </c>
      <c r="B121" s="86" t="s">
        <v>383</v>
      </c>
      <c r="C121" s="9" t="s">
        <v>471</v>
      </c>
      <c r="D121" s="9" t="s">
        <v>162</v>
      </c>
      <c r="E121" s="9" t="s">
        <v>336</v>
      </c>
      <c r="F121" s="10">
        <f>IFERROR(VLOOKUP($A121,ImportDataWA!$A$14:$BB$200,9,FALSE),0)</f>
        <v>151</v>
      </c>
      <c r="G121" s="11">
        <f>IFERROR(VLOOKUP($A121,ImportDataWA!$A$12:$BB$200,10,FALSE),0)</f>
        <v>860723.18648936297</v>
      </c>
      <c r="H121" s="11">
        <f>IFERROR(VLOOKUP($A121,ImportDataWA!$A$12:$BB$200,14,FALSE),0)</f>
        <v>26726.54514533675</v>
      </c>
      <c r="I121" s="11">
        <f>IFERROR(VLOOKUP($A121,ImportDataWA!$A$12:$BB$200,18,FALSE),0)</f>
        <v>6601.6738421170585</v>
      </c>
      <c r="J121" s="10">
        <f>IFERROR(VLOOKUP($A121,ImportDataWA!$A$12:$BB$200,5,FALSE),0)</f>
        <v>4</v>
      </c>
      <c r="K121" s="11">
        <f>IFERROR(VLOOKUP($A121,ImportDataWA!$A$12:$BB$200,7,FALSE),0)</f>
        <v>16666.666666666664</v>
      </c>
      <c r="L121" s="10">
        <f>IFERROR(VLOOKUP($A121,ImportDataWA!$A$12:$BB$200,3,FALSE),0)</f>
        <v>1</v>
      </c>
      <c r="M121" s="10">
        <f>IFERROR(VLOOKUP($A121,ImportDataWA!$A$12:$BB$200,4,FALSE),0)</f>
        <v>2</v>
      </c>
    </row>
    <row r="122" spans="1:16381" x14ac:dyDescent="0.25">
      <c r="A122" s="192" t="s">
        <v>400</v>
      </c>
      <c r="B122" s="245" t="s">
        <v>278</v>
      </c>
      <c r="C122" s="189" t="s">
        <v>278</v>
      </c>
      <c r="D122" s="189" t="s">
        <v>162</v>
      </c>
      <c r="E122" s="189" t="s">
        <v>278</v>
      </c>
      <c r="F122" s="10">
        <f>IFERROR(VLOOKUP($A122,ImportDataWA!$A$14:$BB$200,9,FALSE),0)</f>
        <v>0</v>
      </c>
      <c r="G122" s="11">
        <f>IFERROR(VLOOKUP($A122,ImportDataWA!$A$12:$BB$200,10,FALSE),0)</f>
        <v>0</v>
      </c>
      <c r="H122" s="11">
        <f>IFERROR(VLOOKUP($A122,ImportDataWA!$A$12:$BB$200,14,FALSE),0)</f>
        <v>0</v>
      </c>
      <c r="I122" s="11">
        <f>IFERROR(VLOOKUP($A122,ImportDataWA!$A$12:$BB$200,18,FALSE),0)</f>
        <v>0</v>
      </c>
      <c r="J122" s="10">
        <f>IFERROR(VLOOKUP($A122,ImportDataWA!$A$12:$BB$200,5,FALSE),0)</f>
        <v>0</v>
      </c>
      <c r="K122" s="11">
        <f>IFERROR(VLOOKUP($A122,ImportDataWA!$A$12:$BB$200,7,FALSE),0)</f>
        <v>0</v>
      </c>
      <c r="L122" s="10">
        <f>IFERROR(VLOOKUP($A122,ImportDataWA!$A$12:$BB$200,3,FALSE),0)</f>
        <v>0</v>
      </c>
      <c r="M122" s="10">
        <f>IFERROR(VLOOKUP($A122,ImportDataWA!$A$12:$BB$200,4,FALSE),0)</f>
        <v>0</v>
      </c>
    </row>
    <row r="123" spans="1:16381" x14ac:dyDescent="0.25">
      <c r="A123" s="233" t="s">
        <v>483</v>
      </c>
      <c r="B123" s="245" t="s">
        <v>278</v>
      </c>
      <c r="C123" s="245" t="s">
        <v>278</v>
      </c>
      <c r="D123" s="9" t="s">
        <v>162</v>
      </c>
      <c r="E123" s="245" t="s">
        <v>278</v>
      </c>
      <c r="F123" s="10">
        <f>IFERROR(VLOOKUP($A123,ImportDataWA!$A$14:$BB$200,9,FALSE),0)</f>
        <v>166</v>
      </c>
      <c r="G123" s="11">
        <f>IFERROR(VLOOKUP($A123,ImportDataWA!$A$12:$BB$200,10,FALSE),0)</f>
        <v>411171.24174235965</v>
      </c>
      <c r="H123" s="11">
        <f>IFERROR(VLOOKUP($A123,ImportDataWA!$A$12:$BB$200,14,FALSE),0)</f>
        <v>28281.416572327522</v>
      </c>
      <c r="I123" s="11">
        <f>IFERROR(VLOOKUP($A123,ImportDataWA!$A$12:$BB$200,18,FALSE),0)</f>
        <v>72128.906988213916</v>
      </c>
      <c r="J123" s="10">
        <f>IFERROR(VLOOKUP($A123,ImportDataWA!$A$12:$BB$200,5,FALSE),0)</f>
        <v>0</v>
      </c>
      <c r="K123" s="11">
        <f>IFERROR(VLOOKUP($A123,ImportDataWA!$A$12:$BB$200,7,FALSE),0)</f>
        <v>0</v>
      </c>
      <c r="L123" s="10">
        <f>IFERROR(VLOOKUP($A123,ImportDataWA!$A$12:$BB$200,3,FALSE),0)</f>
        <v>0</v>
      </c>
      <c r="M123" s="10">
        <f>IFERROR(VLOOKUP($A123,ImportDataWA!$A$12:$BB$200,4,FALSE),0)</f>
        <v>0</v>
      </c>
    </row>
    <row r="124" spans="1:16381" x14ac:dyDescent="0.25">
      <c r="A124" s="77" t="s">
        <v>45</v>
      </c>
      <c r="B124" s="86" t="s">
        <v>219</v>
      </c>
      <c r="C124" s="9" t="s">
        <v>150</v>
      </c>
      <c r="D124" s="9" t="s">
        <v>162</v>
      </c>
      <c r="E124" s="9" t="s">
        <v>336</v>
      </c>
      <c r="F124" s="10">
        <f>IFERROR(VLOOKUP($A124,ImportDataWA!$A$14:$BB$200,9,FALSE),0)</f>
        <v>113</v>
      </c>
      <c r="G124" s="11">
        <f>IFERROR(VLOOKUP($A124,ImportDataWA!$A$12:$BB$200,10,FALSE),0)</f>
        <v>302708.25494692329</v>
      </c>
      <c r="H124" s="11">
        <f>IFERROR(VLOOKUP($A124,ImportDataWA!$A$12:$BB$200,14,FALSE),0)</f>
        <v>10911.892613636363</v>
      </c>
      <c r="I124" s="11">
        <f>IFERROR(VLOOKUP($A124,ImportDataWA!$A$12:$BB$200,18,FALSE),0)</f>
        <v>108351.72462734692</v>
      </c>
      <c r="J124" s="10">
        <f>IFERROR(VLOOKUP($A124,ImportDataWA!$A$12:$BB$200,5,FALSE),0)</f>
        <v>0</v>
      </c>
      <c r="K124" s="11">
        <f>IFERROR(VLOOKUP($A124,ImportDataWA!$A$12:$BB$200,7,FALSE),0)</f>
        <v>0</v>
      </c>
      <c r="L124" s="10">
        <f>IFERROR(VLOOKUP($A124,ImportDataWA!$A$12:$BB$200,3,FALSE),0)</f>
        <v>0</v>
      </c>
      <c r="M124" s="10">
        <f>IFERROR(VLOOKUP($A124,ImportDataWA!$A$12:$BB$200,4,FALSE),0)</f>
        <v>0</v>
      </c>
    </row>
    <row r="125" spans="1:16381" x14ac:dyDescent="0.25">
      <c r="A125" s="192" t="s">
        <v>57</v>
      </c>
      <c r="B125" s="245" t="s">
        <v>278</v>
      </c>
      <c r="C125" s="189" t="s">
        <v>278</v>
      </c>
      <c r="D125" s="189" t="s">
        <v>162</v>
      </c>
      <c r="E125" s="189" t="s">
        <v>278</v>
      </c>
      <c r="F125" s="10">
        <f>IFERROR(VLOOKUP($A125,ImportDataWA!$A$14:$BB$200,9,FALSE),0)</f>
        <v>0</v>
      </c>
      <c r="G125" s="11">
        <f>IFERROR(VLOOKUP($A125,ImportDataWA!$A$12:$BB$200,10,FALSE),0)</f>
        <v>0</v>
      </c>
      <c r="H125" s="11">
        <f>IFERROR(VLOOKUP($A125,ImportDataWA!$A$12:$BB$200,14,FALSE),0)</f>
        <v>0</v>
      </c>
      <c r="I125" s="11">
        <f>IFERROR(VLOOKUP($A125,ImportDataWA!$A$12:$BB$200,18,FALSE),0)</f>
        <v>0</v>
      </c>
      <c r="J125" s="10">
        <f>IFERROR(VLOOKUP($A125,ImportDataWA!$A$12:$BB$200,5,FALSE),0)</f>
        <v>0</v>
      </c>
      <c r="K125" s="11">
        <f>IFERROR(VLOOKUP($A125,ImportDataWA!$A$12:$BB$200,7,FALSE),0)</f>
        <v>0</v>
      </c>
      <c r="L125" s="10">
        <f>IFERROR(VLOOKUP($A125,ImportDataWA!$A$12:$BB$200,3,FALSE),0)</f>
        <v>0</v>
      </c>
      <c r="M125" s="10">
        <f>IFERROR(VLOOKUP($A125,ImportDataWA!$A$12:$BB$200,4,FALSE),0)</f>
        <v>0</v>
      </c>
    </row>
    <row r="126" spans="1:16381" x14ac:dyDescent="0.25">
      <c r="A126" s="77" t="s">
        <v>63</v>
      </c>
      <c r="B126" s="86" t="s">
        <v>219</v>
      </c>
      <c r="C126" s="9" t="s">
        <v>471</v>
      </c>
      <c r="D126" t="s">
        <v>162</v>
      </c>
      <c r="E126" s="9" t="s">
        <v>336</v>
      </c>
      <c r="F126" s="10">
        <f>IFERROR(VLOOKUP($A126,ImportDataWA!$A$14:$BB$200,9,FALSE),0)</f>
        <v>212</v>
      </c>
      <c r="G126" s="11">
        <f>IFERROR(VLOOKUP($A126,ImportDataWA!$A$12:$BB$200,10,FALSE),0)</f>
        <v>576423.90321969683</v>
      </c>
      <c r="H126" s="11">
        <f>IFERROR(VLOOKUP($A126,ImportDataWA!$A$12:$BB$200,14,FALSE),0)</f>
        <v>10272.62262121212</v>
      </c>
      <c r="I126" s="11">
        <f>IFERROR(VLOOKUP($A126,ImportDataWA!$A$12:$BB$200,18,FALSE),0)</f>
        <v>1771.7728106060606</v>
      </c>
      <c r="J126" s="10">
        <f>IFERROR(VLOOKUP($A126,ImportDataWA!$A$12:$BB$200,5,FALSE),0)</f>
        <v>15</v>
      </c>
      <c r="K126" s="11">
        <f>IFERROR(VLOOKUP($A126,ImportDataWA!$A$12:$BB$200,7,FALSE),0)</f>
        <v>50757.575757575753</v>
      </c>
      <c r="L126" s="10">
        <f>IFERROR(VLOOKUP($A126,ImportDataWA!$A$12:$BB$200,3,FALSE),0)</f>
        <v>9</v>
      </c>
      <c r="M126" s="10">
        <f>IFERROR(VLOOKUP($A126,ImportDataWA!$A$12:$BB$200,4,FALSE),0)</f>
        <v>8</v>
      </c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77"/>
      <c r="CQ126" s="77"/>
      <c r="CR126" s="77"/>
      <c r="CS126" s="77"/>
      <c r="CT126" s="77"/>
      <c r="CU126" s="77"/>
      <c r="CV126" s="77"/>
      <c r="CW126" s="77"/>
      <c r="CX126" s="77"/>
      <c r="CY126" s="77"/>
      <c r="CZ126" s="77"/>
      <c r="DA126" s="77"/>
      <c r="DB126" s="77"/>
      <c r="DC126" s="77"/>
      <c r="DD126" s="77"/>
      <c r="DE126" s="77"/>
      <c r="DF126" s="77"/>
      <c r="DG126" s="77"/>
      <c r="DH126" s="77"/>
      <c r="DI126" s="77"/>
      <c r="DJ126" s="77"/>
      <c r="DK126" s="77"/>
      <c r="DL126" s="77"/>
      <c r="DM126" s="77"/>
      <c r="DN126" s="77"/>
      <c r="DO126" s="77"/>
      <c r="DP126" s="77"/>
      <c r="DQ126" s="77"/>
      <c r="DR126" s="77"/>
      <c r="DS126" s="77"/>
      <c r="DT126" s="77"/>
      <c r="DU126" s="77"/>
      <c r="DV126" s="77"/>
      <c r="DW126" s="77"/>
      <c r="DX126" s="77"/>
      <c r="DY126" s="77"/>
      <c r="DZ126" s="77"/>
      <c r="EA126" s="77"/>
      <c r="EB126" s="77"/>
      <c r="EC126" s="77"/>
      <c r="ED126" s="77"/>
      <c r="EE126" s="77"/>
      <c r="EF126" s="77"/>
      <c r="EG126" s="77"/>
      <c r="EH126" s="77"/>
      <c r="EI126" s="77"/>
      <c r="EJ126" s="77"/>
      <c r="EK126" s="77"/>
      <c r="EL126" s="77"/>
      <c r="EM126" s="77"/>
      <c r="EN126" s="77"/>
      <c r="EO126" s="77"/>
      <c r="EP126" s="77"/>
      <c r="EQ126" s="77"/>
      <c r="ER126" s="77"/>
      <c r="ES126" s="77"/>
      <c r="ET126" s="77"/>
      <c r="EU126" s="77"/>
      <c r="EV126" s="77"/>
      <c r="EW126" s="77"/>
      <c r="EX126" s="77"/>
      <c r="EY126" s="77"/>
      <c r="EZ126" s="77"/>
      <c r="FA126" s="77"/>
      <c r="FB126" s="77"/>
      <c r="FC126" s="77"/>
      <c r="FD126" s="77"/>
      <c r="FE126" s="77"/>
      <c r="FF126" s="77"/>
      <c r="FG126" s="77"/>
      <c r="FH126" s="77"/>
      <c r="FI126" s="77"/>
      <c r="FJ126" s="77"/>
      <c r="FK126" s="77"/>
      <c r="FL126" s="77"/>
      <c r="FM126" s="77"/>
      <c r="FN126" s="77"/>
      <c r="FO126" s="77"/>
      <c r="FP126" s="77"/>
      <c r="FQ126" s="77"/>
      <c r="FR126" s="77"/>
      <c r="FS126" s="77"/>
      <c r="FT126" s="77"/>
      <c r="FU126" s="77"/>
      <c r="FV126" s="77"/>
      <c r="FW126" s="77"/>
      <c r="FX126" s="77"/>
      <c r="FY126" s="77"/>
      <c r="FZ126" s="77"/>
      <c r="GA126" s="77"/>
      <c r="GB126" s="77"/>
      <c r="GC126" s="77"/>
      <c r="GD126" s="77"/>
      <c r="GE126" s="77"/>
      <c r="GF126" s="77"/>
      <c r="GG126" s="77"/>
      <c r="GH126" s="77"/>
      <c r="GI126" s="77"/>
      <c r="GJ126" s="77"/>
      <c r="GK126" s="77"/>
      <c r="GL126" s="77"/>
      <c r="GM126" s="77"/>
      <c r="GN126" s="77"/>
      <c r="GO126" s="77"/>
      <c r="GP126" s="77"/>
      <c r="GQ126" s="77"/>
      <c r="GR126" s="77"/>
      <c r="GS126" s="77"/>
      <c r="GT126" s="77"/>
      <c r="GU126" s="77"/>
      <c r="GV126" s="77"/>
      <c r="GW126" s="77"/>
      <c r="GX126" s="77"/>
      <c r="GY126" s="77"/>
      <c r="GZ126" s="77"/>
      <c r="HA126" s="77"/>
      <c r="HB126" s="77"/>
      <c r="HC126" s="77"/>
      <c r="HD126" s="77"/>
      <c r="HE126" s="77"/>
      <c r="HF126" s="77"/>
      <c r="HG126" s="77"/>
      <c r="HH126" s="77"/>
      <c r="HI126" s="77"/>
      <c r="HJ126" s="77"/>
      <c r="HK126" s="77"/>
      <c r="HL126" s="77"/>
      <c r="HM126" s="77"/>
      <c r="HN126" s="77"/>
      <c r="HO126" s="77"/>
      <c r="HP126" s="77"/>
      <c r="HQ126" s="77"/>
      <c r="HR126" s="77"/>
      <c r="HS126" s="77"/>
      <c r="HT126" s="77"/>
      <c r="HU126" s="77"/>
      <c r="HV126" s="77"/>
      <c r="HW126" s="77"/>
      <c r="HX126" s="77"/>
      <c r="HY126" s="77"/>
      <c r="HZ126" s="77"/>
      <c r="IA126" s="77"/>
      <c r="IB126" s="77"/>
      <c r="IC126" s="77"/>
      <c r="ID126" s="77"/>
      <c r="IE126" s="77"/>
      <c r="IF126" s="77"/>
      <c r="IG126" s="77"/>
      <c r="IH126" s="77"/>
      <c r="II126" s="77"/>
      <c r="IJ126" s="77"/>
      <c r="IK126" s="77"/>
      <c r="IL126" s="77"/>
      <c r="IM126" s="77"/>
      <c r="IN126" s="77"/>
      <c r="IO126" s="77"/>
      <c r="IP126" s="77"/>
      <c r="IQ126" s="77"/>
      <c r="IR126" s="77"/>
      <c r="IS126" s="77"/>
      <c r="IT126" s="77"/>
      <c r="IU126" s="77"/>
      <c r="IV126" s="77"/>
      <c r="IW126" s="77"/>
      <c r="IX126" s="77"/>
      <c r="IY126" s="77"/>
      <c r="IZ126" s="77"/>
      <c r="JA126" s="77"/>
      <c r="JB126" s="77"/>
      <c r="JC126" s="77"/>
      <c r="JD126" s="77"/>
      <c r="JE126" s="77"/>
      <c r="JF126" s="77"/>
      <c r="JG126" s="77"/>
      <c r="JH126" s="77"/>
      <c r="JI126" s="77"/>
      <c r="JJ126" s="77"/>
      <c r="JK126" s="77"/>
      <c r="JL126" s="77"/>
      <c r="JM126" s="77"/>
      <c r="JN126" s="77"/>
      <c r="JO126" s="77"/>
      <c r="JP126" s="77"/>
      <c r="JQ126" s="77"/>
      <c r="JR126" s="77"/>
      <c r="JS126" s="77"/>
      <c r="JT126" s="77"/>
      <c r="JU126" s="77"/>
      <c r="JV126" s="77"/>
      <c r="JW126" s="77"/>
      <c r="JX126" s="77"/>
      <c r="JY126" s="77"/>
      <c r="JZ126" s="77"/>
      <c r="KA126" s="77"/>
      <c r="KB126" s="77"/>
      <c r="KC126" s="77"/>
      <c r="KD126" s="77"/>
      <c r="KE126" s="77"/>
      <c r="KF126" s="77"/>
      <c r="KG126" s="77"/>
      <c r="KH126" s="77"/>
      <c r="KI126" s="77"/>
      <c r="KJ126" s="77"/>
      <c r="KK126" s="77"/>
      <c r="KL126" s="77"/>
      <c r="KM126" s="77"/>
      <c r="KN126" s="77"/>
      <c r="KO126" s="77"/>
      <c r="KP126" s="77"/>
      <c r="KQ126" s="77"/>
      <c r="KR126" s="77"/>
      <c r="KS126" s="77"/>
      <c r="KT126" s="77"/>
      <c r="KU126" s="77"/>
      <c r="KV126" s="77"/>
      <c r="KW126" s="77"/>
      <c r="KX126" s="77"/>
      <c r="KY126" s="77"/>
      <c r="KZ126" s="77"/>
      <c r="LA126" s="77"/>
      <c r="LB126" s="77"/>
      <c r="LC126" s="77"/>
      <c r="LD126" s="77"/>
      <c r="LE126" s="77"/>
      <c r="LF126" s="77"/>
      <c r="LG126" s="77"/>
      <c r="LH126" s="77"/>
      <c r="LI126" s="77"/>
      <c r="LJ126" s="77"/>
      <c r="LK126" s="77"/>
      <c r="LL126" s="77"/>
      <c r="LM126" s="77"/>
      <c r="LN126" s="77"/>
      <c r="LO126" s="77"/>
      <c r="LP126" s="77"/>
      <c r="LQ126" s="77"/>
      <c r="LR126" s="77"/>
      <c r="LS126" s="77"/>
      <c r="LT126" s="77"/>
      <c r="LU126" s="77"/>
      <c r="LV126" s="77"/>
      <c r="LW126" s="77"/>
      <c r="LX126" s="77"/>
      <c r="LY126" s="77"/>
      <c r="LZ126" s="77"/>
      <c r="MA126" s="77"/>
      <c r="MB126" s="77"/>
      <c r="MC126" s="77"/>
      <c r="MD126" s="77"/>
      <c r="ME126" s="77"/>
      <c r="MF126" s="77"/>
      <c r="MG126" s="77"/>
      <c r="MH126" s="77"/>
      <c r="MI126" s="77"/>
      <c r="MJ126" s="77"/>
      <c r="MK126" s="77"/>
      <c r="ML126" s="77"/>
      <c r="MM126" s="77"/>
      <c r="MN126" s="77"/>
      <c r="MO126" s="77"/>
      <c r="MP126" s="77"/>
      <c r="MQ126" s="77"/>
      <c r="MR126" s="77"/>
      <c r="MS126" s="77"/>
      <c r="MT126" s="77"/>
      <c r="MU126" s="77"/>
      <c r="MV126" s="77"/>
      <c r="MW126" s="77"/>
      <c r="MX126" s="77"/>
      <c r="MY126" s="77"/>
      <c r="MZ126" s="77"/>
      <c r="NA126" s="77"/>
      <c r="NB126" s="77"/>
      <c r="NC126" s="77"/>
      <c r="ND126" s="77"/>
      <c r="NE126" s="77"/>
      <c r="NF126" s="77"/>
      <c r="NG126" s="77"/>
      <c r="NH126" s="77"/>
      <c r="NI126" s="77"/>
      <c r="NJ126" s="77"/>
      <c r="NK126" s="77"/>
      <c r="NL126" s="77"/>
      <c r="NM126" s="77"/>
      <c r="NN126" s="77"/>
      <c r="NO126" s="77"/>
      <c r="NP126" s="77"/>
      <c r="NQ126" s="77"/>
      <c r="NR126" s="77"/>
      <c r="NS126" s="77"/>
      <c r="NT126" s="77"/>
      <c r="NU126" s="77"/>
      <c r="NV126" s="77"/>
      <c r="NW126" s="77"/>
      <c r="NX126" s="77"/>
      <c r="NY126" s="77"/>
      <c r="NZ126" s="77"/>
      <c r="OA126" s="77"/>
      <c r="OB126" s="77"/>
      <c r="OC126" s="77"/>
      <c r="OD126" s="77"/>
      <c r="OE126" s="77"/>
      <c r="OF126" s="77"/>
      <c r="OG126" s="77"/>
      <c r="OH126" s="77"/>
      <c r="OI126" s="77"/>
      <c r="OJ126" s="77"/>
      <c r="OK126" s="77"/>
      <c r="OL126" s="77"/>
      <c r="OM126" s="77"/>
      <c r="ON126" s="77"/>
      <c r="OO126" s="77"/>
      <c r="OP126" s="77"/>
      <c r="OQ126" s="77"/>
      <c r="OR126" s="77"/>
      <c r="OS126" s="77"/>
      <c r="OT126" s="77"/>
      <c r="OU126" s="77"/>
      <c r="OV126" s="77"/>
      <c r="OW126" s="77"/>
      <c r="OX126" s="77"/>
      <c r="OY126" s="77"/>
      <c r="OZ126" s="77"/>
      <c r="PA126" s="77"/>
      <c r="PB126" s="77"/>
      <c r="PC126" s="77"/>
      <c r="PD126" s="77"/>
      <c r="PE126" s="77"/>
      <c r="PF126" s="77"/>
      <c r="PG126" s="77"/>
      <c r="PH126" s="77"/>
      <c r="PI126" s="77"/>
      <c r="PJ126" s="77"/>
      <c r="PK126" s="77"/>
      <c r="PL126" s="77"/>
      <c r="PM126" s="77"/>
      <c r="PN126" s="77"/>
      <c r="PO126" s="77"/>
      <c r="PP126" s="77"/>
      <c r="PQ126" s="77"/>
      <c r="PR126" s="77"/>
      <c r="PS126" s="77"/>
      <c r="PT126" s="77"/>
      <c r="PU126" s="77"/>
      <c r="PV126" s="77"/>
      <c r="PW126" s="77"/>
      <c r="PX126" s="77"/>
      <c r="PY126" s="77"/>
      <c r="PZ126" s="77"/>
      <c r="QA126" s="77"/>
      <c r="QB126" s="77"/>
      <c r="QC126" s="77"/>
      <c r="QD126" s="77"/>
      <c r="QE126" s="77"/>
      <c r="QF126" s="77"/>
      <c r="QG126" s="77"/>
      <c r="QH126" s="77"/>
      <c r="QI126" s="77"/>
      <c r="QJ126" s="77"/>
      <c r="QK126" s="77"/>
      <c r="QL126" s="77"/>
      <c r="QM126" s="77"/>
      <c r="QN126" s="77"/>
      <c r="QO126" s="77"/>
      <c r="QP126" s="77"/>
      <c r="QQ126" s="77"/>
      <c r="QR126" s="77"/>
      <c r="QS126" s="77"/>
      <c r="QT126" s="77"/>
      <c r="QU126" s="77"/>
      <c r="QV126" s="77"/>
      <c r="QW126" s="77"/>
      <c r="QX126" s="77"/>
      <c r="QY126" s="77"/>
      <c r="QZ126" s="77"/>
      <c r="RA126" s="77"/>
      <c r="RB126" s="77"/>
      <c r="RC126" s="77"/>
      <c r="RD126" s="77"/>
      <c r="RE126" s="77"/>
      <c r="RF126" s="77"/>
      <c r="RG126" s="77"/>
      <c r="RH126" s="77"/>
      <c r="RI126" s="77"/>
      <c r="RJ126" s="77"/>
      <c r="RK126" s="77"/>
      <c r="RL126" s="77"/>
      <c r="RM126" s="77"/>
      <c r="RN126" s="77"/>
      <c r="RO126" s="77"/>
      <c r="RP126" s="77"/>
      <c r="RQ126" s="77"/>
      <c r="RR126" s="77"/>
      <c r="RS126" s="77"/>
      <c r="RT126" s="77"/>
      <c r="RU126" s="77"/>
      <c r="RV126" s="77"/>
      <c r="RW126" s="77"/>
      <c r="RX126" s="77"/>
      <c r="RY126" s="77"/>
      <c r="RZ126" s="77"/>
      <c r="SA126" s="77"/>
      <c r="SB126" s="77"/>
      <c r="SC126" s="77"/>
      <c r="SD126" s="77"/>
      <c r="SE126" s="77"/>
      <c r="SF126" s="77"/>
      <c r="SG126" s="77"/>
      <c r="SH126" s="77"/>
      <c r="SI126" s="77"/>
      <c r="SJ126" s="77"/>
      <c r="SK126" s="77"/>
      <c r="SL126" s="77"/>
      <c r="SM126" s="77"/>
      <c r="SN126" s="77"/>
      <c r="SO126" s="77"/>
      <c r="SP126" s="77"/>
      <c r="SQ126" s="77"/>
      <c r="SR126" s="77"/>
      <c r="SS126" s="77"/>
      <c r="ST126" s="77"/>
      <c r="SU126" s="77"/>
      <c r="SV126" s="77"/>
      <c r="SW126" s="77"/>
      <c r="SX126" s="77"/>
      <c r="SY126" s="77"/>
      <c r="SZ126" s="77"/>
      <c r="TA126" s="77"/>
      <c r="TB126" s="77"/>
      <c r="TC126" s="77"/>
      <c r="TD126" s="77"/>
      <c r="TE126" s="77"/>
      <c r="TF126" s="77"/>
      <c r="TG126" s="77"/>
      <c r="TH126" s="77"/>
      <c r="TI126" s="77"/>
      <c r="TJ126" s="77"/>
      <c r="TK126" s="77"/>
      <c r="TL126" s="77"/>
      <c r="TM126" s="77"/>
      <c r="TN126" s="77"/>
      <c r="TO126" s="77"/>
      <c r="TP126" s="77"/>
      <c r="TQ126" s="77"/>
      <c r="TR126" s="77"/>
      <c r="TS126" s="77"/>
      <c r="TT126" s="77"/>
      <c r="TU126" s="77"/>
      <c r="TV126" s="77"/>
      <c r="TW126" s="77"/>
      <c r="TX126" s="77"/>
      <c r="TY126" s="77"/>
      <c r="TZ126" s="77"/>
      <c r="UA126" s="77"/>
      <c r="UB126" s="77"/>
      <c r="UC126" s="77"/>
      <c r="UD126" s="77"/>
      <c r="UE126" s="77"/>
      <c r="UF126" s="77"/>
      <c r="UG126" s="77"/>
      <c r="UH126" s="77"/>
      <c r="UI126" s="77"/>
      <c r="UJ126" s="77"/>
      <c r="UK126" s="77"/>
      <c r="UL126" s="77"/>
      <c r="UM126" s="77"/>
      <c r="UN126" s="77"/>
      <c r="UO126" s="77"/>
      <c r="UP126" s="77"/>
      <c r="UQ126" s="77"/>
      <c r="UR126" s="77"/>
      <c r="US126" s="77"/>
      <c r="UT126" s="77"/>
      <c r="UU126" s="77"/>
      <c r="UV126" s="77"/>
      <c r="UW126" s="77"/>
      <c r="UX126" s="77"/>
      <c r="UY126" s="77"/>
      <c r="UZ126" s="77"/>
      <c r="VA126" s="77"/>
      <c r="VB126" s="77"/>
      <c r="VC126" s="77"/>
      <c r="VD126" s="77"/>
      <c r="VE126" s="77"/>
      <c r="VF126" s="77"/>
      <c r="VG126" s="77"/>
      <c r="VH126" s="77"/>
      <c r="VI126" s="77"/>
      <c r="VJ126" s="77"/>
      <c r="VK126" s="77"/>
      <c r="VL126" s="77"/>
      <c r="VM126" s="77"/>
      <c r="VN126" s="77"/>
      <c r="VO126" s="77"/>
      <c r="VP126" s="77"/>
      <c r="VQ126" s="77"/>
      <c r="VR126" s="77"/>
      <c r="VS126" s="77"/>
      <c r="VT126" s="77"/>
      <c r="VU126" s="77"/>
      <c r="VV126" s="77"/>
      <c r="VW126" s="77"/>
      <c r="VX126" s="77"/>
      <c r="VY126" s="77"/>
      <c r="VZ126" s="77"/>
      <c r="WA126" s="77"/>
      <c r="WB126" s="77"/>
      <c r="WC126" s="77"/>
      <c r="WD126" s="77"/>
      <c r="WE126" s="77"/>
      <c r="WF126" s="77"/>
      <c r="WG126" s="77"/>
      <c r="WH126" s="77"/>
      <c r="WI126" s="77"/>
      <c r="WJ126" s="77"/>
      <c r="WK126" s="77"/>
      <c r="WL126" s="77"/>
      <c r="WM126" s="77"/>
      <c r="WN126" s="77"/>
      <c r="WO126" s="77"/>
      <c r="WP126" s="77"/>
      <c r="WQ126" s="77"/>
      <c r="WR126" s="77"/>
      <c r="WS126" s="77"/>
      <c r="WT126" s="77"/>
      <c r="WU126" s="77"/>
      <c r="WV126" s="77"/>
      <c r="WW126" s="77"/>
      <c r="WX126" s="77"/>
      <c r="WY126" s="77"/>
      <c r="WZ126" s="77"/>
      <c r="XA126" s="77"/>
      <c r="XB126" s="77"/>
      <c r="XC126" s="77"/>
      <c r="XD126" s="77"/>
      <c r="XE126" s="77"/>
      <c r="XF126" s="77"/>
      <c r="XG126" s="77"/>
      <c r="XH126" s="77"/>
      <c r="XI126" s="77"/>
      <c r="XJ126" s="77"/>
      <c r="XK126" s="77"/>
      <c r="XL126" s="77"/>
      <c r="XM126" s="77"/>
      <c r="XN126" s="77"/>
      <c r="XO126" s="77"/>
      <c r="XP126" s="77"/>
      <c r="XQ126" s="77"/>
      <c r="XR126" s="77"/>
      <c r="XS126" s="77"/>
      <c r="XT126" s="77"/>
      <c r="XU126" s="77"/>
      <c r="XV126" s="77"/>
      <c r="XW126" s="77"/>
      <c r="XX126" s="77"/>
      <c r="XY126" s="77"/>
      <c r="XZ126" s="77"/>
      <c r="YA126" s="77"/>
      <c r="YB126" s="77"/>
      <c r="YC126" s="77"/>
      <c r="YD126" s="77"/>
      <c r="YE126" s="77"/>
      <c r="YF126" s="77"/>
      <c r="YG126" s="77"/>
      <c r="YH126" s="77"/>
      <c r="YI126" s="77"/>
      <c r="YJ126" s="77"/>
      <c r="YK126" s="77"/>
      <c r="YL126" s="77"/>
      <c r="YM126" s="77"/>
      <c r="YN126" s="77"/>
      <c r="YO126" s="77"/>
      <c r="YP126" s="77"/>
      <c r="YQ126" s="77"/>
      <c r="YR126" s="77"/>
      <c r="YS126" s="77"/>
      <c r="YT126" s="77"/>
      <c r="YU126" s="77"/>
      <c r="YV126" s="77"/>
      <c r="YW126" s="77"/>
      <c r="YX126" s="77"/>
      <c r="YY126" s="77"/>
      <c r="YZ126" s="77"/>
      <c r="ZA126" s="77"/>
      <c r="ZB126" s="77"/>
      <c r="ZC126" s="77"/>
      <c r="ZD126" s="77"/>
      <c r="ZE126" s="77"/>
      <c r="ZF126" s="77"/>
      <c r="ZG126" s="77"/>
      <c r="ZH126" s="77"/>
      <c r="ZI126" s="77"/>
      <c r="ZJ126" s="77"/>
      <c r="ZK126" s="77"/>
      <c r="ZL126" s="77"/>
      <c r="ZM126" s="77"/>
      <c r="ZN126" s="77"/>
      <c r="ZO126" s="77"/>
      <c r="ZP126" s="77"/>
      <c r="ZQ126" s="77"/>
      <c r="ZR126" s="77"/>
      <c r="ZS126" s="77"/>
      <c r="ZT126" s="77"/>
      <c r="ZU126" s="77"/>
      <c r="ZV126" s="77"/>
      <c r="ZW126" s="77"/>
      <c r="ZX126" s="77"/>
      <c r="ZY126" s="77"/>
      <c r="ZZ126" s="77"/>
      <c r="AAA126" s="77"/>
      <c r="AAB126" s="77"/>
      <c r="AAC126" s="77"/>
      <c r="AAD126" s="77"/>
      <c r="AAE126" s="77"/>
      <c r="AAF126" s="77"/>
      <c r="AAG126" s="77"/>
      <c r="AAH126" s="77"/>
      <c r="AAI126" s="77"/>
      <c r="AAJ126" s="77"/>
      <c r="AAK126" s="77"/>
      <c r="AAL126" s="77"/>
      <c r="AAM126" s="77"/>
      <c r="AAN126" s="77"/>
      <c r="AAO126" s="77"/>
      <c r="AAP126" s="77"/>
      <c r="AAQ126" s="77"/>
      <c r="AAR126" s="77"/>
      <c r="AAS126" s="77"/>
      <c r="AAT126" s="77"/>
      <c r="AAU126" s="77"/>
      <c r="AAV126" s="77"/>
      <c r="AAW126" s="77"/>
      <c r="AAX126" s="77"/>
      <c r="AAY126" s="77"/>
      <c r="AAZ126" s="77"/>
      <c r="ABA126" s="77"/>
      <c r="ABB126" s="77"/>
      <c r="ABC126" s="77"/>
      <c r="ABD126" s="77"/>
      <c r="ABE126" s="77"/>
      <c r="ABF126" s="77"/>
      <c r="ABG126" s="77"/>
      <c r="ABH126" s="77"/>
      <c r="ABI126" s="77"/>
      <c r="ABJ126" s="77"/>
      <c r="ABK126" s="77"/>
      <c r="ABL126" s="77"/>
      <c r="ABM126" s="77"/>
      <c r="ABN126" s="77"/>
      <c r="ABO126" s="77"/>
      <c r="ABP126" s="77"/>
      <c r="ABQ126" s="77"/>
      <c r="ABR126" s="77"/>
      <c r="ABS126" s="77"/>
      <c r="ABT126" s="77"/>
      <c r="ABU126" s="77"/>
      <c r="ABV126" s="77"/>
      <c r="ABW126" s="77"/>
      <c r="ABX126" s="77"/>
      <c r="ABY126" s="77"/>
      <c r="ABZ126" s="77"/>
      <c r="ACA126" s="77"/>
      <c r="ACB126" s="77"/>
      <c r="ACC126" s="77"/>
      <c r="ACD126" s="77"/>
      <c r="ACE126" s="77"/>
      <c r="ACF126" s="77"/>
      <c r="ACG126" s="77"/>
      <c r="ACH126" s="77"/>
      <c r="ACI126" s="77"/>
      <c r="ACJ126" s="77"/>
      <c r="ACK126" s="77"/>
      <c r="ACL126" s="77"/>
      <c r="ACM126" s="77"/>
      <c r="ACN126" s="77"/>
      <c r="ACO126" s="77"/>
      <c r="ACP126" s="77"/>
      <c r="ACQ126" s="77"/>
      <c r="ACR126" s="77"/>
      <c r="ACS126" s="77"/>
      <c r="ACT126" s="77"/>
      <c r="ACU126" s="77"/>
      <c r="ACV126" s="77"/>
      <c r="ACW126" s="77"/>
      <c r="ACX126" s="77"/>
      <c r="ACY126" s="77"/>
      <c r="ACZ126" s="77"/>
      <c r="ADA126" s="77"/>
      <c r="ADB126" s="77"/>
      <c r="ADC126" s="77"/>
      <c r="ADD126" s="77"/>
      <c r="ADE126" s="77"/>
      <c r="ADF126" s="77"/>
      <c r="ADG126" s="77"/>
      <c r="ADH126" s="77"/>
      <c r="ADI126" s="77"/>
      <c r="ADJ126" s="77"/>
      <c r="ADK126" s="77"/>
      <c r="ADL126" s="77"/>
      <c r="ADM126" s="77"/>
      <c r="ADN126" s="77"/>
      <c r="ADO126" s="77"/>
      <c r="ADP126" s="77"/>
      <c r="ADQ126" s="77"/>
      <c r="ADR126" s="77"/>
      <c r="ADS126" s="77"/>
      <c r="ADT126" s="77"/>
      <c r="ADU126" s="77"/>
      <c r="ADV126" s="77"/>
      <c r="ADW126" s="77"/>
      <c r="ADX126" s="77"/>
      <c r="ADY126" s="77"/>
      <c r="ADZ126" s="77"/>
      <c r="AEA126" s="77"/>
      <c r="AEB126" s="77"/>
      <c r="AEC126" s="77"/>
      <c r="AED126" s="77"/>
      <c r="AEE126" s="77"/>
      <c r="AEF126" s="77"/>
      <c r="AEG126" s="77"/>
      <c r="AEH126" s="77"/>
      <c r="AEI126" s="77"/>
      <c r="AEJ126" s="77"/>
      <c r="AEK126" s="77"/>
      <c r="AEL126" s="77"/>
      <c r="AEM126" s="77"/>
      <c r="AEN126" s="77"/>
      <c r="AEO126" s="77"/>
      <c r="AEP126" s="77"/>
      <c r="AEQ126" s="77"/>
      <c r="AER126" s="77"/>
      <c r="AES126" s="77"/>
      <c r="AET126" s="77"/>
      <c r="AEU126" s="77"/>
      <c r="AEV126" s="77"/>
      <c r="AEW126" s="77"/>
      <c r="AEX126" s="77"/>
      <c r="AEY126" s="77"/>
      <c r="AEZ126" s="77"/>
      <c r="AFA126" s="77"/>
      <c r="AFB126" s="77"/>
      <c r="AFC126" s="77"/>
      <c r="AFD126" s="77"/>
      <c r="AFE126" s="77"/>
      <c r="AFF126" s="77"/>
      <c r="AFG126" s="77"/>
      <c r="AFH126" s="77"/>
      <c r="AFI126" s="77"/>
      <c r="AFJ126" s="77"/>
      <c r="AFK126" s="77"/>
      <c r="AFL126" s="77"/>
      <c r="AFM126" s="77"/>
      <c r="AFN126" s="77"/>
      <c r="AFO126" s="77"/>
      <c r="AFP126" s="77"/>
      <c r="AFQ126" s="77"/>
      <c r="AFR126" s="77"/>
      <c r="AFS126" s="77"/>
      <c r="AFT126" s="77"/>
      <c r="AFU126" s="77"/>
      <c r="AFV126" s="77"/>
      <c r="AFW126" s="77"/>
      <c r="AFX126" s="77"/>
      <c r="AFY126" s="77"/>
      <c r="AFZ126" s="77"/>
      <c r="AGA126" s="77"/>
      <c r="AGB126" s="77"/>
      <c r="AGC126" s="77"/>
      <c r="AGD126" s="77"/>
      <c r="AGE126" s="77"/>
      <c r="AGF126" s="77"/>
      <c r="AGG126" s="77"/>
      <c r="AGH126" s="77"/>
      <c r="AGI126" s="77"/>
      <c r="AGJ126" s="77"/>
      <c r="AGK126" s="77"/>
      <c r="AGL126" s="77"/>
      <c r="AGM126" s="77"/>
      <c r="AGN126" s="77"/>
      <c r="AGO126" s="77"/>
      <c r="AGP126" s="77"/>
      <c r="AGQ126" s="77"/>
      <c r="AGR126" s="77"/>
      <c r="AGS126" s="77"/>
      <c r="AGT126" s="77"/>
      <c r="AGU126" s="77"/>
      <c r="AGV126" s="77"/>
      <c r="AGW126" s="77"/>
      <c r="AGX126" s="77"/>
      <c r="AGY126" s="77"/>
      <c r="AGZ126" s="77"/>
      <c r="AHA126" s="77"/>
      <c r="AHB126" s="77"/>
      <c r="AHC126" s="77"/>
      <c r="AHD126" s="77"/>
      <c r="AHE126" s="77"/>
      <c r="AHF126" s="77"/>
      <c r="AHG126" s="77"/>
      <c r="AHH126" s="77"/>
      <c r="AHI126" s="77"/>
      <c r="AHJ126" s="77"/>
      <c r="AHK126" s="77"/>
      <c r="AHL126" s="77"/>
      <c r="AHM126" s="77"/>
      <c r="AHN126" s="77"/>
      <c r="AHO126" s="77"/>
      <c r="AHP126" s="77"/>
      <c r="AHQ126" s="77"/>
      <c r="AHR126" s="77"/>
      <c r="AHS126" s="77"/>
      <c r="AHT126" s="77"/>
      <c r="AHU126" s="77"/>
      <c r="AHV126" s="77"/>
      <c r="AHW126" s="77"/>
      <c r="AHX126" s="77"/>
      <c r="AHY126" s="77"/>
      <c r="AHZ126" s="77"/>
      <c r="AIA126" s="77"/>
      <c r="AIB126" s="77"/>
      <c r="AIC126" s="77"/>
      <c r="AID126" s="77"/>
      <c r="AIE126" s="77"/>
      <c r="AIF126" s="77"/>
      <c r="AIG126" s="77"/>
      <c r="AIH126" s="77"/>
      <c r="AII126" s="77"/>
      <c r="AIJ126" s="77"/>
      <c r="AIK126" s="77"/>
      <c r="AIL126" s="77"/>
      <c r="AIM126" s="77"/>
      <c r="AIN126" s="77"/>
      <c r="AIO126" s="77"/>
      <c r="AIP126" s="77"/>
      <c r="AIQ126" s="77"/>
      <c r="AIR126" s="77"/>
      <c r="AIS126" s="77"/>
      <c r="AIT126" s="77"/>
      <c r="AIU126" s="77"/>
      <c r="AIV126" s="77"/>
      <c r="AIW126" s="77"/>
      <c r="AIX126" s="77"/>
      <c r="AIY126" s="77"/>
      <c r="AIZ126" s="77"/>
      <c r="AJA126" s="77"/>
      <c r="AJB126" s="77"/>
      <c r="AJC126" s="77"/>
      <c r="AJD126" s="77"/>
      <c r="AJE126" s="77"/>
      <c r="AJF126" s="77"/>
      <c r="AJG126" s="77"/>
      <c r="AJH126" s="77"/>
      <c r="AJI126" s="77"/>
      <c r="AJJ126" s="77"/>
      <c r="AJK126" s="77"/>
      <c r="AJL126" s="77"/>
      <c r="AJM126" s="77"/>
      <c r="AJN126" s="77"/>
      <c r="AJO126" s="77"/>
      <c r="AJP126" s="77"/>
      <c r="AJQ126" s="77"/>
      <c r="AJR126" s="77"/>
      <c r="AJS126" s="77"/>
      <c r="AJT126" s="77"/>
      <c r="AJU126" s="77"/>
      <c r="AJV126" s="77"/>
      <c r="AJW126" s="77"/>
      <c r="AJX126" s="77"/>
      <c r="AJY126" s="77"/>
      <c r="AJZ126" s="77"/>
      <c r="AKA126" s="77"/>
      <c r="AKB126" s="77"/>
      <c r="AKC126" s="77"/>
      <c r="AKD126" s="77"/>
      <c r="AKE126" s="77"/>
      <c r="AKF126" s="77"/>
      <c r="AKG126" s="77"/>
      <c r="AKH126" s="77"/>
      <c r="AKI126" s="77"/>
      <c r="AKJ126" s="77"/>
      <c r="AKK126" s="77"/>
      <c r="AKL126" s="77"/>
      <c r="AKM126" s="77"/>
      <c r="AKN126" s="77"/>
      <c r="AKO126" s="77"/>
      <c r="AKP126" s="77"/>
      <c r="AKQ126" s="77"/>
      <c r="AKR126" s="77"/>
      <c r="AKS126" s="77"/>
      <c r="AKT126" s="77"/>
      <c r="AKU126" s="77"/>
      <c r="AKV126" s="77"/>
      <c r="AKW126" s="77"/>
      <c r="AKX126" s="77"/>
      <c r="AKY126" s="77"/>
      <c r="AKZ126" s="77"/>
      <c r="ALA126" s="77"/>
      <c r="ALB126" s="77"/>
      <c r="ALC126" s="77"/>
      <c r="ALD126" s="77"/>
      <c r="ALE126" s="77"/>
      <c r="ALF126" s="77"/>
      <c r="ALG126" s="77"/>
      <c r="ALH126" s="77"/>
      <c r="ALI126" s="77"/>
      <c r="ALJ126" s="77"/>
      <c r="ALK126" s="77"/>
      <c r="ALL126" s="77"/>
      <c r="ALM126" s="77"/>
      <c r="ALN126" s="77"/>
      <c r="ALO126" s="77"/>
      <c r="ALP126" s="77"/>
      <c r="ALQ126" s="77"/>
      <c r="ALR126" s="77"/>
      <c r="ALS126" s="77"/>
      <c r="ALT126" s="77"/>
      <c r="ALU126" s="77"/>
      <c r="ALV126" s="77"/>
      <c r="ALW126" s="77"/>
      <c r="ALX126" s="77"/>
      <c r="ALY126" s="77"/>
      <c r="ALZ126" s="77"/>
      <c r="AMA126" s="77"/>
      <c r="AMB126" s="77"/>
      <c r="AMC126" s="77"/>
      <c r="AMD126" s="77"/>
      <c r="AME126" s="77"/>
      <c r="AMF126" s="77"/>
      <c r="AMG126" s="77"/>
      <c r="AMH126" s="77"/>
      <c r="AMI126" s="77"/>
      <c r="AMJ126" s="77"/>
      <c r="AMK126" s="77"/>
      <c r="AML126" s="77"/>
      <c r="AMM126" s="77"/>
      <c r="AMN126" s="77"/>
      <c r="AMO126" s="77"/>
      <c r="AMP126" s="77"/>
      <c r="AMQ126" s="77"/>
      <c r="AMR126" s="77"/>
      <c r="AMS126" s="77"/>
      <c r="AMT126" s="77"/>
      <c r="AMU126" s="77"/>
      <c r="AMV126" s="77"/>
      <c r="AMW126" s="77"/>
      <c r="AMX126" s="77"/>
      <c r="AMY126" s="77"/>
      <c r="AMZ126" s="77"/>
      <c r="ANA126" s="77"/>
      <c r="ANB126" s="77"/>
      <c r="ANC126" s="77"/>
      <c r="AND126" s="77"/>
      <c r="ANE126" s="77"/>
      <c r="ANF126" s="77"/>
      <c r="ANG126" s="77"/>
      <c r="ANH126" s="77"/>
      <c r="ANI126" s="77"/>
      <c r="ANJ126" s="77"/>
      <c r="ANK126" s="77"/>
      <c r="ANL126" s="77"/>
      <c r="ANM126" s="77"/>
      <c r="ANN126" s="77"/>
      <c r="ANO126" s="77"/>
      <c r="ANP126" s="77"/>
      <c r="ANQ126" s="77"/>
      <c r="ANR126" s="77"/>
      <c r="ANS126" s="77"/>
      <c r="ANT126" s="77"/>
      <c r="ANU126" s="77"/>
      <c r="ANV126" s="77"/>
      <c r="ANW126" s="77"/>
      <c r="ANX126" s="77"/>
      <c r="ANY126" s="77"/>
      <c r="ANZ126" s="77"/>
      <c r="AOA126" s="77"/>
      <c r="AOB126" s="77"/>
      <c r="AOC126" s="77"/>
      <c r="AOD126" s="77"/>
      <c r="AOE126" s="77"/>
      <c r="AOF126" s="77"/>
      <c r="AOG126" s="77"/>
      <c r="AOH126" s="77"/>
      <c r="AOI126" s="77"/>
      <c r="AOJ126" s="77"/>
      <c r="AOK126" s="77"/>
      <c r="AOL126" s="77"/>
      <c r="AOM126" s="77"/>
      <c r="AON126" s="77"/>
      <c r="AOO126" s="77"/>
      <c r="AOP126" s="77"/>
      <c r="AOQ126" s="77"/>
      <c r="AOR126" s="77"/>
      <c r="AOS126" s="77"/>
      <c r="AOT126" s="77"/>
      <c r="AOU126" s="77"/>
      <c r="AOV126" s="77"/>
      <c r="AOW126" s="77"/>
      <c r="AOX126" s="77"/>
      <c r="AOY126" s="77"/>
      <c r="AOZ126" s="77"/>
      <c r="APA126" s="77"/>
      <c r="APB126" s="77"/>
      <c r="APC126" s="77"/>
      <c r="APD126" s="77"/>
      <c r="APE126" s="77"/>
      <c r="APF126" s="77"/>
      <c r="APG126" s="77"/>
      <c r="APH126" s="77"/>
      <c r="API126" s="77"/>
      <c r="APJ126" s="77"/>
      <c r="APK126" s="77"/>
      <c r="APL126" s="77"/>
      <c r="APM126" s="77"/>
      <c r="APN126" s="77"/>
      <c r="APO126" s="77"/>
      <c r="APP126" s="77"/>
      <c r="APQ126" s="77"/>
      <c r="APR126" s="77"/>
      <c r="APS126" s="77"/>
      <c r="APT126" s="77"/>
      <c r="APU126" s="77"/>
      <c r="APV126" s="77"/>
      <c r="APW126" s="77"/>
      <c r="APX126" s="77"/>
      <c r="APY126" s="77"/>
      <c r="APZ126" s="77"/>
      <c r="AQA126" s="77"/>
      <c r="AQB126" s="77"/>
      <c r="AQC126" s="77"/>
      <c r="AQD126" s="77"/>
      <c r="AQE126" s="77"/>
      <c r="AQF126" s="77"/>
      <c r="AQG126" s="77"/>
      <c r="AQH126" s="77"/>
      <c r="AQI126" s="77"/>
      <c r="AQJ126" s="77"/>
      <c r="AQK126" s="77"/>
      <c r="AQL126" s="77"/>
      <c r="AQM126" s="77"/>
      <c r="AQN126" s="77"/>
      <c r="AQO126" s="77"/>
      <c r="AQP126" s="77"/>
      <c r="AQQ126" s="77"/>
      <c r="AQR126" s="77"/>
      <c r="AQS126" s="77"/>
      <c r="AQT126" s="77"/>
      <c r="AQU126" s="77"/>
      <c r="AQV126" s="77"/>
      <c r="AQW126" s="77"/>
      <c r="AQX126" s="77"/>
      <c r="AQY126" s="77"/>
      <c r="AQZ126" s="77"/>
      <c r="ARA126" s="77"/>
      <c r="ARB126" s="77"/>
      <c r="ARC126" s="77"/>
      <c r="ARD126" s="77"/>
      <c r="ARE126" s="77"/>
      <c r="ARF126" s="77"/>
      <c r="ARG126" s="77"/>
      <c r="ARH126" s="77"/>
      <c r="ARI126" s="77"/>
      <c r="ARJ126" s="77"/>
      <c r="ARK126" s="77"/>
      <c r="ARL126" s="77"/>
      <c r="ARM126" s="77"/>
      <c r="ARN126" s="77"/>
      <c r="ARO126" s="77"/>
      <c r="ARP126" s="77"/>
      <c r="ARQ126" s="77"/>
      <c r="ARR126" s="77"/>
      <c r="ARS126" s="77"/>
      <c r="ART126" s="77"/>
      <c r="ARU126" s="77"/>
      <c r="ARV126" s="77"/>
      <c r="ARW126" s="77"/>
      <c r="ARX126" s="77"/>
      <c r="ARY126" s="77"/>
      <c r="ARZ126" s="77"/>
      <c r="ASA126" s="77"/>
      <c r="ASB126" s="77"/>
      <c r="ASC126" s="77"/>
      <c r="ASD126" s="77"/>
      <c r="ASE126" s="77"/>
      <c r="ASF126" s="77"/>
      <c r="ASG126" s="77"/>
      <c r="ASH126" s="77"/>
      <c r="ASI126" s="77"/>
      <c r="ASJ126" s="77"/>
      <c r="ASK126" s="77"/>
      <c r="ASL126" s="77"/>
      <c r="ASM126" s="77"/>
      <c r="ASN126" s="77"/>
      <c r="ASO126" s="77"/>
      <c r="ASP126" s="77"/>
      <c r="ASQ126" s="77"/>
      <c r="ASR126" s="77"/>
      <c r="ASS126" s="77"/>
      <c r="AST126" s="77"/>
      <c r="ASU126" s="77"/>
      <c r="ASV126" s="77"/>
      <c r="ASW126" s="77"/>
      <c r="ASX126" s="77"/>
      <c r="ASY126" s="77"/>
      <c r="ASZ126" s="77"/>
      <c r="ATA126" s="77"/>
      <c r="ATB126" s="77"/>
      <c r="ATC126" s="77"/>
      <c r="ATD126" s="77"/>
      <c r="ATE126" s="77"/>
      <c r="ATF126" s="77"/>
      <c r="ATG126" s="77"/>
      <c r="ATH126" s="77"/>
      <c r="ATI126" s="77"/>
      <c r="ATJ126" s="77"/>
      <c r="ATK126" s="77"/>
      <c r="ATL126" s="77"/>
      <c r="ATM126" s="77"/>
      <c r="ATN126" s="77"/>
      <c r="ATO126" s="77"/>
      <c r="ATP126" s="77"/>
      <c r="ATQ126" s="77"/>
      <c r="ATR126" s="77"/>
      <c r="ATS126" s="77"/>
      <c r="ATT126" s="77"/>
      <c r="ATU126" s="77"/>
      <c r="ATV126" s="77"/>
      <c r="ATW126" s="77"/>
      <c r="ATX126" s="77"/>
      <c r="ATY126" s="77"/>
      <c r="ATZ126" s="77"/>
      <c r="AUA126" s="77"/>
      <c r="AUB126" s="77"/>
      <c r="AUC126" s="77"/>
      <c r="AUD126" s="77"/>
      <c r="AUE126" s="77"/>
      <c r="AUF126" s="77"/>
      <c r="AUG126" s="77"/>
      <c r="AUH126" s="77"/>
      <c r="AUI126" s="77"/>
      <c r="AUJ126" s="77"/>
      <c r="AUK126" s="77"/>
      <c r="AUL126" s="77"/>
      <c r="AUM126" s="77"/>
      <c r="AUN126" s="77"/>
      <c r="AUO126" s="77"/>
      <c r="AUP126" s="77"/>
      <c r="AUQ126" s="77"/>
      <c r="AUR126" s="77"/>
      <c r="AUS126" s="77"/>
      <c r="AUT126" s="77"/>
      <c r="AUU126" s="77"/>
      <c r="AUV126" s="77"/>
      <c r="AUW126" s="77"/>
      <c r="AUX126" s="77"/>
      <c r="AUY126" s="77"/>
      <c r="AUZ126" s="77"/>
      <c r="AVA126" s="77"/>
      <c r="AVB126" s="77"/>
      <c r="AVC126" s="77"/>
      <c r="AVD126" s="77"/>
      <c r="AVE126" s="77"/>
      <c r="AVF126" s="77"/>
      <c r="AVG126" s="77"/>
      <c r="AVH126" s="77"/>
      <c r="AVI126" s="77"/>
      <c r="AVJ126" s="77"/>
      <c r="AVK126" s="77"/>
      <c r="AVL126" s="77"/>
      <c r="AVM126" s="77"/>
      <c r="AVN126" s="77"/>
      <c r="AVO126" s="77"/>
      <c r="AVP126" s="77"/>
      <c r="AVQ126" s="77"/>
      <c r="AVR126" s="77"/>
      <c r="AVS126" s="77"/>
      <c r="AVT126" s="77"/>
      <c r="AVU126" s="77"/>
      <c r="AVV126" s="77"/>
      <c r="AVW126" s="77"/>
      <c r="AVX126" s="77"/>
      <c r="AVY126" s="77"/>
      <c r="AVZ126" s="77"/>
      <c r="AWA126" s="77"/>
      <c r="AWB126" s="77"/>
      <c r="AWC126" s="77"/>
      <c r="AWD126" s="77"/>
      <c r="AWE126" s="77"/>
      <c r="AWF126" s="77"/>
      <c r="AWG126" s="77"/>
      <c r="AWH126" s="77"/>
      <c r="AWI126" s="77"/>
      <c r="AWJ126" s="77"/>
      <c r="AWK126" s="77"/>
      <c r="AWL126" s="77"/>
      <c r="AWM126" s="77"/>
      <c r="AWN126" s="77"/>
      <c r="AWO126" s="77"/>
      <c r="AWP126" s="77"/>
      <c r="AWQ126" s="77"/>
      <c r="AWR126" s="77"/>
      <c r="AWS126" s="77"/>
      <c r="AWT126" s="77"/>
      <c r="AWU126" s="77"/>
      <c r="AWV126" s="77"/>
      <c r="AWW126" s="77"/>
      <c r="AWX126" s="77"/>
      <c r="AWY126" s="77"/>
      <c r="AWZ126" s="77"/>
      <c r="AXA126" s="77"/>
      <c r="AXB126" s="77"/>
      <c r="AXC126" s="77"/>
      <c r="AXD126" s="77"/>
      <c r="AXE126" s="77"/>
      <c r="AXF126" s="77"/>
      <c r="AXG126" s="77"/>
      <c r="AXH126" s="77"/>
      <c r="AXI126" s="77"/>
      <c r="AXJ126" s="77"/>
      <c r="AXK126" s="77"/>
      <c r="AXL126" s="77"/>
      <c r="AXM126" s="77"/>
      <c r="AXN126" s="77"/>
      <c r="AXO126" s="77"/>
      <c r="AXP126" s="77"/>
      <c r="AXQ126" s="77"/>
      <c r="AXR126" s="77"/>
      <c r="AXS126" s="77"/>
      <c r="AXT126" s="77"/>
      <c r="AXU126" s="77"/>
      <c r="AXV126" s="77"/>
      <c r="AXW126" s="77"/>
      <c r="AXX126" s="77"/>
      <c r="AXY126" s="77"/>
      <c r="AXZ126" s="77"/>
      <c r="AYA126" s="77"/>
      <c r="AYB126" s="77"/>
      <c r="AYC126" s="77"/>
      <c r="AYD126" s="77"/>
      <c r="AYE126" s="77"/>
      <c r="AYF126" s="77"/>
      <c r="AYG126" s="77"/>
      <c r="AYH126" s="77"/>
      <c r="AYI126" s="77"/>
      <c r="AYJ126" s="77"/>
      <c r="AYK126" s="77"/>
      <c r="AYL126" s="77"/>
      <c r="AYM126" s="77"/>
      <c r="AYN126" s="77"/>
      <c r="AYO126" s="77"/>
      <c r="AYP126" s="77"/>
      <c r="AYQ126" s="77"/>
      <c r="AYR126" s="77"/>
      <c r="AYS126" s="77"/>
      <c r="AYT126" s="77"/>
      <c r="AYU126" s="77"/>
      <c r="AYV126" s="77"/>
      <c r="AYW126" s="77"/>
      <c r="AYX126" s="77"/>
      <c r="AYY126" s="77"/>
      <c r="AYZ126" s="77"/>
      <c r="AZA126" s="77"/>
      <c r="AZB126" s="77"/>
      <c r="AZC126" s="77"/>
      <c r="AZD126" s="77"/>
      <c r="AZE126" s="77"/>
      <c r="AZF126" s="77"/>
      <c r="AZG126" s="77"/>
      <c r="AZH126" s="77"/>
      <c r="AZI126" s="77"/>
      <c r="AZJ126" s="77"/>
      <c r="AZK126" s="77"/>
      <c r="AZL126" s="77"/>
      <c r="AZM126" s="77"/>
      <c r="AZN126" s="77"/>
      <c r="AZO126" s="77"/>
      <c r="AZP126" s="77"/>
      <c r="AZQ126" s="77"/>
      <c r="AZR126" s="77"/>
      <c r="AZS126" s="77"/>
      <c r="AZT126" s="77"/>
      <c r="AZU126" s="77"/>
      <c r="AZV126" s="77"/>
      <c r="AZW126" s="77"/>
      <c r="AZX126" s="77"/>
      <c r="AZY126" s="77"/>
      <c r="AZZ126" s="77"/>
      <c r="BAA126" s="77"/>
      <c r="BAB126" s="77"/>
      <c r="BAC126" s="77"/>
      <c r="BAD126" s="77"/>
      <c r="BAE126" s="77"/>
      <c r="BAF126" s="77"/>
      <c r="BAG126" s="77"/>
      <c r="BAH126" s="77"/>
      <c r="BAI126" s="77"/>
      <c r="BAJ126" s="77"/>
      <c r="BAK126" s="77"/>
      <c r="BAL126" s="77"/>
      <c r="BAM126" s="77"/>
      <c r="BAN126" s="77"/>
      <c r="BAO126" s="77"/>
      <c r="BAP126" s="77"/>
      <c r="BAQ126" s="77"/>
      <c r="BAR126" s="77"/>
      <c r="BAS126" s="77"/>
      <c r="BAT126" s="77"/>
      <c r="BAU126" s="77"/>
      <c r="BAV126" s="77"/>
      <c r="BAW126" s="77"/>
      <c r="BAX126" s="77"/>
      <c r="BAY126" s="77"/>
      <c r="BAZ126" s="77"/>
      <c r="BBA126" s="77"/>
      <c r="BBB126" s="77"/>
      <c r="BBC126" s="77"/>
      <c r="BBD126" s="77"/>
      <c r="BBE126" s="77"/>
      <c r="BBF126" s="77"/>
      <c r="BBG126" s="77"/>
      <c r="BBH126" s="77"/>
      <c r="BBI126" s="77"/>
      <c r="BBJ126" s="77"/>
      <c r="BBK126" s="77"/>
      <c r="BBL126" s="77"/>
      <c r="BBM126" s="77"/>
      <c r="BBN126" s="77"/>
      <c r="BBO126" s="77"/>
      <c r="BBP126" s="77"/>
      <c r="BBQ126" s="77"/>
      <c r="BBR126" s="77"/>
      <c r="BBS126" s="77"/>
      <c r="BBT126" s="77"/>
      <c r="BBU126" s="77"/>
      <c r="BBV126" s="77"/>
      <c r="BBW126" s="77"/>
      <c r="BBX126" s="77"/>
      <c r="BBY126" s="77"/>
      <c r="BBZ126" s="77"/>
      <c r="BCA126" s="77"/>
      <c r="BCB126" s="77"/>
      <c r="BCC126" s="77"/>
      <c r="BCD126" s="77"/>
      <c r="BCE126" s="77"/>
      <c r="BCF126" s="77"/>
      <c r="BCG126" s="77"/>
      <c r="BCH126" s="77"/>
      <c r="BCI126" s="77"/>
      <c r="BCJ126" s="77"/>
      <c r="BCK126" s="77"/>
      <c r="BCL126" s="77"/>
      <c r="BCM126" s="77"/>
      <c r="BCN126" s="77"/>
      <c r="BCO126" s="77"/>
      <c r="BCP126" s="77"/>
      <c r="BCQ126" s="77"/>
      <c r="BCR126" s="77"/>
      <c r="BCS126" s="77"/>
      <c r="BCT126" s="77"/>
      <c r="BCU126" s="77"/>
      <c r="BCV126" s="77"/>
      <c r="BCW126" s="77"/>
      <c r="BCX126" s="77"/>
      <c r="BCY126" s="77"/>
      <c r="BCZ126" s="77"/>
      <c r="BDA126" s="77"/>
      <c r="BDB126" s="77"/>
      <c r="BDC126" s="77"/>
      <c r="BDD126" s="77"/>
      <c r="BDE126" s="77"/>
      <c r="BDF126" s="77"/>
      <c r="BDG126" s="77"/>
      <c r="BDH126" s="77"/>
      <c r="BDI126" s="77"/>
      <c r="BDJ126" s="77"/>
      <c r="BDK126" s="77"/>
      <c r="BDL126" s="77"/>
      <c r="BDM126" s="77"/>
      <c r="BDN126" s="77"/>
      <c r="BDO126" s="77"/>
      <c r="BDP126" s="77"/>
      <c r="BDQ126" s="77"/>
      <c r="BDR126" s="77"/>
      <c r="BDS126" s="77"/>
      <c r="BDT126" s="77"/>
      <c r="BDU126" s="77"/>
      <c r="BDV126" s="77"/>
      <c r="BDW126" s="77"/>
      <c r="BDX126" s="77"/>
      <c r="BDY126" s="77"/>
      <c r="BDZ126" s="77"/>
      <c r="BEA126" s="77"/>
      <c r="BEB126" s="77"/>
      <c r="BEC126" s="77"/>
      <c r="BED126" s="77"/>
      <c r="BEE126" s="77"/>
      <c r="BEF126" s="77"/>
      <c r="BEG126" s="77"/>
      <c r="BEH126" s="77"/>
      <c r="BEI126" s="77"/>
      <c r="BEJ126" s="77"/>
      <c r="BEK126" s="77"/>
      <c r="BEL126" s="77"/>
      <c r="BEM126" s="77"/>
      <c r="BEN126" s="77"/>
      <c r="BEO126" s="77"/>
      <c r="BEP126" s="77"/>
      <c r="BEQ126" s="77"/>
      <c r="BER126" s="77"/>
      <c r="BES126" s="77"/>
      <c r="BET126" s="77"/>
      <c r="BEU126" s="77"/>
      <c r="BEV126" s="77"/>
      <c r="BEW126" s="77"/>
      <c r="BEX126" s="77"/>
      <c r="BEY126" s="77"/>
      <c r="BEZ126" s="77"/>
      <c r="BFA126" s="77"/>
      <c r="BFB126" s="77"/>
      <c r="BFC126" s="77"/>
      <c r="BFD126" s="77"/>
      <c r="BFE126" s="77"/>
      <c r="BFF126" s="77"/>
      <c r="BFG126" s="77"/>
      <c r="BFH126" s="77"/>
      <c r="BFI126" s="77"/>
      <c r="BFJ126" s="77"/>
      <c r="BFK126" s="77"/>
      <c r="BFL126" s="77"/>
      <c r="BFM126" s="77"/>
      <c r="BFN126" s="77"/>
      <c r="BFO126" s="77"/>
      <c r="BFP126" s="77"/>
      <c r="BFQ126" s="77"/>
      <c r="BFR126" s="77"/>
      <c r="BFS126" s="77"/>
      <c r="BFT126" s="77"/>
      <c r="BFU126" s="77"/>
      <c r="BFV126" s="77"/>
      <c r="BFW126" s="77"/>
      <c r="BFX126" s="77"/>
      <c r="BFY126" s="77"/>
      <c r="BFZ126" s="77"/>
      <c r="BGA126" s="77"/>
      <c r="BGB126" s="77"/>
      <c r="BGC126" s="77"/>
      <c r="BGD126" s="77"/>
      <c r="BGE126" s="77"/>
      <c r="BGF126" s="77"/>
      <c r="BGG126" s="77"/>
      <c r="BGH126" s="77"/>
      <c r="BGI126" s="77"/>
      <c r="BGJ126" s="77"/>
      <c r="BGK126" s="77"/>
      <c r="BGL126" s="77"/>
      <c r="BGM126" s="77"/>
      <c r="BGN126" s="77"/>
      <c r="BGO126" s="77"/>
      <c r="BGP126" s="77"/>
      <c r="BGQ126" s="77"/>
      <c r="BGR126" s="77"/>
      <c r="BGS126" s="77"/>
      <c r="BGT126" s="77"/>
      <c r="BGU126" s="77"/>
      <c r="BGV126" s="77"/>
      <c r="BGW126" s="77"/>
      <c r="BGX126" s="77"/>
      <c r="BGY126" s="77"/>
      <c r="BGZ126" s="77"/>
      <c r="BHA126" s="77"/>
      <c r="BHB126" s="77"/>
      <c r="BHC126" s="77"/>
      <c r="BHD126" s="77"/>
      <c r="BHE126" s="77"/>
      <c r="BHF126" s="77"/>
      <c r="BHG126" s="77"/>
      <c r="BHH126" s="77"/>
      <c r="BHI126" s="77"/>
      <c r="BHJ126" s="77"/>
      <c r="BHK126" s="77"/>
      <c r="BHL126" s="77"/>
      <c r="BHM126" s="77"/>
      <c r="BHN126" s="77"/>
      <c r="BHO126" s="77"/>
      <c r="BHP126" s="77"/>
      <c r="BHQ126" s="77"/>
      <c r="BHR126" s="77"/>
      <c r="BHS126" s="77"/>
      <c r="BHT126" s="77"/>
      <c r="BHU126" s="77"/>
      <c r="BHV126" s="77"/>
      <c r="BHW126" s="77"/>
      <c r="BHX126" s="77"/>
      <c r="BHY126" s="77"/>
      <c r="BHZ126" s="77"/>
      <c r="BIA126" s="77"/>
      <c r="BIB126" s="77"/>
      <c r="BIC126" s="77"/>
      <c r="BID126" s="77"/>
      <c r="BIE126" s="77"/>
      <c r="BIF126" s="77"/>
      <c r="BIG126" s="77"/>
      <c r="BIH126" s="77"/>
      <c r="BII126" s="77"/>
      <c r="BIJ126" s="77"/>
      <c r="BIK126" s="77"/>
      <c r="BIL126" s="77"/>
      <c r="BIM126" s="77"/>
      <c r="BIN126" s="77"/>
      <c r="BIO126" s="77"/>
      <c r="BIP126" s="77"/>
      <c r="BIQ126" s="77"/>
      <c r="BIR126" s="77"/>
      <c r="BIS126" s="77"/>
      <c r="BIT126" s="77"/>
      <c r="BIU126" s="77"/>
      <c r="BIV126" s="77"/>
      <c r="BIW126" s="77"/>
      <c r="BIX126" s="77"/>
      <c r="BIY126" s="77"/>
      <c r="BIZ126" s="77"/>
      <c r="BJA126" s="77"/>
      <c r="BJB126" s="77"/>
      <c r="BJC126" s="77"/>
      <c r="BJD126" s="77"/>
      <c r="BJE126" s="77"/>
      <c r="BJF126" s="77"/>
      <c r="BJG126" s="77"/>
      <c r="BJH126" s="77"/>
      <c r="BJI126" s="77"/>
      <c r="BJJ126" s="77"/>
      <c r="BJK126" s="77"/>
      <c r="BJL126" s="77"/>
      <c r="BJM126" s="77"/>
      <c r="BJN126" s="77"/>
      <c r="BJO126" s="77"/>
      <c r="BJP126" s="77"/>
      <c r="BJQ126" s="77"/>
      <c r="BJR126" s="77"/>
      <c r="BJS126" s="77"/>
      <c r="BJT126" s="77"/>
      <c r="BJU126" s="77"/>
      <c r="BJV126" s="77"/>
      <c r="BJW126" s="77"/>
      <c r="BJX126" s="77"/>
      <c r="BJY126" s="77"/>
      <c r="BJZ126" s="77"/>
      <c r="BKA126" s="77"/>
      <c r="BKB126" s="77"/>
      <c r="BKC126" s="77"/>
      <c r="BKD126" s="77"/>
      <c r="BKE126" s="77"/>
      <c r="BKF126" s="77"/>
      <c r="BKG126" s="77"/>
      <c r="BKH126" s="77"/>
      <c r="BKI126" s="77"/>
      <c r="BKJ126" s="77"/>
      <c r="BKK126" s="77"/>
      <c r="BKL126" s="77"/>
      <c r="BKM126" s="77"/>
      <c r="BKN126" s="77"/>
      <c r="BKO126" s="77"/>
      <c r="BKP126" s="77"/>
      <c r="BKQ126" s="77"/>
      <c r="BKR126" s="77"/>
      <c r="BKS126" s="77"/>
      <c r="BKT126" s="77"/>
      <c r="BKU126" s="77"/>
      <c r="BKV126" s="77"/>
      <c r="BKW126" s="77"/>
      <c r="BKX126" s="77"/>
      <c r="BKY126" s="77"/>
      <c r="BKZ126" s="77"/>
      <c r="BLA126" s="77"/>
      <c r="BLB126" s="77"/>
      <c r="BLC126" s="77"/>
      <c r="BLD126" s="77"/>
      <c r="BLE126" s="77"/>
      <c r="BLF126" s="77"/>
      <c r="BLG126" s="77"/>
      <c r="BLH126" s="77"/>
      <c r="BLI126" s="77"/>
      <c r="BLJ126" s="77"/>
      <c r="BLK126" s="77"/>
      <c r="BLL126" s="77"/>
      <c r="BLM126" s="77"/>
      <c r="BLN126" s="77"/>
      <c r="BLO126" s="77"/>
      <c r="BLP126" s="77"/>
      <c r="BLQ126" s="77"/>
      <c r="BLR126" s="77"/>
      <c r="BLS126" s="77"/>
      <c r="BLT126" s="77"/>
      <c r="BLU126" s="77"/>
      <c r="BLV126" s="77"/>
      <c r="BLW126" s="77"/>
      <c r="BLX126" s="77"/>
      <c r="BLY126" s="77"/>
      <c r="BLZ126" s="77"/>
      <c r="BMA126" s="77"/>
      <c r="BMB126" s="77"/>
      <c r="BMC126" s="77"/>
      <c r="BMD126" s="77"/>
      <c r="BME126" s="77"/>
      <c r="BMF126" s="77"/>
      <c r="BMG126" s="77"/>
      <c r="BMH126" s="77"/>
      <c r="BMI126" s="77"/>
      <c r="BMJ126" s="77"/>
      <c r="BMK126" s="77"/>
      <c r="BML126" s="77"/>
      <c r="BMM126" s="77"/>
      <c r="BMN126" s="77"/>
      <c r="BMO126" s="77"/>
      <c r="BMP126" s="77"/>
      <c r="BMQ126" s="77"/>
      <c r="BMR126" s="77"/>
      <c r="BMS126" s="77"/>
      <c r="BMT126" s="77"/>
      <c r="BMU126" s="77"/>
      <c r="BMV126" s="77"/>
      <c r="BMW126" s="77"/>
      <c r="BMX126" s="77"/>
      <c r="BMY126" s="77"/>
      <c r="BMZ126" s="77"/>
      <c r="BNA126" s="77"/>
      <c r="BNB126" s="77"/>
      <c r="BNC126" s="77"/>
      <c r="BND126" s="77"/>
      <c r="BNE126" s="77"/>
      <c r="BNF126" s="77"/>
      <c r="BNG126" s="77"/>
      <c r="BNH126" s="77"/>
      <c r="BNI126" s="77"/>
      <c r="BNJ126" s="77"/>
      <c r="BNK126" s="77"/>
      <c r="BNL126" s="77"/>
      <c r="BNM126" s="77"/>
      <c r="BNN126" s="77"/>
      <c r="BNO126" s="77"/>
      <c r="BNP126" s="77"/>
      <c r="BNQ126" s="77"/>
      <c r="BNR126" s="77"/>
      <c r="BNS126" s="77"/>
      <c r="BNT126" s="77"/>
      <c r="BNU126" s="77"/>
      <c r="BNV126" s="77"/>
      <c r="BNW126" s="77"/>
      <c r="BNX126" s="77"/>
      <c r="BNY126" s="77"/>
      <c r="BNZ126" s="77"/>
      <c r="BOA126" s="77"/>
      <c r="BOB126" s="77"/>
      <c r="BOC126" s="77"/>
      <c r="BOD126" s="77"/>
      <c r="BOE126" s="77"/>
      <c r="BOF126" s="77"/>
      <c r="BOG126" s="77"/>
      <c r="BOH126" s="77"/>
      <c r="BOI126" s="77"/>
      <c r="BOJ126" s="77"/>
      <c r="BOK126" s="77"/>
      <c r="BOL126" s="77"/>
      <c r="BOM126" s="77"/>
      <c r="BON126" s="77"/>
      <c r="BOO126" s="77"/>
      <c r="BOP126" s="77"/>
      <c r="BOQ126" s="77"/>
      <c r="BOR126" s="77"/>
      <c r="BOS126" s="77"/>
      <c r="BOT126" s="77"/>
      <c r="BOU126" s="77"/>
      <c r="BOV126" s="77"/>
      <c r="BOW126" s="77"/>
      <c r="BOX126" s="77"/>
      <c r="BOY126" s="77"/>
      <c r="BOZ126" s="77"/>
      <c r="BPA126" s="77"/>
      <c r="BPB126" s="77"/>
      <c r="BPC126" s="77"/>
      <c r="BPD126" s="77"/>
      <c r="BPE126" s="77"/>
      <c r="BPF126" s="77"/>
      <c r="BPG126" s="77"/>
      <c r="BPH126" s="77"/>
      <c r="BPI126" s="77"/>
      <c r="BPJ126" s="77"/>
      <c r="BPK126" s="77"/>
      <c r="BPL126" s="77"/>
      <c r="BPM126" s="77"/>
      <c r="BPN126" s="77"/>
      <c r="BPO126" s="77"/>
      <c r="BPP126" s="77"/>
      <c r="BPQ126" s="77"/>
      <c r="BPR126" s="77"/>
      <c r="BPS126" s="77"/>
      <c r="BPT126" s="77"/>
      <c r="BPU126" s="77"/>
      <c r="BPV126" s="77"/>
      <c r="BPW126" s="77"/>
      <c r="BPX126" s="77"/>
      <c r="BPY126" s="77"/>
      <c r="BPZ126" s="77"/>
      <c r="BQA126" s="77"/>
      <c r="BQB126" s="77"/>
      <c r="BQC126" s="77"/>
      <c r="BQD126" s="77"/>
      <c r="BQE126" s="77"/>
      <c r="BQF126" s="77"/>
      <c r="BQG126" s="77"/>
      <c r="BQH126" s="77"/>
      <c r="BQI126" s="77"/>
      <c r="BQJ126" s="77"/>
      <c r="BQK126" s="77"/>
      <c r="BQL126" s="77"/>
      <c r="BQM126" s="77"/>
      <c r="BQN126" s="77"/>
      <c r="BQO126" s="77"/>
      <c r="BQP126" s="77"/>
      <c r="BQQ126" s="77"/>
      <c r="BQR126" s="77"/>
      <c r="BQS126" s="77"/>
      <c r="BQT126" s="77"/>
      <c r="BQU126" s="77"/>
      <c r="BQV126" s="77"/>
      <c r="BQW126" s="77"/>
      <c r="BQX126" s="77"/>
      <c r="BQY126" s="77"/>
      <c r="BQZ126" s="77"/>
      <c r="BRA126" s="77"/>
      <c r="BRB126" s="77"/>
      <c r="BRC126" s="77"/>
      <c r="BRD126" s="77"/>
      <c r="BRE126" s="77"/>
      <c r="BRF126" s="77"/>
      <c r="BRG126" s="77"/>
      <c r="BRH126" s="77"/>
      <c r="BRI126" s="77"/>
      <c r="BRJ126" s="77"/>
      <c r="BRK126" s="77"/>
      <c r="BRL126" s="77"/>
      <c r="BRM126" s="77"/>
      <c r="BRN126" s="77"/>
      <c r="BRO126" s="77"/>
      <c r="BRP126" s="77"/>
      <c r="BRQ126" s="77"/>
      <c r="BRR126" s="77"/>
      <c r="BRS126" s="77"/>
      <c r="BRT126" s="77"/>
      <c r="BRU126" s="77"/>
      <c r="BRV126" s="77"/>
      <c r="BRW126" s="77"/>
      <c r="BRX126" s="77"/>
      <c r="BRY126" s="77"/>
      <c r="BRZ126" s="77"/>
      <c r="BSA126" s="77"/>
      <c r="BSB126" s="77"/>
      <c r="BSC126" s="77"/>
      <c r="BSD126" s="77"/>
      <c r="BSE126" s="77"/>
      <c r="BSF126" s="77"/>
      <c r="BSG126" s="77"/>
      <c r="BSH126" s="77"/>
      <c r="BSI126" s="77"/>
      <c r="BSJ126" s="77"/>
      <c r="BSK126" s="77"/>
      <c r="BSL126" s="77"/>
      <c r="BSM126" s="77"/>
      <c r="BSN126" s="77"/>
      <c r="BSO126" s="77"/>
      <c r="BSP126" s="77"/>
      <c r="BSQ126" s="77"/>
      <c r="BSR126" s="77"/>
      <c r="BSS126" s="77"/>
      <c r="BST126" s="77"/>
      <c r="BSU126" s="77"/>
      <c r="BSV126" s="77"/>
      <c r="BSW126" s="77"/>
      <c r="BSX126" s="77"/>
      <c r="BSY126" s="77"/>
      <c r="BSZ126" s="77"/>
      <c r="BTA126" s="77"/>
      <c r="BTB126" s="77"/>
      <c r="BTC126" s="77"/>
      <c r="BTD126" s="77"/>
      <c r="BTE126" s="77"/>
      <c r="BTF126" s="77"/>
      <c r="BTG126" s="77"/>
      <c r="BTH126" s="77"/>
      <c r="BTI126" s="77"/>
      <c r="BTJ126" s="77"/>
      <c r="BTK126" s="77"/>
      <c r="BTL126" s="77"/>
      <c r="BTM126" s="77"/>
      <c r="BTN126" s="77"/>
      <c r="BTO126" s="77"/>
      <c r="BTP126" s="77"/>
      <c r="BTQ126" s="77"/>
      <c r="BTR126" s="77"/>
      <c r="BTS126" s="77"/>
      <c r="BTT126" s="77"/>
      <c r="BTU126" s="77"/>
      <c r="BTV126" s="77"/>
      <c r="BTW126" s="77"/>
      <c r="BTX126" s="77"/>
      <c r="BTY126" s="77"/>
      <c r="BTZ126" s="77"/>
      <c r="BUA126" s="77"/>
      <c r="BUB126" s="77"/>
      <c r="BUC126" s="77"/>
      <c r="BUD126" s="77"/>
      <c r="BUE126" s="77"/>
      <c r="BUF126" s="77"/>
      <c r="BUG126" s="77"/>
      <c r="BUH126" s="77"/>
      <c r="BUI126" s="77"/>
      <c r="BUJ126" s="77"/>
      <c r="BUK126" s="77"/>
      <c r="BUL126" s="77"/>
      <c r="BUM126" s="77"/>
      <c r="BUN126" s="77"/>
      <c r="BUO126" s="77"/>
      <c r="BUP126" s="77"/>
      <c r="BUQ126" s="77"/>
      <c r="BUR126" s="77"/>
      <c r="BUS126" s="77"/>
      <c r="BUT126" s="77"/>
      <c r="BUU126" s="77"/>
      <c r="BUV126" s="77"/>
      <c r="BUW126" s="77"/>
      <c r="BUX126" s="77"/>
      <c r="BUY126" s="77"/>
      <c r="BUZ126" s="77"/>
      <c r="BVA126" s="77"/>
      <c r="BVB126" s="77"/>
      <c r="BVC126" s="77"/>
      <c r="BVD126" s="77"/>
      <c r="BVE126" s="77"/>
      <c r="BVF126" s="77"/>
      <c r="BVG126" s="77"/>
      <c r="BVH126" s="77"/>
      <c r="BVI126" s="77"/>
      <c r="BVJ126" s="77"/>
      <c r="BVK126" s="77"/>
      <c r="BVL126" s="77"/>
      <c r="BVM126" s="77"/>
      <c r="BVN126" s="77"/>
      <c r="BVO126" s="77"/>
      <c r="BVP126" s="77"/>
      <c r="BVQ126" s="77"/>
      <c r="BVR126" s="77"/>
      <c r="BVS126" s="77"/>
      <c r="BVT126" s="77"/>
      <c r="BVU126" s="77"/>
      <c r="BVV126" s="77"/>
      <c r="BVW126" s="77"/>
      <c r="BVX126" s="77"/>
      <c r="BVY126" s="77"/>
      <c r="BVZ126" s="77"/>
      <c r="BWA126" s="77"/>
      <c r="BWB126" s="77"/>
      <c r="BWC126" s="77"/>
      <c r="BWD126" s="77"/>
      <c r="BWE126" s="77"/>
      <c r="BWF126" s="77"/>
      <c r="BWG126" s="77"/>
      <c r="BWH126" s="77"/>
      <c r="BWI126" s="77"/>
      <c r="BWJ126" s="77"/>
      <c r="BWK126" s="77"/>
      <c r="BWL126" s="77"/>
      <c r="BWM126" s="77"/>
      <c r="BWN126" s="77"/>
      <c r="BWO126" s="77"/>
      <c r="BWP126" s="77"/>
      <c r="BWQ126" s="77"/>
      <c r="BWR126" s="77"/>
      <c r="BWS126" s="77"/>
      <c r="BWT126" s="77"/>
      <c r="BWU126" s="77"/>
      <c r="BWV126" s="77"/>
      <c r="BWW126" s="77"/>
      <c r="BWX126" s="77"/>
      <c r="BWY126" s="77"/>
      <c r="BWZ126" s="77"/>
      <c r="BXA126" s="77"/>
      <c r="BXB126" s="77"/>
      <c r="BXC126" s="77"/>
      <c r="BXD126" s="77"/>
      <c r="BXE126" s="77"/>
      <c r="BXF126" s="77"/>
      <c r="BXG126" s="77"/>
      <c r="BXH126" s="77"/>
      <c r="BXI126" s="77"/>
      <c r="BXJ126" s="77"/>
      <c r="BXK126" s="77"/>
      <c r="BXL126" s="77"/>
      <c r="BXM126" s="77"/>
      <c r="BXN126" s="77"/>
      <c r="BXO126" s="77"/>
      <c r="BXP126" s="77"/>
      <c r="BXQ126" s="77"/>
      <c r="BXR126" s="77"/>
      <c r="BXS126" s="77"/>
      <c r="BXT126" s="77"/>
      <c r="BXU126" s="77"/>
      <c r="BXV126" s="77"/>
      <c r="BXW126" s="77"/>
      <c r="BXX126" s="77"/>
      <c r="BXY126" s="77"/>
      <c r="BXZ126" s="77"/>
      <c r="BYA126" s="77"/>
      <c r="BYB126" s="77"/>
      <c r="BYC126" s="77"/>
      <c r="BYD126" s="77"/>
      <c r="BYE126" s="77"/>
      <c r="BYF126" s="77"/>
      <c r="BYG126" s="77"/>
      <c r="BYH126" s="77"/>
      <c r="BYI126" s="77"/>
      <c r="BYJ126" s="77"/>
      <c r="BYK126" s="77"/>
      <c r="BYL126" s="77"/>
      <c r="BYM126" s="77"/>
      <c r="BYN126" s="77"/>
      <c r="BYO126" s="77"/>
      <c r="BYP126" s="77"/>
      <c r="BYQ126" s="77"/>
      <c r="BYR126" s="77"/>
      <c r="BYS126" s="77"/>
      <c r="BYT126" s="77"/>
      <c r="BYU126" s="77"/>
      <c r="BYV126" s="77"/>
      <c r="BYW126" s="77"/>
      <c r="BYX126" s="77"/>
      <c r="BYY126" s="77"/>
      <c r="BYZ126" s="77"/>
      <c r="BZA126" s="77"/>
      <c r="BZB126" s="77"/>
      <c r="BZC126" s="77"/>
      <c r="BZD126" s="77"/>
      <c r="BZE126" s="77"/>
      <c r="BZF126" s="77"/>
      <c r="BZG126" s="77"/>
      <c r="BZH126" s="77"/>
      <c r="BZI126" s="77"/>
      <c r="BZJ126" s="77"/>
      <c r="BZK126" s="77"/>
      <c r="BZL126" s="77"/>
      <c r="BZM126" s="77"/>
      <c r="BZN126" s="77"/>
      <c r="BZO126" s="77"/>
      <c r="BZP126" s="77"/>
      <c r="BZQ126" s="77"/>
      <c r="BZR126" s="77"/>
      <c r="BZS126" s="77"/>
      <c r="BZT126" s="77"/>
      <c r="BZU126" s="77"/>
      <c r="BZV126" s="77"/>
      <c r="BZW126" s="77"/>
      <c r="BZX126" s="77"/>
      <c r="BZY126" s="77"/>
      <c r="BZZ126" s="77"/>
      <c r="CAA126" s="77"/>
      <c r="CAB126" s="77"/>
      <c r="CAC126" s="77"/>
      <c r="CAD126" s="77"/>
      <c r="CAE126" s="77"/>
      <c r="CAF126" s="77"/>
      <c r="CAG126" s="77"/>
      <c r="CAH126" s="77"/>
      <c r="CAI126" s="77"/>
      <c r="CAJ126" s="77"/>
      <c r="CAK126" s="77"/>
      <c r="CAL126" s="77"/>
      <c r="CAM126" s="77"/>
      <c r="CAN126" s="77"/>
      <c r="CAO126" s="77"/>
      <c r="CAP126" s="77"/>
      <c r="CAQ126" s="77"/>
      <c r="CAR126" s="77"/>
      <c r="CAS126" s="77"/>
      <c r="CAT126" s="77"/>
      <c r="CAU126" s="77"/>
      <c r="CAV126" s="77"/>
      <c r="CAW126" s="77"/>
      <c r="CAX126" s="77"/>
      <c r="CAY126" s="77"/>
      <c r="CAZ126" s="77"/>
      <c r="CBA126" s="77"/>
      <c r="CBB126" s="77"/>
      <c r="CBC126" s="77"/>
      <c r="CBD126" s="77"/>
      <c r="CBE126" s="77"/>
      <c r="CBF126" s="77"/>
      <c r="CBG126" s="77"/>
      <c r="CBH126" s="77"/>
      <c r="CBI126" s="77"/>
      <c r="CBJ126" s="77"/>
      <c r="CBK126" s="77"/>
      <c r="CBL126" s="77"/>
      <c r="CBM126" s="77"/>
      <c r="CBN126" s="77"/>
      <c r="CBO126" s="77"/>
      <c r="CBP126" s="77"/>
      <c r="CBQ126" s="77"/>
      <c r="CBR126" s="77"/>
      <c r="CBS126" s="77"/>
      <c r="CBT126" s="77"/>
      <c r="CBU126" s="77"/>
      <c r="CBV126" s="77"/>
      <c r="CBW126" s="77"/>
      <c r="CBX126" s="77"/>
      <c r="CBY126" s="77"/>
      <c r="CBZ126" s="77"/>
      <c r="CCA126" s="77"/>
      <c r="CCB126" s="77"/>
      <c r="CCC126" s="77"/>
      <c r="CCD126" s="77"/>
      <c r="CCE126" s="77"/>
      <c r="CCF126" s="77"/>
      <c r="CCG126" s="77"/>
      <c r="CCH126" s="77"/>
      <c r="CCI126" s="77"/>
      <c r="CCJ126" s="77"/>
      <c r="CCK126" s="77"/>
      <c r="CCL126" s="77"/>
      <c r="CCM126" s="77"/>
      <c r="CCN126" s="77"/>
      <c r="CCO126" s="77"/>
      <c r="CCP126" s="77"/>
      <c r="CCQ126" s="77"/>
      <c r="CCR126" s="77"/>
      <c r="CCS126" s="77"/>
      <c r="CCT126" s="77"/>
      <c r="CCU126" s="77"/>
      <c r="CCV126" s="77"/>
      <c r="CCW126" s="77"/>
      <c r="CCX126" s="77"/>
      <c r="CCY126" s="77"/>
      <c r="CCZ126" s="77"/>
      <c r="CDA126" s="77"/>
      <c r="CDB126" s="77"/>
      <c r="CDC126" s="77"/>
      <c r="CDD126" s="77"/>
      <c r="CDE126" s="77"/>
      <c r="CDF126" s="77"/>
      <c r="CDG126" s="77"/>
      <c r="CDH126" s="77"/>
      <c r="CDI126" s="77"/>
      <c r="CDJ126" s="77"/>
      <c r="CDK126" s="77"/>
      <c r="CDL126" s="77"/>
      <c r="CDM126" s="77"/>
      <c r="CDN126" s="77"/>
      <c r="CDO126" s="77"/>
      <c r="CDP126" s="77"/>
      <c r="CDQ126" s="77"/>
      <c r="CDR126" s="77"/>
      <c r="CDS126" s="77"/>
      <c r="CDT126" s="77"/>
      <c r="CDU126" s="77"/>
      <c r="CDV126" s="77"/>
      <c r="CDW126" s="77"/>
      <c r="CDX126" s="77"/>
      <c r="CDY126" s="77"/>
      <c r="CDZ126" s="77"/>
      <c r="CEA126" s="77"/>
      <c r="CEB126" s="77"/>
      <c r="CEC126" s="77"/>
      <c r="CED126" s="77"/>
      <c r="CEE126" s="77"/>
      <c r="CEF126" s="77"/>
      <c r="CEG126" s="77"/>
      <c r="CEH126" s="77"/>
      <c r="CEI126" s="77"/>
      <c r="CEJ126" s="77"/>
      <c r="CEK126" s="77"/>
      <c r="CEL126" s="77"/>
      <c r="CEM126" s="77"/>
      <c r="CEN126" s="77"/>
      <c r="CEO126" s="77"/>
      <c r="CEP126" s="77"/>
      <c r="CEQ126" s="77"/>
      <c r="CER126" s="77"/>
      <c r="CES126" s="77"/>
      <c r="CET126" s="77"/>
      <c r="CEU126" s="77"/>
      <c r="CEV126" s="77"/>
      <c r="CEW126" s="77"/>
      <c r="CEX126" s="77"/>
      <c r="CEY126" s="77"/>
      <c r="CEZ126" s="77"/>
      <c r="CFA126" s="77"/>
      <c r="CFB126" s="77"/>
      <c r="CFC126" s="77"/>
      <c r="CFD126" s="77"/>
      <c r="CFE126" s="77"/>
      <c r="CFF126" s="77"/>
      <c r="CFG126" s="77"/>
      <c r="CFH126" s="77"/>
      <c r="CFI126" s="77"/>
      <c r="CFJ126" s="77"/>
      <c r="CFK126" s="77"/>
      <c r="CFL126" s="77"/>
      <c r="CFM126" s="77"/>
      <c r="CFN126" s="77"/>
      <c r="CFO126" s="77"/>
      <c r="CFP126" s="77"/>
      <c r="CFQ126" s="77"/>
      <c r="CFR126" s="77"/>
      <c r="CFS126" s="77"/>
      <c r="CFT126" s="77"/>
      <c r="CFU126" s="77"/>
      <c r="CFV126" s="77"/>
      <c r="CFW126" s="77"/>
      <c r="CFX126" s="77"/>
      <c r="CFY126" s="77"/>
      <c r="CFZ126" s="77"/>
      <c r="CGA126" s="77"/>
      <c r="CGB126" s="77"/>
      <c r="CGC126" s="77"/>
      <c r="CGD126" s="77"/>
      <c r="CGE126" s="77"/>
      <c r="CGF126" s="77"/>
      <c r="CGG126" s="77"/>
      <c r="CGH126" s="77"/>
      <c r="CGI126" s="77"/>
      <c r="CGJ126" s="77"/>
      <c r="CGK126" s="77"/>
      <c r="CGL126" s="77"/>
      <c r="CGM126" s="77"/>
      <c r="CGN126" s="77"/>
      <c r="CGO126" s="77"/>
      <c r="CGP126" s="77"/>
      <c r="CGQ126" s="77"/>
      <c r="CGR126" s="77"/>
      <c r="CGS126" s="77"/>
      <c r="CGT126" s="77"/>
      <c r="CGU126" s="77"/>
      <c r="CGV126" s="77"/>
      <c r="CGW126" s="77"/>
      <c r="CGX126" s="77"/>
      <c r="CGY126" s="77"/>
      <c r="CGZ126" s="77"/>
      <c r="CHA126" s="77"/>
      <c r="CHB126" s="77"/>
      <c r="CHC126" s="77"/>
      <c r="CHD126" s="77"/>
      <c r="CHE126" s="77"/>
      <c r="CHF126" s="77"/>
      <c r="CHG126" s="77"/>
      <c r="CHH126" s="77"/>
      <c r="CHI126" s="77"/>
      <c r="CHJ126" s="77"/>
      <c r="CHK126" s="77"/>
      <c r="CHL126" s="77"/>
      <c r="CHM126" s="77"/>
      <c r="CHN126" s="77"/>
      <c r="CHO126" s="77"/>
      <c r="CHP126" s="77"/>
      <c r="CHQ126" s="77"/>
      <c r="CHR126" s="77"/>
      <c r="CHS126" s="77"/>
      <c r="CHT126" s="77"/>
      <c r="CHU126" s="77"/>
      <c r="CHV126" s="77"/>
      <c r="CHW126" s="77"/>
      <c r="CHX126" s="77"/>
      <c r="CHY126" s="77"/>
      <c r="CHZ126" s="77"/>
      <c r="CIA126" s="77"/>
      <c r="CIB126" s="77"/>
      <c r="CIC126" s="77"/>
      <c r="CID126" s="77"/>
      <c r="CIE126" s="77"/>
      <c r="CIF126" s="77"/>
      <c r="CIG126" s="77"/>
      <c r="CIH126" s="77"/>
      <c r="CII126" s="77"/>
      <c r="CIJ126" s="77"/>
      <c r="CIK126" s="77"/>
      <c r="CIL126" s="77"/>
      <c r="CIM126" s="77"/>
      <c r="CIN126" s="77"/>
      <c r="CIO126" s="77"/>
      <c r="CIP126" s="77"/>
      <c r="CIQ126" s="77"/>
      <c r="CIR126" s="77"/>
      <c r="CIS126" s="77"/>
      <c r="CIT126" s="77"/>
      <c r="CIU126" s="77"/>
      <c r="CIV126" s="77"/>
      <c r="CIW126" s="77"/>
      <c r="CIX126" s="77"/>
      <c r="CIY126" s="77"/>
      <c r="CIZ126" s="77"/>
      <c r="CJA126" s="77"/>
      <c r="CJB126" s="77"/>
      <c r="CJC126" s="77"/>
      <c r="CJD126" s="77"/>
      <c r="CJE126" s="77"/>
      <c r="CJF126" s="77"/>
      <c r="CJG126" s="77"/>
      <c r="CJH126" s="77"/>
      <c r="CJI126" s="77"/>
      <c r="CJJ126" s="77"/>
      <c r="CJK126" s="77"/>
      <c r="CJL126" s="77"/>
      <c r="CJM126" s="77"/>
      <c r="CJN126" s="77"/>
      <c r="CJO126" s="77"/>
      <c r="CJP126" s="77"/>
      <c r="CJQ126" s="77"/>
      <c r="CJR126" s="77"/>
      <c r="CJS126" s="77"/>
      <c r="CJT126" s="77"/>
      <c r="CJU126" s="77"/>
      <c r="CJV126" s="77"/>
      <c r="CJW126" s="77"/>
      <c r="CJX126" s="77"/>
      <c r="CJY126" s="77"/>
      <c r="CJZ126" s="77"/>
      <c r="CKA126" s="77"/>
      <c r="CKB126" s="77"/>
      <c r="CKC126" s="77"/>
      <c r="CKD126" s="77"/>
      <c r="CKE126" s="77"/>
      <c r="CKF126" s="77"/>
      <c r="CKG126" s="77"/>
      <c r="CKH126" s="77"/>
      <c r="CKI126" s="77"/>
      <c r="CKJ126" s="77"/>
      <c r="CKK126" s="77"/>
      <c r="CKL126" s="77"/>
      <c r="CKM126" s="77"/>
      <c r="CKN126" s="77"/>
      <c r="CKO126" s="77"/>
      <c r="CKP126" s="77"/>
      <c r="CKQ126" s="77"/>
      <c r="CKR126" s="77"/>
      <c r="CKS126" s="77"/>
      <c r="CKT126" s="77"/>
      <c r="CKU126" s="77"/>
      <c r="CKV126" s="77"/>
      <c r="CKW126" s="77"/>
      <c r="CKX126" s="77"/>
      <c r="CKY126" s="77"/>
      <c r="CKZ126" s="77"/>
      <c r="CLA126" s="77"/>
      <c r="CLB126" s="77"/>
      <c r="CLC126" s="77"/>
      <c r="CLD126" s="77"/>
      <c r="CLE126" s="77"/>
      <c r="CLF126" s="77"/>
      <c r="CLG126" s="77"/>
      <c r="CLH126" s="77"/>
      <c r="CLI126" s="77"/>
      <c r="CLJ126" s="77"/>
      <c r="CLK126" s="77"/>
      <c r="CLL126" s="77"/>
      <c r="CLM126" s="77"/>
      <c r="CLN126" s="77"/>
      <c r="CLO126" s="77"/>
      <c r="CLP126" s="77"/>
      <c r="CLQ126" s="77"/>
      <c r="CLR126" s="77"/>
      <c r="CLS126" s="77"/>
      <c r="CLT126" s="77"/>
      <c r="CLU126" s="77"/>
      <c r="CLV126" s="77"/>
      <c r="CLW126" s="77"/>
      <c r="CLX126" s="77"/>
      <c r="CLY126" s="77"/>
      <c r="CLZ126" s="77"/>
      <c r="CMA126" s="77"/>
      <c r="CMB126" s="77"/>
      <c r="CMC126" s="77"/>
      <c r="CMD126" s="77"/>
      <c r="CME126" s="77"/>
      <c r="CMF126" s="77"/>
      <c r="CMG126" s="77"/>
      <c r="CMH126" s="77"/>
      <c r="CMI126" s="77"/>
      <c r="CMJ126" s="77"/>
      <c r="CMK126" s="77"/>
      <c r="CML126" s="77"/>
      <c r="CMM126" s="77"/>
      <c r="CMN126" s="77"/>
      <c r="CMO126" s="77"/>
      <c r="CMP126" s="77"/>
      <c r="CMQ126" s="77"/>
      <c r="CMR126" s="77"/>
      <c r="CMS126" s="77"/>
      <c r="CMT126" s="77"/>
      <c r="CMU126" s="77"/>
      <c r="CMV126" s="77"/>
      <c r="CMW126" s="77"/>
      <c r="CMX126" s="77"/>
      <c r="CMY126" s="77"/>
      <c r="CMZ126" s="77"/>
      <c r="CNA126" s="77"/>
      <c r="CNB126" s="77"/>
      <c r="CNC126" s="77"/>
      <c r="CND126" s="77"/>
      <c r="CNE126" s="77"/>
      <c r="CNF126" s="77"/>
      <c r="CNG126" s="77"/>
      <c r="CNH126" s="77"/>
      <c r="CNI126" s="77"/>
      <c r="CNJ126" s="77"/>
      <c r="CNK126" s="77"/>
      <c r="CNL126" s="77"/>
      <c r="CNM126" s="77"/>
      <c r="CNN126" s="77"/>
      <c r="CNO126" s="77"/>
      <c r="CNP126" s="77"/>
      <c r="CNQ126" s="77"/>
      <c r="CNR126" s="77"/>
      <c r="CNS126" s="77"/>
      <c r="CNT126" s="77"/>
      <c r="CNU126" s="77"/>
      <c r="CNV126" s="77"/>
      <c r="CNW126" s="77"/>
      <c r="CNX126" s="77"/>
      <c r="CNY126" s="77"/>
      <c r="CNZ126" s="77"/>
      <c r="COA126" s="77"/>
      <c r="COB126" s="77"/>
      <c r="COC126" s="77"/>
      <c r="COD126" s="77"/>
      <c r="COE126" s="77"/>
      <c r="COF126" s="77"/>
      <c r="COG126" s="77"/>
      <c r="COH126" s="77"/>
      <c r="COI126" s="77"/>
      <c r="COJ126" s="77"/>
      <c r="COK126" s="77"/>
      <c r="COL126" s="77"/>
      <c r="COM126" s="77"/>
      <c r="CON126" s="77"/>
      <c r="COO126" s="77"/>
      <c r="COP126" s="77"/>
      <c r="COQ126" s="77"/>
      <c r="COR126" s="77"/>
      <c r="COS126" s="77"/>
      <c r="COT126" s="77"/>
      <c r="COU126" s="77"/>
      <c r="COV126" s="77"/>
      <c r="COW126" s="77"/>
      <c r="COX126" s="77"/>
      <c r="COY126" s="77"/>
      <c r="COZ126" s="77"/>
      <c r="CPA126" s="77"/>
      <c r="CPB126" s="77"/>
      <c r="CPC126" s="77"/>
      <c r="CPD126" s="77"/>
      <c r="CPE126" s="77"/>
      <c r="CPF126" s="77"/>
      <c r="CPG126" s="77"/>
      <c r="CPH126" s="77"/>
      <c r="CPI126" s="77"/>
      <c r="CPJ126" s="77"/>
      <c r="CPK126" s="77"/>
      <c r="CPL126" s="77"/>
      <c r="CPM126" s="77"/>
      <c r="CPN126" s="77"/>
      <c r="CPO126" s="77"/>
      <c r="CPP126" s="77"/>
      <c r="CPQ126" s="77"/>
      <c r="CPR126" s="77"/>
      <c r="CPS126" s="77"/>
      <c r="CPT126" s="77"/>
      <c r="CPU126" s="77"/>
      <c r="CPV126" s="77"/>
      <c r="CPW126" s="77"/>
      <c r="CPX126" s="77"/>
      <c r="CPY126" s="77"/>
      <c r="CPZ126" s="77"/>
      <c r="CQA126" s="77"/>
      <c r="CQB126" s="77"/>
      <c r="CQC126" s="77"/>
      <c r="CQD126" s="77"/>
      <c r="CQE126" s="77"/>
      <c r="CQF126" s="77"/>
      <c r="CQG126" s="77"/>
      <c r="CQH126" s="77"/>
      <c r="CQI126" s="77"/>
      <c r="CQJ126" s="77"/>
      <c r="CQK126" s="77"/>
      <c r="CQL126" s="77"/>
      <c r="CQM126" s="77"/>
      <c r="CQN126" s="77"/>
      <c r="CQO126" s="77"/>
      <c r="CQP126" s="77"/>
      <c r="CQQ126" s="77"/>
      <c r="CQR126" s="77"/>
      <c r="CQS126" s="77"/>
      <c r="CQT126" s="77"/>
      <c r="CQU126" s="77"/>
      <c r="CQV126" s="77"/>
      <c r="CQW126" s="77"/>
      <c r="CQX126" s="77"/>
      <c r="CQY126" s="77"/>
      <c r="CQZ126" s="77"/>
      <c r="CRA126" s="77"/>
      <c r="CRB126" s="77"/>
      <c r="CRC126" s="77"/>
      <c r="CRD126" s="77"/>
      <c r="CRE126" s="77"/>
      <c r="CRF126" s="77"/>
      <c r="CRG126" s="77"/>
      <c r="CRH126" s="77"/>
      <c r="CRI126" s="77"/>
      <c r="CRJ126" s="77"/>
      <c r="CRK126" s="77"/>
      <c r="CRL126" s="77"/>
      <c r="CRM126" s="77"/>
      <c r="CRN126" s="77"/>
      <c r="CRO126" s="77"/>
      <c r="CRP126" s="77"/>
      <c r="CRQ126" s="77"/>
      <c r="CRR126" s="77"/>
      <c r="CRS126" s="77"/>
      <c r="CRT126" s="77"/>
      <c r="CRU126" s="77"/>
      <c r="CRV126" s="77"/>
      <c r="CRW126" s="77"/>
      <c r="CRX126" s="77"/>
      <c r="CRY126" s="77"/>
      <c r="CRZ126" s="77"/>
      <c r="CSA126" s="77"/>
      <c r="CSB126" s="77"/>
      <c r="CSC126" s="77"/>
      <c r="CSD126" s="77"/>
      <c r="CSE126" s="77"/>
      <c r="CSF126" s="77"/>
      <c r="CSG126" s="77"/>
      <c r="CSH126" s="77"/>
      <c r="CSI126" s="77"/>
      <c r="CSJ126" s="77"/>
      <c r="CSK126" s="77"/>
      <c r="CSL126" s="77"/>
      <c r="CSM126" s="77"/>
      <c r="CSN126" s="77"/>
      <c r="CSO126" s="77"/>
      <c r="CSP126" s="77"/>
      <c r="CSQ126" s="77"/>
      <c r="CSR126" s="77"/>
      <c r="CSS126" s="77"/>
      <c r="CST126" s="77"/>
      <c r="CSU126" s="77"/>
      <c r="CSV126" s="77"/>
      <c r="CSW126" s="77"/>
      <c r="CSX126" s="77"/>
      <c r="CSY126" s="77"/>
      <c r="CSZ126" s="77"/>
      <c r="CTA126" s="77"/>
      <c r="CTB126" s="77"/>
      <c r="CTC126" s="77"/>
      <c r="CTD126" s="77"/>
      <c r="CTE126" s="77"/>
      <c r="CTF126" s="77"/>
      <c r="CTG126" s="77"/>
      <c r="CTH126" s="77"/>
      <c r="CTI126" s="77"/>
      <c r="CTJ126" s="77"/>
      <c r="CTK126" s="77"/>
      <c r="CTL126" s="77"/>
      <c r="CTM126" s="77"/>
      <c r="CTN126" s="77"/>
      <c r="CTO126" s="77"/>
      <c r="CTP126" s="77"/>
      <c r="CTQ126" s="77"/>
      <c r="CTR126" s="77"/>
      <c r="CTS126" s="77"/>
      <c r="CTT126" s="77"/>
      <c r="CTU126" s="77"/>
      <c r="CTV126" s="77"/>
      <c r="CTW126" s="77"/>
      <c r="CTX126" s="77"/>
      <c r="CTY126" s="77"/>
      <c r="CTZ126" s="77"/>
      <c r="CUA126" s="77"/>
      <c r="CUB126" s="77"/>
      <c r="CUC126" s="77"/>
      <c r="CUD126" s="77"/>
      <c r="CUE126" s="77"/>
      <c r="CUF126" s="77"/>
      <c r="CUG126" s="77"/>
      <c r="CUH126" s="77"/>
      <c r="CUI126" s="77"/>
      <c r="CUJ126" s="77"/>
      <c r="CUK126" s="77"/>
      <c r="CUL126" s="77"/>
      <c r="CUM126" s="77"/>
      <c r="CUN126" s="77"/>
      <c r="CUO126" s="77"/>
      <c r="CUP126" s="77"/>
      <c r="CUQ126" s="77"/>
      <c r="CUR126" s="77"/>
      <c r="CUS126" s="77"/>
      <c r="CUT126" s="77"/>
      <c r="CUU126" s="77"/>
      <c r="CUV126" s="77"/>
      <c r="CUW126" s="77"/>
      <c r="CUX126" s="77"/>
      <c r="CUY126" s="77"/>
      <c r="CUZ126" s="77"/>
      <c r="CVA126" s="77"/>
      <c r="CVB126" s="77"/>
      <c r="CVC126" s="77"/>
      <c r="CVD126" s="77"/>
      <c r="CVE126" s="77"/>
      <c r="CVF126" s="77"/>
      <c r="CVG126" s="77"/>
      <c r="CVH126" s="77"/>
      <c r="CVI126" s="77"/>
      <c r="CVJ126" s="77"/>
      <c r="CVK126" s="77"/>
      <c r="CVL126" s="77"/>
      <c r="CVM126" s="77"/>
      <c r="CVN126" s="77"/>
      <c r="CVO126" s="77"/>
      <c r="CVP126" s="77"/>
      <c r="CVQ126" s="77"/>
      <c r="CVR126" s="77"/>
      <c r="CVS126" s="77"/>
      <c r="CVT126" s="77"/>
      <c r="CVU126" s="77"/>
      <c r="CVV126" s="77"/>
      <c r="CVW126" s="77"/>
      <c r="CVX126" s="77"/>
      <c r="CVY126" s="77"/>
      <c r="CVZ126" s="77"/>
      <c r="CWA126" s="77"/>
      <c r="CWB126" s="77"/>
      <c r="CWC126" s="77"/>
      <c r="CWD126" s="77"/>
      <c r="CWE126" s="77"/>
      <c r="CWF126" s="77"/>
      <c r="CWG126" s="77"/>
      <c r="CWH126" s="77"/>
      <c r="CWI126" s="77"/>
      <c r="CWJ126" s="77"/>
      <c r="CWK126" s="77"/>
      <c r="CWL126" s="77"/>
      <c r="CWM126" s="77"/>
      <c r="CWN126" s="77"/>
      <c r="CWO126" s="77"/>
      <c r="CWP126" s="77"/>
      <c r="CWQ126" s="77"/>
      <c r="CWR126" s="77"/>
      <c r="CWS126" s="77"/>
      <c r="CWT126" s="77"/>
      <c r="CWU126" s="77"/>
      <c r="CWV126" s="77"/>
      <c r="CWW126" s="77"/>
      <c r="CWX126" s="77"/>
      <c r="CWY126" s="77"/>
      <c r="CWZ126" s="77"/>
      <c r="CXA126" s="77"/>
      <c r="CXB126" s="77"/>
      <c r="CXC126" s="77"/>
      <c r="CXD126" s="77"/>
      <c r="CXE126" s="77"/>
      <c r="CXF126" s="77"/>
      <c r="CXG126" s="77"/>
      <c r="CXH126" s="77"/>
      <c r="CXI126" s="77"/>
      <c r="CXJ126" s="77"/>
      <c r="CXK126" s="77"/>
      <c r="CXL126" s="77"/>
      <c r="CXM126" s="77"/>
      <c r="CXN126" s="77"/>
      <c r="CXO126" s="77"/>
      <c r="CXP126" s="77"/>
      <c r="CXQ126" s="77"/>
      <c r="CXR126" s="77"/>
      <c r="CXS126" s="77"/>
      <c r="CXT126" s="77"/>
      <c r="CXU126" s="77"/>
      <c r="CXV126" s="77"/>
      <c r="CXW126" s="77"/>
      <c r="CXX126" s="77"/>
      <c r="CXY126" s="77"/>
      <c r="CXZ126" s="77"/>
      <c r="CYA126" s="77"/>
      <c r="CYB126" s="77"/>
      <c r="CYC126" s="77"/>
      <c r="CYD126" s="77"/>
      <c r="CYE126" s="77"/>
      <c r="CYF126" s="77"/>
      <c r="CYG126" s="77"/>
      <c r="CYH126" s="77"/>
      <c r="CYI126" s="77"/>
      <c r="CYJ126" s="77"/>
      <c r="CYK126" s="77"/>
      <c r="CYL126" s="77"/>
      <c r="CYM126" s="77"/>
      <c r="CYN126" s="77"/>
      <c r="CYO126" s="77"/>
      <c r="CYP126" s="77"/>
      <c r="CYQ126" s="77"/>
      <c r="CYR126" s="77"/>
      <c r="CYS126" s="77"/>
      <c r="CYT126" s="77"/>
      <c r="CYU126" s="77"/>
      <c r="CYV126" s="77"/>
      <c r="CYW126" s="77"/>
      <c r="CYX126" s="77"/>
      <c r="CYY126" s="77"/>
      <c r="CYZ126" s="77"/>
      <c r="CZA126" s="77"/>
      <c r="CZB126" s="77"/>
      <c r="CZC126" s="77"/>
      <c r="CZD126" s="77"/>
      <c r="CZE126" s="77"/>
      <c r="CZF126" s="77"/>
      <c r="CZG126" s="77"/>
      <c r="CZH126" s="77"/>
      <c r="CZI126" s="77"/>
      <c r="CZJ126" s="77"/>
      <c r="CZK126" s="77"/>
      <c r="CZL126" s="77"/>
      <c r="CZM126" s="77"/>
      <c r="CZN126" s="77"/>
      <c r="CZO126" s="77"/>
      <c r="CZP126" s="77"/>
      <c r="CZQ126" s="77"/>
      <c r="CZR126" s="77"/>
      <c r="CZS126" s="77"/>
      <c r="CZT126" s="77"/>
      <c r="CZU126" s="77"/>
      <c r="CZV126" s="77"/>
      <c r="CZW126" s="77"/>
      <c r="CZX126" s="77"/>
      <c r="CZY126" s="77"/>
      <c r="CZZ126" s="77"/>
      <c r="DAA126" s="77"/>
      <c r="DAB126" s="77"/>
      <c r="DAC126" s="77"/>
      <c r="DAD126" s="77"/>
      <c r="DAE126" s="77"/>
      <c r="DAF126" s="77"/>
      <c r="DAG126" s="77"/>
      <c r="DAH126" s="77"/>
      <c r="DAI126" s="77"/>
      <c r="DAJ126" s="77"/>
      <c r="DAK126" s="77"/>
      <c r="DAL126" s="77"/>
      <c r="DAM126" s="77"/>
      <c r="DAN126" s="77"/>
      <c r="DAO126" s="77"/>
      <c r="DAP126" s="77"/>
      <c r="DAQ126" s="77"/>
      <c r="DAR126" s="77"/>
      <c r="DAS126" s="77"/>
      <c r="DAT126" s="77"/>
      <c r="DAU126" s="77"/>
      <c r="DAV126" s="77"/>
      <c r="DAW126" s="77"/>
      <c r="DAX126" s="77"/>
      <c r="DAY126" s="77"/>
      <c r="DAZ126" s="77"/>
      <c r="DBA126" s="77"/>
      <c r="DBB126" s="77"/>
      <c r="DBC126" s="77"/>
      <c r="DBD126" s="77"/>
      <c r="DBE126" s="77"/>
      <c r="DBF126" s="77"/>
      <c r="DBG126" s="77"/>
      <c r="DBH126" s="77"/>
      <c r="DBI126" s="77"/>
      <c r="DBJ126" s="77"/>
      <c r="DBK126" s="77"/>
      <c r="DBL126" s="77"/>
      <c r="DBM126" s="77"/>
      <c r="DBN126" s="77"/>
      <c r="DBO126" s="77"/>
      <c r="DBP126" s="77"/>
      <c r="DBQ126" s="77"/>
      <c r="DBR126" s="77"/>
      <c r="DBS126" s="77"/>
      <c r="DBT126" s="77"/>
      <c r="DBU126" s="77"/>
      <c r="DBV126" s="77"/>
      <c r="DBW126" s="77"/>
      <c r="DBX126" s="77"/>
      <c r="DBY126" s="77"/>
      <c r="DBZ126" s="77"/>
      <c r="DCA126" s="77"/>
      <c r="DCB126" s="77"/>
      <c r="DCC126" s="77"/>
      <c r="DCD126" s="77"/>
      <c r="DCE126" s="77"/>
      <c r="DCF126" s="77"/>
      <c r="DCG126" s="77"/>
      <c r="DCH126" s="77"/>
      <c r="DCI126" s="77"/>
      <c r="DCJ126" s="77"/>
      <c r="DCK126" s="77"/>
      <c r="DCL126" s="77"/>
      <c r="DCM126" s="77"/>
      <c r="DCN126" s="77"/>
      <c r="DCO126" s="77"/>
      <c r="DCP126" s="77"/>
      <c r="DCQ126" s="77"/>
      <c r="DCR126" s="77"/>
      <c r="DCS126" s="77"/>
      <c r="DCT126" s="77"/>
      <c r="DCU126" s="77"/>
      <c r="DCV126" s="77"/>
      <c r="DCW126" s="77"/>
      <c r="DCX126" s="77"/>
      <c r="DCY126" s="77"/>
      <c r="DCZ126" s="77"/>
      <c r="DDA126" s="77"/>
      <c r="DDB126" s="77"/>
      <c r="DDC126" s="77"/>
      <c r="DDD126" s="77"/>
      <c r="DDE126" s="77"/>
      <c r="DDF126" s="77"/>
      <c r="DDG126" s="77"/>
      <c r="DDH126" s="77"/>
      <c r="DDI126" s="77"/>
      <c r="DDJ126" s="77"/>
      <c r="DDK126" s="77"/>
      <c r="DDL126" s="77"/>
      <c r="DDM126" s="77"/>
      <c r="DDN126" s="77"/>
      <c r="DDO126" s="77"/>
      <c r="DDP126" s="77"/>
      <c r="DDQ126" s="77"/>
      <c r="DDR126" s="77"/>
      <c r="DDS126" s="77"/>
      <c r="DDT126" s="77"/>
      <c r="DDU126" s="77"/>
      <c r="DDV126" s="77"/>
      <c r="DDW126" s="77"/>
      <c r="DDX126" s="77"/>
      <c r="DDY126" s="77"/>
      <c r="DDZ126" s="77"/>
      <c r="DEA126" s="77"/>
      <c r="DEB126" s="77"/>
      <c r="DEC126" s="77"/>
      <c r="DED126" s="77"/>
      <c r="DEE126" s="77"/>
      <c r="DEF126" s="77"/>
      <c r="DEG126" s="77"/>
      <c r="DEH126" s="77"/>
      <c r="DEI126" s="77"/>
      <c r="DEJ126" s="77"/>
      <c r="DEK126" s="77"/>
      <c r="DEL126" s="77"/>
      <c r="DEM126" s="77"/>
      <c r="DEN126" s="77"/>
      <c r="DEO126" s="77"/>
      <c r="DEP126" s="77"/>
      <c r="DEQ126" s="77"/>
      <c r="DER126" s="77"/>
      <c r="DES126" s="77"/>
      <c r="DET126" s="77"/>
      <c r="DEU126" s="77"/>
      <c r="DEV126" s="77"/>
      <c r="DEW126" s="77"/>
      <c r="DEX126" s="77"/>
      <c r="DEY126" s="77"/>
      <c r="DEZ126" s="77"/>
      <c r="DFA126" s="77"/>
      <c r="DFB126" s="77"/>
      <c r="DFC126" s="77"/>
      <c r="DFD126" s="77"/>
      <c r="DFE126" s="77"/>
      <c r="DFF126" s="77"/>
      <c r="DFG126" s="77"/>
      <c r="DFH126" s="77"/>
      <c r="DFI126" s="77"/>
      <c r="DFJ126" s="77"/>
      <c r="DFK126" s="77"/>
      <c r="DFL126" s="77"/>
      <c r="DFM126" s="77"/>
      <c r="DFN126" s="77"/>
      <c r="DFO126" s="77"/>
      <c r="DFP126" s="77"/>
      <c r="DFQ126" s="77"/>
      <c r="DFR126" s="77"/>
      <c r="DFS126" s="77"/>
      <c r="DFT126" s="77"/>
      <c r="DFU126" s="77"/>
      <c r="DFV126" s="77"/>
      <c r="DFW126" s="77"/>
      <c r="DFX126" s="77"/>
      <c r="DFY126" s="77"/>
      <c r="DFZ126" s="77"/>
      <c r="DGA126" s="77"/>
      <c r="DGB126" s="77"/>
      <c r="DGC126" s="77"/>
      <c r="DGD126" s="77"/>
      <c r="DGE126" s="77"/>
      <c r="DGF126" s="77"/>
      <c r="DGG126" s="77"/>
      <c r="DGH126" s="77"/>
      <c r="DGI126" s="77"/>
      <c r="DGJ126" s="77"/>
      <c r="DGK126" s="77"/>
      <c r="DGL126" s="77"/>
      <c r="DGM126" s="77"/>
      <c r="DGN126" s="77"/>
      <c r="DGO126" s="77"/>
      <c r="DGP126" s="77"/>
      <c r="DGQ126" s="77"/>
      <c r="DGR126" s="77"/>
      <c r="DGS126" s="77"/>
      <c r="DGT126" s="77"/>
      <c r="DGU126" s="77"/>
      <c r="DGV126" s="77"/>
      <c r="DGW126" s="77"/>
      <c r="DGX126" s="77"/>
      <c r="DGY126" s="77"/>
      <c r="DGZ126" s="77"/>
      <c r="DHA126" s="77"/>
      <c r="DHB126" s="77"/>
      <c r="DHC126" s="77"/>
      <c r="DHD126" s="77"/>
      <c r="DHE126" s="77"/>
      <c r="DHF126" s="77"/>
      <c r="DHG126" s="77"/>
      <c r="DHH126" s="77"/>
      <c r="DHI126" s="77"/>
      <c r="DHJ126" s="77"/>
      <c r="DHK126" s="77"/>
      <c r="DHL126" s="77"/>
      <c r="DHM126" s="77"/>
      <c r="DHN126" s="77"/>
      <c r="DHO126" s="77"/>
      <c r="DHP126" s="77"/>
      <c r="DHQ126" s="77"/>
      <c r="DHR126" s="77"/>
      <c r="DHS126" s="77"/>
      <c r="DHT126" s="77"/>
      <c r="DHU126" s="77"/>
      <c r="DHV126" s="77"/>
      <c r="DHW126" s="77"/>
      <c r="DHX126" s="77"/>
      <c r="DHY126" s="77"/>
      <c r="DHZ126" s="77"/>
      <c r="DIA126" s="77"/>
      <c r="DIB126" s="77"/>
      <c r="DIC126" s="77"/>
      <c r="DID126" s="77"/>
      <c r="DIE126" s="77"/>
      <c r="DIF126" s="77"/>
      <c r="DIG126" s="77"/>
      <c r="DIH126" s="77"/>
      <c r="DII126" s="77"/>
      <c r="DIJ126" s="77"/>
      <c r="DIK126" s="77"/>
      <c r="DIL126" s="77"/>
      <c r="DIM126" s="77"/>
      <c r="DIN126" s="77"/>
      <c r="DIO126" s="77"/>
      <c r="DIP126" s="77"/>
      <c r="DIQ126" s="77"/>
      <c r="DIR126" s="77"/>
      <c r="DIS126" s="77"/>
      <c r="DIT126" s="77"/>
      <c r="DIU126" s="77"/>
      <c r="DIV126" s="77"/>
      <c r="DIW126" s="77"/>
      <c r="DIX126" s="77"/>
      <c r="DIY126" s="77"/>
      <c r="DIZ126" s="77"/>
      <c r="DJA126" s="77"/>
      <c r="DJB126" s="77"/>
      <c r="DJC126" s="77"/>
      <c r="DJD126" s="77"/>
      <c r="DJE126" s="77"/>
      <c r="DJF126" s="77"/>
      <c r="DJG126" s="77"/>
      <c r="DJH126" s="77"/>
      <c r="DJI126" s="77"/>
      <c r="DJJ126" s="77"/>
      <c r="DJK126" s="77"/>
      <c r="DJL126" s="77"/>
      <c r="DJM126" s="77"/>
      <c r="DJN126" s="77"/>
      <c r="DJO126" s="77"/>
      <c r="DJP126" s="77"/>
      <c r="DJQ126" s="77"/>
      <c r="DJR126" s="77"/>
      <c r="DJS126" s="77"/>
      <c r="DJT126" s="77"/>
      <c r="DJU126" s="77"/>
      <c r="DJV126" s="77"/>
      <c r="DJW126" s="77"/>
      <c r="DJX126" s="77"/>
      <c r="DJY126" s="77"/>
      <c r="DJZ126" s="77"/>
      <c r="DKA126" s="77"/>
      <c r="DKB126" s="77"/>
      <c r="DKC126" s="77"/>
      <c r="DKD126" s="77"/>
      <c r="DKE126" s="77"/>
      <c r="DKF126" s="77"/>
      <c r="DKG126" s="77"/>
      <c r="DKH126" s="77"/>
      <c r="DKI126" s="77"/>
      <c r="DKJ126" s="77"/>
      <c r="DKK126" s="77"/>
      <c r="DKL126" s="77"/>
      <c r="DKM126" s="77"/>
      <c r="DKN126" s="77"/>
      <c r="DKO126" s="77"/>
      <c r="DKP126" s="77"/>
      <c r="DKQ126" s="77"/>
      <c r="DKR126" s="77"/>
      <c r="DKS126" s="77"/>
      <c r="DKT126" s="77"/>
      <c r="DKU126" s="77"/>
      <c r="DKV126" s="77"/>
      <c r="DKW126" s="77"/>
      <c r="DKX126" s="77"/>
      <c r="DKY126" s="77"/>
      <c r="DKZ126" s="77"/>
      <c r="DLA126" s="77"/>
      <c r="DLB126" s="77"/>
      <c r="DLC126" s="77"/>
      <c r="DLD126" s="77"/>
      <c r="DLE126" s="77"/>
      <c r="DLF126" s="77"/>
      <c r="DLG126" s="77"/>
      <c r="DLH126" s="77"/>
      <c r="DLI126" s="77"/>
      <c r="DLJ126" s="77"/>
      <c r="DLK126" s="77"/>
      <c r="DLL126" s="77"/>
      <c r="DLM126" s="77"/>
      <c r="DLN126" s="77"/>
      <c r="DLO126" s="77"/>
      <c r="DLP126" s="77"/>
      <c r="DLQ126" s="77"/>
      <c r="DLR126" s="77"/>
      <c r="DLS126" s="77"/>
      <c r="DLT126" s="77"/>
      <c r="DLU126" s="77"/>
      <c r="DLV126" s="77"/>
      <c r="DLW126" s="77"/>
      <c r="DLX126" s="77"/>
      <c r="DLY126" s="77"/>
      <c r="DLZ126" s="77"/>
      <c r="DMA126" s="77"/>
      <c r="DMB126" s="77"/>
      <c r="DMC126" s="77"/>
      <c r="DMD126" s="77"/>
      <c r="DME126" s="77"/>
      <c r="DMF126" s="77"/>
      <c r="DMG126" s="77"/>
      <c r="DMH126" s="77"/>
      <c r="DMI126" s="77"/>
      <c r="DMJ126" s="77"/>
      <c r="DMK126" s="77"/>
      <c r="DML126" s="77"/>
      <c r="DMM126" s="77"/>
      <c r="DMN126" s="77"/>
      <c r="DMO126" s="77"/>
      <c r="DMP126" s="77"/>
      <c r="DMQ126" s="77"/>
      <c r="DMR126" s="77"/>
      <c r="DMS126" s="77"/>
      <c r="DMT126" s="77"/>
      <c r="DMU126" s="77"/>
      <c r="DMV126" s="77"/>
      <c r="DMW126" s="77"/>
      <c r="DMX126" s="77"/>
      <c r="DMY126" s="77"/>
      <c r="DMZ126" s="77"/>
      <c r="DNA126" s="77"/>
      <c r="DNB126" s="77"/>
      <c r="DNC126" s="77"/>
      <c r="DND126" s="77"/>
      <c r="DNE126" s="77"/>
      <c r="DNF126" s="77"/>
      <c r="DNG126" s="77"/>
      <c r="DNH126" s="77"/>
      <c r="DNI126" s="77"/>
      <c r="DNJ126" s="77"/>
      <c r="DNK126" s="77"/>
      <c r="DNL126" s="77"/>
      <c r="DNM126" s="77"/>
      <c r="DNN126" s="77"/>
      <c r="DNO126" s="77"/>
      <c r="DNP126" s="77"/>
      <c r="DNQ126" s="77"/>
      <c r="DNR126" s="77"/>
      <c r="DNS126" s="77"/>
      <c r="DNT126" s="77"/>
      <c r="DNU126" s="77"/>
      <c r="DNV126" s="77"/>
      <c r="DNW126" s="77"/>
      <c r="DNX126" s="77"/>
      <c r="DNY126" s="77"/>
      <c r="DNZ126" s="77"/>
      <c r="DOA126" s="77"/>
      <c r="DOB126" s="77"/>
      <c r="DOC126" s="77"/>
      <c r="DOD126" s="77"/>
      <c r="DOE126" s="77"/>
      <c r="DOF126" s="77"/>
      <c r="DOG126" s="77"/>
      <c r="DOH126" s="77"/>
      <c r="DOI126" s="77"/>
      <c r="DOJ126" s="77"/>
      <c r="DOK126" s="77"/>
      <c r="DOL126" s="77"/>
      <c r="DOM126" s="77"/>
      <c r="DON126" s="77"/>
      <c r="DOO126" s="77"/>
      <c r="DOP126" s="77"/>
      <c r="DOQ126" s="77"/>
      <c r="DOR126" s="77"/>
      <c r="DOS126" s="77"/>
      <c r="DOT126" s="77"/>
      <c r="DOU126" s="77"/>
      <c r="DOV126" s="77"/>
      <c r="DOW126" s="77"/>
      <c r="DOX126" s="77"/>
      <c r="DOY126" s="77"/>
      <c r="DOZ126" s="77"/>
      <c r="DPA126" s="77"/>
      <c r="DPB126" s="77"/>
      <c r="DPC126" s="77"/>
      <c r="DPD126" s="77"/>
      <c r="DPE126" s="77"/>
      <c r="DPF126" s="77"/>
      <c r="DPG126" s="77"/>
      <c r="DPH126" s="77"/>
      <c r="DPI126" s="77"/>
      <c r="DPJ126" s="77"/>
      <c r="DPK126" s="77"/>
      <c r="DPL126" s="77"/>
      <c r="DPM126" s="77"/>
      <c r="DPN126" s="77"/>
      <c r="DPO126" s="77"/>
      <c r="DPP126" s="77"/>
      <c r="DPQ126" s="77"/>
      <c r="DPR126" s="77"/>
      <c r="DPS126" s="77"/>
      <c r="DPT126" s="77"/>
      <c r="DPU126" s="77"/>
      <c r="DPV126" s="77"/>
      <c r="DPW126" s="77"/>
      <c r="DPX126" s="77"/>
      <c r="DPY126" s="77"/>
      <c r="DPZ126" s="77"/>
      <c r="DQA126" s="77"/>
      <c r="DQB126" s="77"/>
      <c r="DQC126" s="77"/>
      <c r="DQD126" s="77"/>
      <c r="DQE126" s="77"/>
      <c r="DQF126" s="77"/>
      <c r="DQG126" s="77"/>
      <c r="DQH126" s="77"/>
      <c r="DQI126" s="77"/>
      <c r="DQJ126" s="77"/>
      <c r="DQK126" s="77"/>
      <c r="DQL126" s="77"/>
      <c r="DQM126" s="77"/>
      <c r="DQN126" s="77"/>
      <c r="DQO126" s="77"/>
      <c r="DQP126" s="77"/>
      <c r="DQQ126" s="77"/>
      <c r="DQR126" s="77"/>
      <c r="DQS126" s="77"/>
      <c r="DQT126" s="77"/>
      <c r="DQU126" s="77"/>
      <c r="DQV126" s="77"/>
      <c r="DQW126" s="77"/>
      <c r="DQX126" s="77"/>
      <c r="DQY126" s="77"/>
      <c r="DQZ126" s="77"/>
      <c r="DRA126" s="77"/>
      <c r="DRB126" s="77"/>
      <c r="DRC126" s="77"/>
      <c r="DRD126" s="77"/>
      <c r="DRE126" s="77"/>
      <c r="DRF126" s="77"/>
      <c r="DRG126" s="77"/>
      <c r="DRH126" s="77"/>
      <c r="DRI126" s="77"/>
      <c r="DRJ126" s="77"/>
      <c r="DRK126" s="77"/>
      <c r="DRL126" s="77"/>
      <c r="DRM126" s="77"/>
      <c r="DRN126" s="77"/>
      <c r="DRO126" s="77"/>
      <c r="DRP126" s="77"/>
      <c r="DRQ126" s="77"/>
      <c r="DRR126" s="77"/>
      <c r="DRS126" s="77"/>
      <c r="DRT126" s="77"/>
      <c r="DRU126" s="77"/>
      <c r="DRV126" s="77"/>
      <c r="DRW126" s="77"/>
      <c r="DRX126" s="77"/>
      <c r="DRY126" s="77"/>
      <c r="DRZ126" s="77"/>
      <c r="DSA126" s="77"/>
      <c r="DSB126" s="77"/>
      <c r="DSC126" s="77"/>
      <c r="DSD126" s="77"/>
      <c r="DSE126" s="77"/>
      <c r="DSF126" s="77"/>
      <c r="DSG126" s="77"/>
      <c r="DSH126" s="77"/>
      <c r="DSI126" s="77"/>
      <c r="DSJ126" s="77"/>
      <c r="DSK126" s="77"/>
      <c r="DSL126" s="77"/>
      <c r="DSM126" s="77"/>
      <c r="DSN126" s="77"/>
      <c r="DSO126" s="77"/>
      <c r="DSP126" s="77"/>
      <c r="DSQ126" s="77"/>
      <c r="DSR126" s="77"/>
      <c r="DSS126" s="77"/>
      <c r="DST126" s="77"/>
      <c r="DSU126" s="77"/>
      <c r="DSV126" s="77"/>
      <c r="DSW126" s="77"/>
      <c r="DSX126" s="77"/>
      <c r="DSY126" s="77"/>
      <c r="DSZ126" s="77"/>
      <c r="DTA126" s="77"/>
      <c r="DTB126" s="77"/>
      <c r="DTC126" s="77"/>
      <c r="DTD126" s="77"/>
      <c r="DTE126" s="77"/>
      <c r="DTF126" s="77"/>
      <c r="DTG126" s="77"/>
      <c r="DTH126" s="77"/>
      <c r="DTI126" s="77"/>
      <c r="DTJ126" s="77"/>
      <c r="DTK126" s="77"/>
      <c r="DTL126" s="77"/>
      <c r="DTM126" s="77"/>
      <c r="DTN126" s="77"/>
      <c r="DTO126" s="77"/>
      <c r="DTP126" s="77"/>
      <c r="DTQ126" s="77"/>
      <c r="DTR126" s="77"/>
      <c r="DTS126" s="77"/>
      <c r="DTT126" s="77"/>
      <c r="DTU126" s="77"/>
      <c r="DTV126" s="77"/>
      <c r="DTW126" s="77"/>
      <c r="DTX126" s="77"/>
      <c r="DTY126" s="77"/>
      <c r="DTZ126" s="77"/>
      <c r="DUA126" s="77"/>
      <c r="DUB126" s="77"/>
      <c r="DUC126" s="77"/>
      <c r="DUD126" s="77"/>
      <c r="DUE126" s="77"/>
      <c r="DUF126" s="77"/>
      <c r="DUG126" s="77"/>
      <c r="DUH126" s="77"/>
      <c r="DUI126" s="77"/>
      <c r="DUJ126" s="77"/>
      <c r="DUK126" s="77"/>
      <c r="DUL126" s="77"/>
      <c r="DUM126" s="77"/>
      <c r="DUN126" s="77"/>
      <c r="DUO126" s="77"/>
      <c r="DUP126" s="77"/>
      <c r="DUQ126" s="77"/>
      <c r="DUR126" s="77"/>
      <c r="DUS126" s="77"/>
      <c r="DUT126" s="77"/>
      <c r="DUU126" s="77"/>
      <c r="DUV126" s="77"/>
      <c r="DUW126" s="77"/>
      <c r="DUX126" s="77"/>
      <c r="DUY126" s="77"/>
      <c r="DUZ126" s="77"/>
      <c r="DVA126" s="77"/>
      <c r="DVB126" s="77"/>
      <c r="DVC126" s="77"/>
      <c r="DVD126" s="77"/>
      <c r="DVE126" s="77"/>
      <c r="DVF126" s="77"/>
      <c r="DVG126" s="77"/>
      <c r="DVH126" s="77"/>
      <c r="DVI126" s="77"/>
      <c r="DVJ126" s="77"/>
      <c r="DVK126" s="77"/>
      <c r="DVL126" s="77"/>
      <c r="DVM126" s="77"/>
      <c r="DVN126" s="77"/>
      <c r="DVO126" s="77"/>
      <c r="DVP126" s="77"/>
      <c r="DVQ126" s="77"/>
      <c r="DVR126" s="77"/>
      <c r="DVS126" s="77"/>
      <c r="DVT126" s="77"/>
      <c r="DVU126" s="77"/>
      <c r="DVV126" s="77"/>
      <c r="DVW126" s="77"/>
      <c r="DVX126" s="77"/>
      <c r="DVY126" s="77"/>
      <c r="DVZ126" s="77"/>
      <c r="DWA126" s="77"/>
      <c r="DWB126" s="77"/>
      <c r="DWC126" s="77"/>
      <c r="DWD126" s="77"/>
      <c r="DWE126" s="77"/>
      <c r="DWF126" s="77"/>
      <c r="DWG126" s="77"/>
      <c r="DWH126" s="77"/>
      <c r="DWI126" s="77"/>
      <c r="DWJ126" s="77"/>
      <c r="DWK126" s="77"/>
      <c r="DWL126" s="77"/>
      <c r="DWM126" s="77"/>
      <c r="DWN126" s="77"/>
      <c r="DWO126" s="77"/>
      <c r="DWP126" s="77"/>
      <c r="DWQ126" s="77"/>
      <c r="DWR126" s="77"/>
      <c r="DWS126" s="77"/>
      <c r="DWT126" s="77"/>
      <c r="DWU126" s="77"/>
      <c r="DWV126" s="77"/>
      <c r="DWW126" s="77"/>
      <c r="DWX126" s="77"/>
      <c r="DWY126" s="77"/>
      <c r="DWZ126" s="77"/>
      <c r="DXA126" s="77"/>
      <c r="DXB126" s="77"/>
      <c r="DXC126" s="77"/>
      <c r="DXD126" s="77"/>
      <c r="DXE126" s="77"/>
      <c r="DXF126" s="77"/>
      <c r="DXG126" s="77"/>
      <c r="DXH126" s="77"/>
      <c r="DXI126" s="77"/>
      <c r="DXJ126" s="77"/>
      <c r="DXK126" s="77"/>
      <c r="DXL126" s="77"/>
      <c r="DXM126" s="77"/>
      <c r="DXN126" s="77"/>
      <c r="DXO126" s="77"/>
      <c r="DXP126" s="77"/>
      <c r="DXQ126" s="77"/>
      <c r="DXR126" s="77"/>
      <c r="DXS126" s="77"/>
      <c r="DXT126" s="77"/>
      <c r="DXU126" s="77"/>
      <c r="DXV126" s="77"/>
      <c r="DXW126" s="77"/>
      <c r="DXX126" s="77"/>
      <c r="DXY126" s="77"/>
      <c r="DXZ126" s="77"/>
      <c r="DYA126" s="77"/>
      <c r="DYB126" s="77"/>
      <c r="DYC126" s="77"/>
      <c r="DYD126" s="77"/>
      <c r="DYE126" s="77"/>
      <c r="DYF126" s="77"/>
      <c r="DYG126" s="77"/>
      <c r="DYH126" s="77"/>
      <c r="DYI126" s="77"/>
      <c r="DYJ126" s="77"/>
      <c r="DYK126" s="77"/>
      <c r="DYL126" s="77"/>
      <c r="DYM126" s="77"/>
      <c r="DYN126" s="77"/>
      <c r="DYO126" s="77"/>
      <c r="DYP126" s="77"/>
      <c r="DYQ126" s="77"/>
      <c r="DYR126" s="77"/>
      <c r="DYS126" s="77"/>
      <c r="DYT126" s="77"/>
      <c r="DYU126" s="77"/>
      <c r="DYV126" s="77"/>
      <c r="DYW126" s="77"/>
      <c r="DYX126" s="77"/>
      <c r="DYY126" s="77"/>
      <c r="DYZ126" s="77"/>
      <c r="DZA126" s="77"/>
      <c r="DZB126" s="77"/>
      <c r="DZC126" s="77"/>
      <c r="DZD126" s="77"/>
      <c r="DZE126" s="77"/>
      <c r="DZF126" s="77"/>
      <c r="DZG126" s="77"/>
      <c r="DZH126" s="77"/>
      <c r="DZI126" s="77"/>
      <c r="DZJ126" s="77"/>
      <c r="DZK126" s="77"/>
      <c r="DZL126" s="77"/>
      <c r="DZM126" s="77"/>
      <c r="DZN126" s="77"/>
      <c r="DZO126" s="77"/>
      <c r="DZP126" s="77"/>
      <c r="DZQ126" s="77"/>
      <c r="DZR126" s="77"/>
      <c r="DZS126" s="77"/>
      <c r="DZT126" s="77"/>
      <c r="DZU126" s="77"/>
      <c r="DZV126" s="77"/>
      <c r="DZW126" s="77"/>
      <c r="DZX126" s="77"/>
      <c r="DZY126" s="77"/>
      <c r="DZZ126" s="77"/>
      <c r="EAA126" s="77"/>
      <c r="EAB126" s="77"/>
      <c r="EAC126" s="77"/>
      <c r="EAD126" s="77"/>
      <c r="EAE126" s="77"/>
      <c r="EAF126" s="77"/>
      <c r="EAG126" s="77"/>
      <c r="EAH126" s="77"/>
      <c r="EAI126" s="77"/>
      <c r="EAJ126" s="77"/>
      <c r="EAK126" s="77"/>
      <c r="EAL126" s="77"/>
      <c r="EAM126" s="77"/>
      <c r="EAN126" s="77"/>
      <c r="EAO126" s="77"/>
      <c r="EAP126" s="77"/>
      <c r="EAQ126" s="77"/>
      <c r="EAR126" s="77"/>
      <c r="EAS126" s="77"/>
      <c r="EAT126" s="77"/>
      <c r="EAU126" s="77"/>
      <c r="EAV126" s="77"/>
      <c r="EAW126" s="77"/>
      <c r="EAX126" s="77"/>
      <c r="EAY126" s="77"/>
      <c r="EAZ126" s="77"/>
      <c r="EBA126" s="77"/>
      <c r="EBB126" s="77"/>
      <c r="EBC126" s="77"/>
      <c r="EBD126" s="77"/>
      <c r="EBE126" s="77"/>
      <c r="EBF126" s="77"/>
      <c r="EBG126" s="77"/>
      <c r="EBH126" s="77"/>
      <c r="EBI126" s="77"/>
      <c r="EBJ126" s="77"/>
      <c r="EBK126" s="77"/>
      <c r="EBL126" s="77"/>
      <c r="EBM126" s="77"/>
      <c r="EBN126" s="77"/>
      <c r="EBO126" s="77"/>
      <c r="EBP126" s="77"/>
      <c r="EBQ126" s="77"/>
      <c r="EBR126" s="77"/>
      <c r="EBS126" s="77"/>
      <c r="EBT126" s="77"/>
      <c r="EBU126" s="77"/>
      <c r="EBV126" s="77"/>
      <c r="EBW126" s="77"/>
      <c r="EBX126" s="77"/>
      <c r="EBY126" s="77"/>
      <c r="EBZ126" s="77"/>
      <c r="ECA126" s="77"/>
      <c r="ECB126" s="77"/>
      <c r="ECC126" s="77"/>
      <c r="ECD126" s="77"/>
      <c r="ECE126" s="77"/>
      <c r="ECF126" s="77"/>
      <c r="ECG126" s="77"/>
      <c r="ECH126" s="77"/>
      <c r="ECI126" s="77"/>
      <c r="ECJ126" s="77"/>
      <c r="ECK126" s="77"/>
      <c r="ECL126" s="77"/>
      <c r="ECM126" s="77"/>
      <c r="ECN126" s="77"/>
      <c r="ECO126" s="77"/>
      <c r="ECP126" s="77"/>
      <c r="ECQ126" s="77"/>
      <c r="ECR126" s="77"/>
      <c r="ECS126" s="77"/>
      <c r="ECT126" s="77"/>
      <c r="ECU126" s="77"/>
      <c r="ECV126" s="77"/>
      <c r="ECW126" s="77"/>
      <c r="ECX126" s="77"/>
      <c r="ECY126" s="77"/>
      <c r="ECZ126" s="77"/>
      <c r="EDA126" s="77"/>
      <c r="EDB126" s="77"/>
      <c r="EDC126" s="77"/>
      <c r="EDD126" s="77"/>
      <c r="EDE126" s="77"/>
      <c r="EDF126" s="77"/>
      <c r="EDG126" s="77"/>
      <c r="EDH126" s="77"/>
      <c r="EDI126" s="77"/>
      <c r="EDJ126" s="77"/>
      <c r="EDK126" s="77"/>
      <c r="EDL126" s="77"/>
      <c r="EDM126" s="77"/>
      <c r="EDN126" s="77"/>
      <c r="EDO126" s="77"/>
      <c r="EDP126" s="77"/>
      <c r="EDQ126" s="77"/>
      <c r="EDR126" s="77"/>
      <c r="EDS126" s="77"/>
      <c r="EDT126" s="77"/>
      <c r="EDU126" s="77"/>
      <c r="EDV126" s="77"/>
      <c r="EDW126" s="77"/>
      <c r="EDX126" s="77"/>
      <c r="EDY126" s="77"/>
      <c r="EDZ126" s="77"/>
      <c r="EEA126" s="77"/>
      <c r="EEB126" s="77"/>
      <c r="EEC126" s="77"/>
      <c r="EED126" s="77"/>
      <c r="EEE126" s="77"/>
      <c r="EEF126" s="77"/>
      <c r="EEG126" s="77"/>
      <c r="EEH126" s="77"/>
      <c r="EEI126" s="77"/>
      <c r="EEJ126" s="77"/>
      <c r="EEK126" s="77"/>
      <c r="EEL126" s="77"/>
      <c r="EEM126" s="77"/>
      <c r="EEN126" s="77"/>
      <c r="EEO126" s="77"/>
      <c r="EEP126" s="77"/>
      <c r="EEQ126" s="77"/>
      <c r="EER126" s="77"/>
      <c r="EES126" s="77"/>
      <c r="EET126" s="77"/>
      <c r="EEU126" s="77"/>
      <c r="EEV126" s="77"/>
      <c r="EEW126" s="77"/>
      <c r="EEX126" s="77"/>
      <c r="EEY126" s="77"/>
      <c r="EEZ126" s="77"/>
      <c r="EFA126" s="77"/>
      <c r="EFB126" s="77"/>
      <c r="EFC126" s="77"/>
      <c r="EFD126" s="77"/>
      <c r="EFE126" s="77"/>
      <c r="EFF126" s="77"/>
      <c r="EFG126" s="77"/>
      <c r="EFH126" s="77"/>
      <c r="EFI126" s="77"/>
      <c r="EFJ126" s="77"/>
      <c r="EFK126" s="77"/>
      <c r="EFL126" s="77"/>
      <c r="EFM126" s="77"/>
      <c r="EFN126" s="77"/>
      <c r="EFO126" s="77"/>
      <c r="EFP126" s="77"/>
      <c r="EFQ126" s="77"/>
      <c r="EFR126" s="77"/>
      <c r="EFS126" s="77"/>
      <c r="EFT126" s="77"/>
      <c r="EFU126" s="77"/>
      <c r="EFV126" s="77"/>
      <c r="EFW126" s="77"/>
      <c r="EFX126" s="77"/>
      <c r="EFY126" s="77"/>
      <c r="EFZ126" s="77"/>
      <c r="EGA126" s="77"/>
      <c r="EGB126" s="77"/>
      <c r="EGC126" s="77"/>
      <c r="EGD126" s="77"/>
      <c r="EGE126" s="77"/>
      <c r="EGF126" s="77"/>
      <c r="EGG126" s="77"/>
      <c r="EGH126" s="77"/>
      <c r="EGI126" s="77"/>
      <c r="EGJ126" s="77"/>
      <c r="EGK126" s="77"/>
      <c r="EGL126" s="77"/>
      <c r="EGM126" s="77"/>
      <c r="EGN126" s="77"/>
      <c r="EGO126" s="77"/>
      <c r="EGP126" s="77"/>
      <c r="EGQ126" s="77"/>
      <c r="EGR126" s="77"/>
      <c r="EGS126" s="77"/>
      <c r="EGT126" s="77"/>
      <c r="EGU126" s="77"/>
      <c r="EGV126" s="77"/>
      <c r="EGW126" s="77"/>
      <c r="EGX126" s="77"/>
      <c r="EGY126" s="77"/>
      <c r="EGZ126" s="77"/>
      <c r="EHA126" s="77"/>
      <c r="EHB126" s="77"/>
      <c r="EHC126" s="77"/>
      <c r="EHD126" s="77"/>
      <c r="EHE126" s="77"/>
      <c r="EHF126" s="77"/>
      <c r="EHG126" s="77"/>
      <c r="EHH126" s="77"/>
      <c r="EHI126" s="77"/>
      <c r="EHJ126" s="77"/>
      <c r="EHK126" s="77"/>
      <c r="EHL126" s="77"/>
      <c r="EHM126" s="77"/>
      <c r="EHN126" s="77"/>
      <c r="EHO126" s="77"/>
      <c r="EHP126" s="77"/>
      <c r="EHQ126" s="77"/>
      <c r="EHR126" s="77"/>
      <c r="EHS126" s="77"/>
      <c r="EHT126" s="77"/>
      <c r="EHU126" s="77"/>
      <c r="EHV126" s="77"/>
      <c r="EHW126" s="77"/>
      <c r="EHX126" s="77"/>
      <c r="EHY126" s="77"/>
      <c r="EHZ126" s="77"/>
      <c r="EIA126" s="77"/>
      <c r="EIB126" s="77"/>
      <c r="EIC126" s="77"/>
      <c r="EID126" s="77"/>
      <c r="EIE126" s="77"/>
      <c r="EIF126" s="77"/>
      <c r="EIG126" s="77"/>
      <c r="EIH126" s="77"/>
      <c r="EII126" s="77"/>
      <c r="EIJ126" s="77"/>
      <c r="EIK126" s="77"/>
      <c r="EIL126" s="77"/>
      <c r="EIM126" s="77"/>
      <c r="EIN126" s="77"/>
      <c r="EIO126" s="77"/>
      <c r="EIP126" s="77"/>
      <c r="EIQ126" s="77"/>
      <c r="EIR126" s="77"/>
      <c r="EIS126" s="77"/>
      <c r="EIT126" s="77"/>
      <c r="EIU126" s="77"/>
      <c r="EIV126" s="77"/>
      <c r="EIW126" s="77"/>
      <c r="EIX126" s="77"/>
      <c r="EIY126" s="77"/>
      <c r="EIZ126" s="77"/>
      <c r="EJA126" s="77"/>
      <c r="EJB126" s="77"/>
      <c r="EJC126" s="77"/>
      <c r="EJD126" s="77"/>
      <c r="EJE126" s="77"/>
      <c r="EJF126" s="77"/>
      <c r="EJG126" s="77"/>
      <c r="EJH126" s="77"/>
      <c r="EJI126" s="77"/>
      <c r="EJJ126" s="77"/>
      <c r="EJK126" s="77"/>
      <c r="EJL126" s="77"/>
      <c r="EJM126" s="77"/>
      <c r="EJN126" s="77"/>
      <c r="EJO126" s="77"/>
      <c r="EJP126" s="77"/>
      <c r="EJQ126" s="77"/>
      <c r="EJR126" s="77"/>
      <c r="EJS126" s="77"/>
      <c r="EJT126" s="77"/>
      <c r="EJU126" s="77"/>
      <c r="EJV126" s="77"/>
      <c r="EJW126" s="77"/>
      <c r="EJX126" s="77"/>
      <c r="EJY126" s="77"/>
      <c r="EJZ126" s="77"/>
      <c r="EKA126" s="77"/>
      <c r="EKB126" s="77"/>
      <c r="EKC126" s="77"/>
      <c r="EKD126" s="77"/>
      <c r="EKE126" s="77"/>
      <c r="EKF126" s="77"/>
      <c r="EKG126" s="77"/>
      <c r="EKH126" s="77"/>
      <c r="EKI126" s="77"/>
      <c r="EKJ126" s="77"/>
      <c r="EKK126" s="77"/>
      <c r="EKL126" s="77"/>
      <c r="EKM126" s="77"/>
      <c r="EKN126" s="77"/>
      <c r="EKO126" s="77"/>
      <c r="EKP126" s="77"/>
      <c r="EKQ126" s="77"/>
      <c r="EKR126" s="77"/>
      <c r="EKS126" s="77"/>
      <c r="EKT126" s="77"/>
      <c r="EKU126" s="77"/>
      <c r="EKV126" s="77"/>
      <c r="EKW126" s="77"/>
      <c r="EKX126" s="77"/>
      <c r="EKY126" s="77"/>
      <c r="EKZ126" s="77"/>
      <c r="ELA126" s="77"/>
      <c r="ELB126" s="77"/>
      <c r="ELC126" s="77"/>
      <c r="ELD126" s="77"/>
      <c r="ELE126" s="77"/>
      <c r="ELF126" s="77"/>
      <c r="ELG126" s="77"/>
      <c r="ELH126" s="77"/>
      <c r="ELI126" s="77"/>
      <c r="ELJ126" s="77"/>
      <c r="ELK126" s="77"/>
      <c r="ELL126" s="77"/>
      <c r="ELM126" s="77"/>
      <c r="ELN126" s="77"/>
      <c r="ELO126" s="77"/>
      <c r="ELP126" s="77"/>
      <c r="ELQ126" s="77"/>
      <c r="ELR126" s="77"/>
      <c r="ELS126" s="77"/>
      <c r="ELT126" s="77"/>
      <c r="ELU126" s="77"/>
      <c r="ELV126" s="77"/>
      <c r="ELW126" s="77"/>
      <c r="ELX126" s="77"/>
      <c r="ELY126" s="77"/>
      <c r="ELZ126" s="77"/>
      <c r="EMA126" s="77"/>
      <c r="EMB126" s="77"/>
      <c r="EMC126" s="77"/>
      <c r="EMD126" s="77"/>
      <c r="EME126" s="77"/>
      <c r="EMF126" s="77"/>
      <c r="EMG126" s="77"/>
      <c r="EMH126" s="77"/>
      <c r="EMI126" s="77"/>
      <c r="EMJ126" s="77"/>
      <c r="EMK126" s="77"/>
      <c r="EML126" s="77"/>
      <c r="EMM126" s="77"/>
      <c r="EMN126" s="77"/>
      <c r="EMO126" s="77"/>
      <c r="EMP126" s="77"/>
      <c r="EMQ126" s="77"/>
      <c r="EMR126" s="77"/>
      <c r="EMS126" s="77"/>
      <c r="EMT126" s="77"/>
      <c r="EMU126" s="77"/>
      <c r="EMV126" s="77"/>
      <c r="EMW126" s="77"/>
      <c r="EMX126" s="77"/>
      <c r="EMY126" s="77"/>
      <c r="EMZ126" s="77"/>
      <c r="ENA126" s="77"/>
      <c r="ENB126" s="77"/>
      <c r="ENC126" s="77"/>
      <c r="END126" s="77"/>
      <c r="ENE126" s="77"/>
      <c r="ENF126" s="77"/>
      <c r="ENG126" s="77"/>
      <c r="ENH126" s="77"/>
      <c r="ENI126" s="77"/>
      <c r="ENJ126" s="77"/>
      <c r="ENK126" s="77"/>
      <c r="ENL126" s="77"/>
      <c r="ENM126" s="77"/>
      <c r="ENN126" s="77"/>
      <c r="ENO126" s="77"/>
      <c r="ENP126" s="77"/>
      <c r="ENQ126" s="77"/>
      <c r="ENR126" s="77"/>
      <c r="ENS126" s="77"/>
      <c r="ENT126" s="77"/>
      <c r="ENU126" s="77"/>
      <c r="ENV126" s="77"/>
      <c r="ENW126" s="77"/>
      <c r="ENX126" s="77"/>
      <c r="ENY126" s="77"/>
      <c r="ENZ126" s="77"/>
      <c r="EOA126" s="77"/>
      <c r="EOB126" s="77"/>
      <c r="EOC126" s="77"/>
      <c r="EOD126" s="77"/>
      <c r="EOE126" s="77"/>
      <c r="EOF126" s="77"/>
      <c r="EOG126" s="77"/>
      <c r="EOH126" s="77"/>
      <c r="EOI126" s="77"/>
      <c r="EOJ126" s="77"/>
      <c r="EOK126" s="77"/>
      <c r="EOL126" s="77"/>
      <c r="EOM126" s="77"/>
      <c r="EON126" s="77"/>
      <c r="EOO126" s="77"/>
      <c r="EOP126" s="77"/>
      <c r="EOQ126" s="77"/>
      <c r="EOR126" s="77"/>
      <c r="EOS126" s="77"/>
      <c r="EOT126" s="77"/>
      <c r="EOU126" s="77"/>
      <c r="EOV126" s="77"/>
      <c r="EOW126" s="77"/>
      <c r="EOX126" s="77"/>
      <c r="EOY126" s="77"/>
      <c r="EOZ126" s="77"/>
      <c r="EPA126" s="77"/>
      <c r="EPB126" s="77"/>
      <c r="EPC126" s="77"/>
      <c r="EPD126" s="77"/>
      <c r="EPE126" s="77"/>
      <c r="EPF126" s="77"/>
      <c r="EPG126" s="77"/>
      <c r="EPH126" s="77"/>
      <c r="EPI126" s="77"/>
      <c r="EPJ126" s="77"/>
      <c r="EPK126" s="77"/>
      <c r="EPL126" s="77"/>
      <c r="EPM126" s="77"/>
      <c r="EPN126" s="77"/>
      <c r="EPO126" s="77"/>
      <c r="EPP126" s="77"/>
      <c r="EPQ126" s="77"/>
      <c r="EPR126" s="77"/>
      <c r="EPS126" s="77"/>
      <c r="EPT126" s="77"/>
      <c r="EPU126" s="77"/>
      <c r="EPV126" s="77"/>
      <c r="EPW126" s="77"/>
      <c r="EPX126" s="77"/>
      <c r="EPY126" s="77"/>
      <c r="EPZ126" s="77"/>
      <c r="EQA126" s="77"/>
      <c r="EQB126" s="77"/>
      <c r="EQC126" s="77"/>
      <c r="EQD126" s="77"/>
      <c r="EQE126" s="77"/>
      <c r="EQF126" s="77"/>
      <c r="EQG126" s="77"/>
      <c r="EQH126" s="77"/>
      <c r="EQI126" s="77"/>
      <c r="EQJ126" s="77"/>
      <c r="EQK126" s="77"/>
      <c r="EQL126" s="77"/>
      <c r="EQM126" s="77"/>
      <c r="EQN126" s="77"/>
      <c r="EQO126" s="77"/>
      <c r="EQP126" s="77"/>
      <c r="EQQ126" s="77"/>
      <c r="EQR126" s="77"/>
      <c r="EQS126" s="77"/>
      <c r="EQT126" s="77"/>
      <c r="EQU126" s="77"/>
      <c r="EQV126" s="77"/>
      <c r="EQW126" s="77"/>
      <c r="EQX126" s="77"/>
      <c r="EQY126" s="77"/>
      <c r="EQZ126" s="77"/>
      <c r="ERA126" s="77"/>
      <c r="ERB126" s="77"/>
      <c r="ERC126" s="77"/>
      <c r="ERD126" s="77"/>
      <c r="ERE126" s="77"/>
      <c r="ERF126" s="77"/>
      <c r="ERG126" s="77"/>
      <c r="ERH126" s="77"/>
      <c r="ERI126" s="77"/>
      <c r="ERJ126" s="77"/>
      <c r="ERK126" s="77"/>
      <c r="ERL126" s="77"/>
      <c r="ERM126" s="77"/>
      <c r="ERN126" s="77"/>
      <c r="ERO126" s="77"/>
      <c r="ERP126" s="77"/>
      <c r="ERQ126" s="77"/>
      <c r="ERR126" s="77"/>
      <c r="ERS126" s="77"/>
      <c r="ERT126" s="77"/>
      <c r="ERU126" s="77"/>
      <c r="ERV126" s="77"/>
      <c r="ERW126" s="77"/>
      <c r="ERX126" s="77"/>
      <c r="ERY126" s="77"/>
      <c r="ERZ126" s="77"/>
      <c r="ESA126" s="77"/>
      <c r="ESB126" s="77"/>
      <c r="ESC126" s="77"/>
      <c r="ESD126" s="77"/>
      <c r="ESE126" s="77"/>
      <c r="ESF126" s="77"/>
      <c r="ESG126" s="77"/>
      <c r="ESH126" s="77"/>
      <c r="ESI126" s="77"/>
      <c r="ESJ126" s="77"/>
      <c r="ESK126" s="77"/>
      <c r="ESL126" s="77"/>
      <c r="ESM126" s="77"/>
      <c r="ESN126" s="77"/>
      <c r="ESO126" s="77"/>
      <c r="ESP126" s="77"/>
      <c r="ESQ126" s="77"/>
      <c r="ESR126" s="77"/>
      <c r="ESS126" s="77"/>
      <c r="EST126" s="77"/>
      <c r="ESU126" s="77"/>
      <c r="ESV126" s="77"/>
      <c r="ESW126" s="77"/>
      <c r="ESX126" s="77"/>
      <c r="ESY126" s="77"/>
      <c r="ESZ126" s="77"/>
      <c r="ETA126" s="77"/>
      <c r="ETB126" s="77"/>
      <c r="ETC126" s="77"/>
      <c r="ETD126" s="77"/>
      <c r="ETE126" s="77"/>
      <c r="ETF126" s="77"/>
      <c r="ETG126" s="77"/>
      <c r="ETH126" s="77"/>
      <c r="ETI126" s="77"/>
      <c r="ETJ126" s="77"/>
      <c r="ETK126" s="77"/>
      <c r="ETL126" s="77"/>
      <c r="ETM126" s="77"/>
      <c r="ETN126" s="77"/>
      <c r="ETO126" s="77"/>
      <c r="ETP126" s="77"/>
      <c r="ETQ126" s="77"/>
      <c r="ETR126" s="77"/>
      <c r="ETS126" s="77"/>
      <c r="ETT126" s="77"/>
      <c r="ETU126" s="77"/>
      <c r="ETV126" s="77"/>
      <c r="ETW126" s="77"/>
      <c r="ETX126" s="77"/>
      <c r="ETY126" s="77"/>
      <c r="ETZ126" s="77"/>
      <c r="EUA126" s="77"/>
      <c r="EUB126" s="77"/>
      <c r="EUC126" s="77"/>
      <c r="EUD126" s="77"/>
      <c r="EUE126" s="77"/>
      <c r="EUF126" s="77"/>
      <c r="EUG126" s="77"/>
      <c r="EUH126" s="77"/>
      <c r="EUI126" s="77"/>
      <c r="EUJ126" s="77"/>
      <c r="EUK126" s="77"/>
      <c r="EUL126" s="77"/>
      <c r="EUM126" s="77"/>
      <c r="EUN126" s="77"/>
      <c r="EUO126" s="77"/>
      <c r="EUP126" s="77"/>
      <c r="EUQ126" s="77"/>
      <c r="EUR126" s="77"/>
      <c r="EUS126" s="77"/>
      <c r="EUT126" s="77"/>
      <c r="EUU126" s="77"/>
      <c r="EUV126" s="77"/>
      <c r="EUW126" s="77"/>
      <c r="EUX126" s="77"/>
      <c r="EUY126" s="77"/>
      <c r="EUZ126" s="77"/>
      <c r="EVA126" s="77"/>
      <c r="EVB126" s="77"/>
      <c r="EVC126" s="77"/>
      <c r="EVD126" s="77"/>
      <c r="EVE126" s="77"/>
      <c r="EVF126" s="77"/>
      <c r="EVG126" s="77"/>
      <c r="EVH126" s="77"/>
      <c r="EVI126" s="77"/>
      <c r="EVJ126" s="77"/>
      <c r="EVK126" s="77"/>
      <c r="EVL126" s="77"/>
      <c r="EVM126" s="77"/>
      <c r="EVN126" s="77"/>
      <c r="EVO126" s="77"/>
      <c r="EVP126" s="77"/>
      <c r="EVQ126" s="77"/>
      <c r="EVR126" s="77"/>
      <c r="EVS126" s="77"/>
      <c r="EVT126" s="77"/>
      <c r="EVU126" s="77"/>
      <c r="EVV126" s="77"/>
      <c r="EVW126" s="77"/>
      <c r="EVX126" s="77"/>
      <c r="EVY126" s="77"/>
      <c r="EVZ126" s="77"/>
      <c r="EWA126" s="77"/>
      <c r="EWB126" s="77"/>
      <c r="EWC126" s="77"/>
      <c r="EWD126" s="77"/>
      <c r="EWE126" s="77"/>
      <c r="EWF126" s="77"/>
      <c r="EWG126" s="77"/>
      <c r="EWH126" s="77"/>
      <c r="EWI126" s="77"/>
      <c r="EWJ126" s="77"/>
      <c r="EWK126" s="77"/>
      <c r="EWL126" s="77"/>
      <c r="EWM126" s="77"/>
      <c r="EWN126" s="77"/>
      <c r="EWO126" s="77"/>
      <c r="EWP126" s="77"/>
      <c r="EWQ126" s="77"/>
      <c r="EWR126" s="77"/>
      <c r="EWS126" s="77"/>
      <c r="EWT126" s="77"/>
      <c r="EWU126" s="77"/>
      <c r="EWV126" s="77"/>
      <c r="EWW126" s="77"/>
      <c r="EWX126" s="77"/>
      <c r="EWY126" s="77"/>
      <c r="EWZ126" s="77"/>
      <c r="EXA126" s="77"/>
      <c r="EXB126" s="77"/>
      <c r="EXC126" s="77"/>
      <c r="EXD126" s="77"/>
      <c r="EXE126" s="77"/>
      <c r="EXF126" s="77"/>
      <c r="EXG126" s="77"/>
      <c r="EXH126" s="77"/>
      <c r="EXI126" s="77"/>
      <c r="EXJ126" s="77"/>
      <c r="EXK126" s="77"/>
      <c r="EXL126" s="77"/>
      <c r="EXM126" s="77"/>
      <c r="EXN126" s="77"/>
      <c r="EXO126" s="77"/>
      <c r="EXP126" s="77"/>
      <c r="EXQ126" s="77"/>
      <c r="EXR126" s="77"/>
      <c r="EXS126" s="77"/>
      <c r="EXT126" s="77"/>
      <c r="EXU126" s="77"/>
      <c r="EXV126" s="77"/>
      <c r="EXW126" s="77"/>
      <c r="EXX126" s="77"/>
      <c r="EXY126" s="77"/>
      <c r="EXZ126" s="77"/>
      <c r="EYA126" s="77"/>
      <c r="EYB126" s="77"/>
      <c r="EYC126" s="77"/>
      <c r="EYD126" s="77"/>
      <c r="EYE126" s="77"/>
      <c r="EYF126" s="77"/>
      <c r="EYG126" s="77"/>
      <c r="EYH126" s="77"/>
      <c r="EYI126" s="77"/>
      <c r="EYJ126" s="77"/>
      <c r="EYK126" s="77"/>
      <c r="EYL126" s="77"/>
      <c r="EYM126" s="77"/>
      <c r="EYN126" s="77"/>
      <c r="EYO126" s="77"/>
      <c r="EYP126" s="77"/>
      <c r="EYQ126" s="77"/>
      <c r="EYR126" s="77"/>
      <c r="EYS126" s="77"/>
      <c r="EYT126" s="77"/>
      <c r="EYU126" s="77"/>
      <c r="EYV126" s="77"/>
      <c r="EYW126" s="77"/>
      <c r="EYX126" s="77"/>
      <c r="EYY126" s="77"/>
      <c r="EYZ126" s="77"/>
      <c r="EZA126" s="77"/>
      <c r="EZB126" s="77"/>
      <c r="EZC126" s="77"/>
      <c r="EZD126" s="77"/>
      <c r="EZE126" s="77"/>
      <c r="EZF126" s="77"/>
      <c r="EZG126" s="77"/>
      <c r="EZH126" s="77"/>
      <c r="EZI126" s="77"/>
      <c r="EZJ126" s="77"/>
      <c r="EZK126" s="77"/>
      <c r="EZL126" s="77"/>
      <c r="EZM126" s="77"/>
      <c r="EZN126" s="77"/>
      <c r="EZO126" s="77"/>
      <c r="EZP126" s="77"/>
      <c r="EZQ126" s="77"/>
      <c r="EZR126" s="77"/>
      <c r="EZS126" s="77"/>
      <c r="EZT126" s="77"/>
      <c r="EZU126" s="77"/>
      <c r="EZV126" s="77"/>
      <c r="EZW126" s="77"/>
      <c r="EZX126" s="77"/>
      <c r="EZY126" s="77"/>
      <c r="EZZ126" s="77"/>
      <c r="FAA126" s="77"/>
      <c r="FAB126" s="77"/>
      <c r="FAC126" s="77"/>
      <c r="FAD126" s="77"/>
      <c r="FAE126" s="77"/>
      <c r="FAF126" s="77"/>
      <c r="FAG126" s="77"/>
      <c r="FAH126" s="77"/>
      <c r="FAI126" s="77"/>
      <c r="FAJ126" s="77"/>
      <c r="FAK126" s="77"/>
      <c r="FAL126" s="77"/>
      <c r="FAM126" s="77"/>
      <c r="FAN126" s="77"/>
      <c r="FAO126" s="77"/>
      <c r="FAP126" s="77"/>
      <c r="FAQ126" s="77"/>
      <c r="FAR126" s="77"/>
      <c r="FAS126" s="77"/>
      <c r="FAT126" s="77"/>
      <c r="FAU126" s="77"/>
      <c r="FAV126" s="77"/>
      <c r="FAW126" s="77"/>
      <c r="FAX126" s="77"/>
      <c r="FAY126" s="77"/>
      <c r="FAZ126" s="77"/>
      <c r="FBA126" s="77"/>
      <c r="FBB126" s="77"/>
      <c r="FBC126" s="77"/>
      <c r="FBD126" s="77"/>
      <c r="FBE126" s="77"/>
      <c r="FBF126" s="77"/>
      <c r="FBG126" s="77"/>
      <c r="FBH126" s="77"/>
      <c r="FBI126" s="77"/>
      <c r="FBJ126" s="77"/>
      <c r="FBK126" s="77"/>
      <c r="FBL126" s="77"/>
      <c r="FBM126" s="77"/>
      <c r="FBN126" s="77"/>
      <c r="FBO126" s="77"/>
      <c r="FBP126" s="77"/>
      <c r="FBQ126" s="77"/>
      <c r="FBR126" s="77"/>
      <c r="FBS126" s="77"/>
      <c r="FBT126" s="77"/>
      <c r="FBU126" s="77"/>
      <c r="FBV126" s="77"/>
      <c r="FBW126" s="77"/>
      <c r="FBX126" s="77"/>
      <c r="FBY126" s="77"/>
      <c r="FBZ126" s="77"/>
      <c r="FCA126" s="77"/>
      <c r="FCB126" s="77"/>
      <c r="FCC126" s="77"/>
      <c r="FCD126" s="77"/>
      <c r="FCE126" s="77"/>
      <c r="FCF126" s="77"/>
      <c r="FCG126" s="77"/>
      <c r="FCH126" s="77"/>
      <c r="FCI126" s="77"/>
      <c r="FCJ126" s="77"/>
      <c r="FCK126" s="77"/>
      <c r="FCL126" s="77"/>
      <c r="FCM126" s="77"/>
      <c r="FCN126" s="77"/>
      <c r="FCO126" s="77"/>
      <c r="FCP126" s="77"/>
      <c r="FCQ126" s="77"/>
      <c r="FCR126" s="77"/>
      <c r="FCS126" s="77"/>
      <c r="FCT126" s="77"/>
      <c r="FCU126" s="77"/>
      <c r="FCV126" s="77"/>
      <c r="FCW126" s="77"/>
      <c r="FCX126" s="77"/>
      <c r="FCY126" s="77"/>
      <c r="FCZ126" s="77"/>
      <c r="FDA126" s="77"/>
      <c r="FDB126" s="77"/>
      <c r="FDC126" s="77"/>
      <c r="FDD126" s="77"/>
      <c r="FDE126" s="77"/>
      <c r="FDF126" s="77"/>
      <c r="FDG126" s="77"/>
      <c r="FDH126" s="77"/>
      <c r="FDI126" s="77"/>
      <c r="FDJ126" s="77"/>
      <c r="FDK126" s="77"/>
      <c r="FDL126" s="77"/>
      <c r="FDM126" s="77"/>
      <c r="FDN126" s="77"/>
      <c r="FDO126" s="77"/>
      <c r="FDP126" s="77"/>
      <c r="FDQ126" s="77"/>
      <c r="FDR126" s="77"/>
      <c r="FDS126" s="77"/>
      <c r="FDT126" s="77"/>
      <c r="FDU126" s="77"/>
      <c r="FDV126" s="77"/>
      <c r="FDW126" s="77"/>
      <c r="FDX126" s="77"/>
      <c r="FDY126" s="77"/>
      <c r="FDZ126" s="77"/>
      <c r="FEA126" s="77"/>
      <c r="FEB126" s="77"/>
      <c r="FEC126" s="77"/>
      <c r="FED126" s="77"/>
      <c r="FEE126" s="77"/>
      <c r="FEF126" s="77"/>
      <c r="FEG126" s="77"/>
      <c r="FEH126" s="77"/>
      <c r="FEI126" s="77"/>
      <c r="FEJ126" s="77"/>
      <c r="FEK126" s="77"/>
      <c r="FEL126" s="77"/>
      <c r="FEM126" s="77"/>
      <c r="FEN126" s="77"/>
      <c r="FEO126" s="77"/>
      <c r="FEP126" s="77"/>
      <c r="FEQ126" s="77"/>
      <c r="FER126" s="77"/>
      <c r="FES126" s="77"/>
      <c r="FET126" s="77"/>
      <c r="FEU126" s="77"/>
      <c r="FEV126" s="77"/>
      <c r="FEW126" s="77"/>
      <c r="FEX126" s="77"/>
      <c r="FEY126" s="77"/>
      <c r="FEZ126" s="77"/>
      <c r="FFA126" s="77"/>
      <c r="FFB126" s="77"/>
      <c r="FFC126" s="77"/>
      <c r="FFD126" s="77"/>
      <c r="FFE126" s="77"/>
      <c r="FFF126" s="77"/>
      <c r="FFG126" s="77"/>
      <c r="FFH126" s="77"/>
      <c r="FFI126" s="77"/>
      <c r="FFJ126" s="77"/>
      <c r="FFK126" s="77"/>
      <c r="FFL126" s="77"/>
      <c r="FFM126" s="77"/>
      <c r="FFN126" s="77"/>
      <c r="FFO126" s="77"/>
      <c r="FFP126" s="77"/>
      <c r="FFQ126" s="77"/>
      <c r="FFR126" s="77"/>
      <c r="FFS126" s="77"/>
      <c r="FFT126" s="77"/>
      <c r="FFU126" s="77"/>
      <c r="FFV126" s="77"/>
      <c r="FFW126" s="77"/>
      <c r="FFX126" s="77"/>
      <c r="FFY126" s="77"/>
      <c r="FFZ126" s="77"/>
      <c r="FGA126" s="77"/>
      <c r="FGB126" s="77"/>
      <c r="FGC126" s="77"/>
      <c r="FGD126" s="77"/>
      <c r="FGE126" s="77"/>
      <c r="FGF126" s="77"/>
      <c r="FGG126" s="77"/>
      <c r="FGH126" s="77"/>
      <c r="FGI126" s="77"/>
      <c r="FGJ126" s="77"/>
      <c r="FGK126" s="77"/>
      <c r="FGL126" s="77"/>
      <c r="FGM126" s="77"/>
      <c r="FGN126" s="77"/>
      <c r="FGO126" s="77"/>
      <c r="FGP126" s="77"/>
      <c r="FGQ126" s="77"/>
      <c r="FGR126" s="77"/>
      <c r="FGS126" s="77"/>
      <c r="FGT126" s="77"/>
      <c r="FGU126" s="77"/>
      <c r="FGV126" s="77"/>
      <c r="FGW126" s="77"/>
      <c r="FGX126" s="77"/>
      <c r="FGY126" s="77"/>
      <c r="FGZ126" s="77"/>
      <c r="FHA126" s="77"/>
      <c r="FHB126" s="77"/>
      <c r="FHC126" s="77"/>
      <c r="FHD126" s="77"/>
      <c r="FHE126" s="77"/>
      <c r="FHF126" s="77"/>
      <c r="FHG126" s="77"/>
      <c r="FHH126" s="77"/>
      <c r="FHI126" s="77"/>
      <c r="FHJ126" s="77"/>
      <c r="FHK126" s="77"/>
      <c r="FHL126" s="77"/>
      <c r="FHM126" s="77"/>
      <c r="FHN126" s="77"/>
      <c r="FHO126" s="77"/>
      <c r="FHP126" s="77"/>
      <c r="FHQ126" s="77"/>
      <c r="FHR126" s="77"/>
      <c r="FHS126" s="77"/>
      <c r="FHT126" s="77"/>
      <c r="FHU126" s="77"/>
      <c r="FHV126" s="77"/>
      <c r="FHW126" s="77"/>
      <c r="FHX126" s="77"/>
      <c r="FHY126" s="77"/>
      <c r="FHZ126" s="77"/>
      <c r="FIA126" s="77"/>
      <c r="FIB126" s="77"/>
      <c r="FIC126" s="77"/>
      <c r="FID126" s="77"/>
      <c r="FIE126" s="77"/>
      <c r="FIF126" s="77"/>
      <c r="FIG126" s="77"/>
      <c r="FIH126" s="77"/>
      <c r="FII126" s="77"/>
      <c r="FIJ126" s="77"/>
      <c r="FIK126" s="77"/>
      <c r="FIL126" s="77"/>
      <c r="FIM126" s="77"/>
      <c r="FIN126" s="77"/>
      <c r="FIO126" s="77"/>
      <c r="FIP126" s="77"/>
      <c r="FIQ126" s="77"/>
      <c r="FIR126" s="77"/>
      <c r="FIS126" s="77"/>
      <c r="FIT126" s="77"/>
      <c r="FIU126" s="77"/>
      <c r="FIV126" s="77"/>
      <c r="FIW126" s="77"/>
      <c r="FIX126" s="77"/>
      <c r="FIY126" s="77"/>
      <c r="FIZ126" s="77"/>
      <c r="FJA126" s="77"/>
      <c r="FJB126" s="77"/>
      <c r="FJC126" s="77"/>
      <c r="FJD126" s="77"/>
      <c r="FJE126" s="77"/>
      <c r="FJF126" s="77"/>
      <c r="FJG126" s="77"/>
      <c r="FJH126" s="77"/>
      <c r="FJI126" s="77"/>
      <c r="FJJ126" s="77"/>
      <c r="FJK126" s="77"/>
      <c r="FJL126" s="77"/>
      <c r="FJM126" s="77"/>
      <c r="FJN126" s="77"/>
      <c r="FJO126" s="77"/>
      <c r="FJP126" s="77"/>
      <c r="FJQ126" s="77"/>
      <c r="FJR126" s="77"/>
      <c r="FJS126" s="77"/>
      <c r="FJT126" s="77"/>
      <c r="FJU126" s="77"/>
      <c r="FJV126" s="77"/>
      <c r="FJW126" s="77"/>
      <c r="FJX126" s="77"/>
      <c r="FJY126" s="77"/>
      <c r="FJZ126" s="77"/>
      <c r="FKA126" s="77"/>
      <c r="FKB126" s="77"/>
      <c r="FKC126" s="77"/>
      <c r="FKD126" s="77"/>
      <c r="FKE126" s="77"/>
      <c r="FKF126" s="77"/>
      <c r="FKG126" s="77"/>
      <c r="FKH126" s="77"/>
      <c r="FKI126" s="77"/>
      <c r="FKJ126" s="77"/>
      <c r="FKK126" s="77"/>
      <c r="FKL126" s="77"/>
      <c r="FKM126" s="77"/>
      <c r="FKN126" s="77"/>
      <c r="FKO126" s="77"/>
      <c r="FKP126" s="77"/>
      <c r="FKQ126" s="77"/>
      <c r="FKR126" s="77"/>
      <c r="FKS126" s="77"/>
      <c r="FKT126" s="77"/>
      <c r="FKU126" s="77"/>
      <c r="FKV126" s="77"/>
      <c r="FKW126" s="77"/>
      <c r="FKX126" s="77"/>
      <c r="FKY126" s="77"/>
      <c r="FKZ126" s="77"/>
      <c r="FLA126" s="77"/>
      <c r="FLB126" s="77"/>
      <c r="FLC126" s="77"/>
      <c r="FLD126" s="77"/>
      <c r="FLE126" s="77"/>
      <c r="FLF126" s="77"/>
      <c r="FLG126" s="77"/>
      <c r="FLH126" s="77"/>
      <c r="FLI126" s="77"/>
      <c r="FLJ126" s="77"/>
      <c r="FLK126" s="77"/>
      <c r="FLL126" s="77"/>
      <c r="FLM126" s="77"/>
      <c r="FLN126" s="77"/>
      <c r="FLO126" s="77"/>
      <c r="FLP126" s="77"/>
      <c r="FLQ126" s="77"/>
      <c r="FLR126" s="77"/>
      <c r="FLS126" s="77"/>
      <c r="FLT126" s="77"/>
      <c r="FLU126" s="77"/>
      <c r="FLV126" s="77"/>
      <c r="FLW126" s="77"/>
      <c r="FLX126" s="77"/>
      <c r="FLY126" s="77"/>
      <c r="FLZ126" s="77"/>
      <c r="FMA126" s="77"/>
      <c r="FMB126" s="77"/>
      <c r="FMC126" s="77"/>
      <c r="FMD126" s="77"/>
      <c r="FME126" s="77"/>
      <c r="FMF126" s="77"/>
      <c r="FMG126" s="77"/>
      <c r="FMH126" s="77"/>
      <c r="FMI126" s="77"/>
      <c r="FMJ126" s="77"/>
      <c r="FMK126" s="77"/>
      <c r="FML126" s="77"/>
      <c r="FMM126" s="77"/>
      <c r="FMN126" s="77"/>
      <c r="FMO126" s="77"/>
      <c r="FMP126" s="77"/>
      <c r="FMQ126" s="77"/>
      <c r="FMR126" s="77"/>
      <c r="FMS126" s="77"/>
      <c r="FMT126" s="77"/>
      <c r="FMU126" s="77"/>
      <c r="FMV126" s="77"/>
      <c r="FMW126" s="77"/>
      <c r="FMX126" s="77"/>
      <c r="FMY126" s="77"/>
      <c r="FMZ126" s="77"/>
      <c r="FNA126" s="77"/>
      <c r="FNB126" s="77"/>
      <c r="FNC126" s="77"/>
      <c r="FND126" s="77"/>
      <c r="FNE126" s="77"/>
      <c r="FNF126" s="77"/>
      <c r="FNG126" s="77"/>
      <c r="FNH126" s="77"/>
      <c r="FNI126" s="77"/>
      <c r="FNJ126" s="77"/>
      <c r="FNK126" s="77"/>
      <c r="FNL126" s="77"/>
      <c r="FNM126" s="77"/>
      <c r="FNN126" s="77"/>
      <c r="FNO126" s="77"/>
      <c r="FNP126" s="77"/>
      <c r="FNQ126" s="77"/>
      <c r="FNR126" s="77"/>
      <c r="FNS126" s="77"/>
      <c r="FNT126" s="77"/>
      <c r="FNU126" s="77"/>
      <c r="FNV126" s="77"/>
      <c r="FNW126" s="77"/>
      <c r="FNX126" s="77"/>
      <c r="FNY126" s="77"/>
      <c r="FNZ126" s="77"/>
      <c r="FOA126" s="77"/>
      <c r="FOB126" s="77"/>
      <c r="FOC126" s="77"/>
      <c r="FOD126" s="77"/>
      <c r="FOE126" s="77"/>
      <c r="FOF126" s="77"/>
      <c r="FOG126" s="77"/>
      <c r="FOH126" s="77"/>
      <c r="FOI126" s="77"/>
      <c r="FOJ126" s="77"/>
      <c r="FOK126" s="77"/>
      <c r="FOL126" s="77"/>
      <c r="FOM126" s="77"/>
      <c r="FON126" s="77"/>
      <c r="FOO126" s="77"/>
      <c r="FOP126" s="77"/>
      <c r="FOQ126" s="77"/>
      <c r="FOR126" s="77"/>
      <c r="FOS126" s="77"/>
      <c r="FOT126" s="77"/>
      <c r="FOU126" s="77"/>
      <c r="FOV126" s="77"/>
      <c r="FOW126" s="77"/>
      <c r="FOX126" s="77"/>
      <c r="FOY126" s="77"/>
      <c r="FOZ126" s="77"/>
      <c r="FPA126" s="77"/>
      <c r="FPB126" s="77"/>
      <c r="FPC126" s="77"/>
      <c r="FPD126" s="77"/>
      <c r="FPE126" s="77"/>
      <c r="FPF126" s="77"/>
      <c r="FPG126" s="77"/>
      <c r="FPH126" s="77"/>
      <c r="FPI126" s="77"/>
      <c r="FPJ126" s="77"/>
      <c r="FPK126" s="77"/>
      <c r="FPL126" s="77"/>
      <c r="FPM126" s="77"/>
      <c r="FPN126" s="77"/>
      <c r="FPO126" s="77"/>
      <c r="FPP126" s="77"/>
      <c r="FPQ126" s="77"/>
      <c r="FPR126" s="77"/>
      <c r="FPS126" s="77"/>
      <c r="FPT126" s="77"/>
      <c r="FPU126" s="77"/>
      <c r="FPV126" s="77"/>
      <c r="FPW126" s="77"/>
      <c r="FPX126" s="77"/>
      <c r="FPY126" s="77"/>
      <c r="FPZ126" s="77"/>
      <c r="FQA126" s="77"/>
      <c r="FQB126" s="77"/>
      <c r="FQC126" s="77"/>
      <c r="FQD126" s="77"/>
      <c r="FQE126" s="77"/>
      <c r="FQF126" s="77"/>
      <c r="FQG126" s="77"/>
      <c r="FQH126" s="77"/>
      <c r="FQI126" s="77"/>
      <c r="FQJ126" s="77"/>
      <c r="FQK126" s="77"/>
      <c r="FQL126" s="77"/>
      <c r="FQM126" s="77"/>
      <c r="FQN126" s="77"/>
      <c r="FQO126" s="77"/>
      <c r="FQP126" s="77"/>
      <c r="FQQ126" s="77"/>
      <c r="FQR126" s="77"/>
      <c r="FQS126" s="77"/>
      <c r="FQT126" s="77"/>
      <c r="FQU126" s="77"/>
      <c r="FQV126" s="77"/>
      <c r="FQW126" s="77"/>
      <c r="FQX126" s="77"/>
      <c r="FQY126" s="77"/>
      <c r="FQZ126" s="77"/>
      <c r="FRA126" s="77"/>
      <c r="FRB126" s="77"/>
      <c r="FRC126" s="77"/>
      <c r="FRD126" s="77"/>
      <c r="FRE126" s="77"/>
      <c r="FRF126" s="77"/>
      <c r="FRG126" s="77"/>
      <c r="FRH126" s="77"/>
      <c r="FRI126" s="77"/>
      <c r="FRJ126" s="77"/>
      <c r="FRK126" s="77"/>
      <c r="FRL126" s="77"/>
      <c r="FRM126" s="77"/>
      <c r="FRN126" s="77"/>
      <c r="FRO126" s="77"/>
      <c r="FRP126" s="77"/>
      <c r="FRQ126" s="77"/>
      <c r="FRR126" s="77"/>
      <c r="FRS126" s="77"/>
      <c r="FRT126" s="77"/>
      <c r="FRU126" s="77"/>
      <c r="FRV126" s="77"/>
      <c r="FRW126" s="77"/>
      <c r="FRX126" s="77"/>
      <c r="FRY126" s="77"/>
      <c r="FRZ126" s="77"/>
      <c r="FSA126" s="77"/>
      <c r="FSB126" s="77"/>
      <c r="FSC126" s="77"/>
      <c r="FSD126" s="77"/>
      <c r="FSE126" s="77"/>
      <c r="FSF126" s="77"/>
      <c r="FSG126" s="77"/>
      <c r="FSH126" s="77"/>
      <c r="FSI126" s="77"/>
      <c r="FSJ126" s="77"/>
      <c r="FSK126" s="77"/>
      <c r="FSL126" s="77"/>
      <c r="FSM126" s="77"/>
      <c r="FSN126" s="77"/>
      <c r="FSO126" s="77"/>
      <c r="FSP126" s="77"/>
      <c r="FSQ126" s="77"/>
      <c r="FSR126" s="77"/>
      <c r="FSS126" s="77"/>
      <c r="FST126" s="77"/>
      <c r="FSU126" s="77"/>
      <c r="FSV126" s="77"/>
      <c r="FSW126" s="77"/>
      <c r="FSX126" s="77"/>
      <c r="FSY126" s="77"/>
      <c r="FSZ126" s="77"/>
      <c r="FTA126" s="77"/>
      <c r="FTB126" s="77"/>
      <c r="FTC126" s="77"/>
      <c r="FTD126" s="77"/>
      <c r="FTE126" s="77"/>
      <c r="FTF126" s="77"/>
      <c r="FTG126" s="77"/>
      <c r="FTH126" s="77"/>
      <c r="FTI126" s="77"/>
      <c r="FTJ126" s="77"/>
      <c r="FTK126" s="77"/>
      <c r="FTL126" s="77"/>
      <c r="FTM126" s="77"/>
      <c r="FTN126" s="77"/>
      <c r="FTO126" s="77"/>
      <c r="FTP126" s="77"/>
      <c r="FTQ126" s="77"/>
      <c r="FTR126" s="77"/>
      <c r="FTS126" s="77"/>
      <c r="FTT126" s="77"/>
      <c r="FTU126" s="77"/>
      <c r="FTV126" s="77"/>
      <c r="FTW126" s="77"/>
      <c r="FTX126" s="77"/>
      <c r="FTY126" s="77"/>
      <c r="FTZ126" s="77"/>
      <c r="FUA126" s="77"/>
      <c r="FUB126" s="77"/>
      <c r="FUC126" s="77"/>
      <c r="FUD126" s="77"/>
      <c r="FUE126" s="77"/>
      <c r="FUF126" s="77"/>
      <c r="FUG126" s="77"/>
      <c r="FUH126" s="77"/>
      <c r="FUI126" s="77"/>
      <c r="FUJ126" s="77"/>
      <c r="FUK126" s="77"/>
      <c r="FUL126" s="77"/>
      <c r="FUM126" s="77"/>
      <c r="FUN126" s="77"/>
      <c r="FUO126" s="77"/>
      <c r="FUP126" s="77"/>
      <c r="FUQ126" s="77"/>
      <c r="FUR126" s="77"/>
      <c r="FUS126" s="77"/>
      <c r="FUT126" s="77"/>
      <c r="FUU126" s="77"/>
      <c r="FUV126" s="77"/>
      <c r="FUW126" s="77"/>
      <c r="FUX126" s="77"/>
      <c r="FUY126" s="77"/>
      <c r="FUZ126" s="77"/>
      <c r="FVA126" s="77"/>
      <c r="FVB126" s="77"/>
      <c r="FVC126" s="77"/>
      <c r="FVD126" s="77"/>
      <c r="FVE126" s="77"/>
      <c r="FVF126" s="77"/>
      <c r="FVG126" s="77"/>
      <c r="FVH126" s="77"/>
      <c r="FVI126" s="77"/>
      <c r="FVJ126" s="77"/>
      <c r="FVK126" s="77"/>
      <c r="FVL126" s="77"/>
      <c r="FVM126" s="77"/>
      <c r="FVN126" s="77"/>
      <c r="FVO126" s="77"/>
      <c r="FVP126" s="77"/>
      <c r="FVQ126" s="77"/>
      <c r="FVR126" s="77"/>
      <c r="FVS126" s="77"/>
      <c r="FVT126" s="77"/>
      <c r="FVU126" s="77"/>
      <c r="FVV126" s="77"/>
      <c r="FVW126" s="77"/>
      <c r="FVX126" s="77"/>
      <c r="FVY126" s="77"/>
      <c r="FVZ126" s="77"/>
      <c r="FWA126" s="77"/>
      <c r="FWB126" s="77"/>
      <c r="FWC126" s="77"/>
      <c r="FWD126" s="77"/>
      <c r="FWE126" s="77"/>
      <c r="FWF126" s="77"/>
      <c r="FWG126" s="77"/>
      <c r="FWH126" s="77"/>
      <c r="FWI126" s="77"/>
      <c r="FWJ126" s="77"/>
      <c r="FWK126" s="77"/>
      <c r="FWL126" s="77"/>
      <c r="FWM126" s="77"/>
      <c r="FWN126" s="77"/>
      <c r="FWO126" s="77"/>
      <c r="FWP126" s="77"/>
      <c r="FWQ126" s="77"/>
      <c r="FWR126" s="77"/>
      <c r="FWS126" s="77"/>
      <c r="FWT126" s="77"/>
      <c r="FWU126" s="77"/>
      <c r="FWV126" s="77"/>
      <c r="FWW126" s="77"/>
      <c r="FWX126" s="77"/>
      <c r="FWY126" s="77"/>
      <c r="FWZ126" s="77"/>
      <c r="FXA126" s="77"/>
      <c r="FXB126" s="77"/>
      <c r="FXC126" s="77"/>
      <c r="FXD126" s="77"/>
      <c r="FXE126" s="77"/>
      <c r="FXF126" s="77"/>
      <c r="FXG126" s="77"/>
      <c r="FXH126" s="77"/>
      <c r="FXI126" s="77"/>
      <c r="FXJ126" s="77"/>
      <c r="FXK126" s="77"/>
      <c r="FXL126" s="77"/>
      <c r="FXM126" s="77"/>
      <c r="FXN126" s="77"/>
      <c r="FXO126" s="77"/>
      <c r="FXP126" s="77"/>
      <c r="FXQ126" s="77"/>
      <c r="FXR126" s="77"/>
      <c r="FXS126" s="77"/>
      <c r="FXT126" s="77"/>
      <c r="FXU126" s="77"/>
      <c r="FXV126" s="77"/>
      <c r="FXW126" s="77"/>
      <c r="FXX126" s="77"/>
      <c r="FXY126" s="77"/>
      <c r="FXZ126" s="77"/>
      <c r="FYA126" s="77"/>
      <c r="FYB126" s="77"/>
      <c r="FYC126" s="77"/>
      <c r="FYD126" s="77"/>
      <c r="FYE126" s="77"/>
      <c r="FYF126" s="77"/>
      <c r="FYG126" s="77"/>
      <c r="FYH126" s="77"/>
      <c r="FYI126" s="77"/>
      <c r="FYJ126" s="77"/>
      <c r="FYK126" s="77"/>
      <c r="FYL126" s="77"/>
      <c r="FYM126" s="77"/>
      <c r="FYN126" s="77"/>
      <c r="FYO126" s="77"/>
      <c r="FYP126" s="77"/>
      <c r="FYQ126" s="77"/>
      <c r="FYR126" s="77"/>
      <c r="FYS126" s="77"/>
      <c r="FYT126" s="77"/>
      <c r="FYU126" s="77"/>
      <c r="FYV126" s="77"/>
      <c r="FYW126" s="77"/>
      <c r="FYX126" s="77"/>
      <c r="FYY126" s="77"/>
      <c r="FYZ126" s="77"/>
      <c r="FZA126" s="77"/>
      <c r="FZB126" s="77"/>
      <c r="FZC126" s="77"/>
      <c r="FZD126" s="77"/>
      <c r="FZE126" s="77"/>
      <c r="FZF126" s="77"/>
      <c r="FZG126" s="77"/>
      <c r="FZH126" s="77"/>
      <c r="FZI126" s="77"/>
      <c r="FZJ126" s="77"/>
      <c r="FZK126" s="77"/>
      <c r="FZL126" s="77"/>
      <c r="FZM126" s="77"/>
      <c r="FZN126" s="77"/>
      <c r="FZO126" s="77"/>
      <c r="FZP126" s="77"/>
      <c r="FZQ126" s="77"/>
      <c r="FZR126" s="77"/>
      <c r="FZS126" s="77"/>
      <c r="FZT126" s="77"/>
      <c r="FZU126" s="77"/>
      <c r="FZV126" s="77"/>
      <c r="FZW126" s="77"/>
      <c r="FZX126" s="77"/>
      <c r="FZY126" s="77"/>
      <c r="FZZ126" s="77"/>
      <c r="GAA126" s="77"/>
      <c r="GAB126" s="77"/>
      <c r="GAC126" s="77"/>
      <c r="GAD126" s="77"/>
      <c r="GAE126" s="77"/>
      <c r="GAF126" s="77"/>
      <c r="GAG126" s="77"/>
      <c r="GAH126" s="77"/>
      <c r="GAI126" s="77"/>
      <c r="GAJ126" s="77"/>
      <c r="GAK126" s="77"/>
      <c r="GAL126" s="77"/>
      <c r="GAM126" s="77"/>
      <c r="GAN126" s="77"/>
      <c r="GAO126" s="77"/>
      <c r="GAP126" s="77"/>
      <c r="GAQ126" s="77"/>
      <c r="GAR126" s="77"/>
      <c r="GAS126" s="77"/>
      <c r="GAT126" s="77"/>
      <c r="GAU126" s="77"/>
      <c r="GAV126" s="77"/>
      <c r="GAW126" s="77"/>
      <c r="GAX126" s="77"/>
      <c r="GAY126" s="77"/>
      <c r="GAZ126" s="77"/>
      <c r="GBA126" s="77"/>
      <c r="GBB126" s="77"/>
      <c r="GBC126" s="77"/>
      <c r="GBD126" s="77"/>
      <c r="GBE126" s="77"/>
      <c r="GBF126" s="77"/>
      <c r="GBG126" s="77"/>
      <c r="GBH126" s="77"/>
      <c r="GBI126" s="77"/>
      <c r="GBJ126" s="77"/>
      <c r="GBK126" s="77"/>
      <c r="GBL126" s="77"/>
      <c r="GBM126" s="77"/>
      <c r="GBN126" s="77"/>
      <c r="GBO126" s="77"/>
      <c r="GBP126" s="77"/>
      <c r="GBQ126" s="77"/>
      <c r="GBR126" s="77"/>
      <c r="GBS126" s="77"/>
      <c r="GBT126" s="77"/>
      <c r="GBU126" s="77"/>
      <c r="GBV126" s="77"/>
      <c r="GBW126" s="77"/>
      <c r="GBX126" s="77"/>
      <c r="GBY126" s="77"/>
      <c r="GBZ126" s="77"/>
      <c r="GCA126" s="77"/>
      <c r="GCB126" s="77"/>
      <c r="GCC126" s="77"/>
      <c r="GCD126" s="77"/>
      <c r="GCE126" s="77"/>
      <c r="GCF126" s="77"/>
      <c r="GCG126" s="77"/>
      <c r="GCH126" s="77"/>
      <c r="GCI126" s="77"/>
      <c r="GCJ126" s="77"/>
      <c r="GCK126" s="77"/>
      <c r="GCL126" s="77"/>
      <c r="GCM126" s="77"/>
      <c r="GCN126" s="77"/>
      <c r="GCO126" s="77"/>
      <c r="GCP126" s="77"/>
      <c r="GCQ126" s="77"/>
      <c r="GCR126" s="77"/>
      <c r="GCS126" s="77"/>
      <c r="GCT126" s="77"/>
      <c r="GCU126" s="77"/>
      <c r="GCV126" s="77"/>
      <c r="GCW126" s="77"/>
      <c r="GCX126" s="77"/>
      <c r="GCY126" s="77"/>
      <c r="GCZ126" s="77"/>
      <c r="GDA126" s="77"/>
      <c r="GDB126" s="77"/>
      <c r="GDC126" s="77"/>
      <c r="GDD126" s="77"/>
      <c r="GDE126" s="77"/>
      <c r="GDF126" s="77"/>
      <c r="GDG126" s="77"/>
      <c r="GDH126" s="77"/>
      <c r="GDI126" s="77"/>
      <c r="GDJ126" s="77"/>
      <c r="GDK126" s="77"/>
      <c r="GDL126" s="77"/>
      <c r="GDM126" s="77"/>
      <c r="GDN126" s="77"/>
      <c r="GDO126" s="77"/>
      <c r="GDP126" s="77"/>
      <c r="GDQ126" s="77"/>
      <c r="GDR126" s="77"/>
      <c r="GDS126" s="77"/>
      <c r="GDT126" s="77"/>
      <c r="GDU126" s="77"/>
      <c r="GDV126" s="77"/>
      <c r="GDW126" s="77"/>
      <c r="GDX126" s="77"/>
      <c r="GDY126" s="77"/>
      <c r="GDZ126" s="77"/>
      <c r="GEA126" s="77"/>
      <c r="GEB126" s="77"/>
      <c r="GEC126" s="77"/>
      <c r="GED126" s="77"/>
      <c r="GEE126" s="77"/>
      <c r="GEF126" s="77"/>
      <c r="GEG126" s="77"/>
      <c r="GEH126" s="77"/>
      <c r="GEI126" s="77"/>
      <c r="GEJ126" s="77"/>
      <c r="GEK126" s="77"/>
      <c r="GEL126" s="77"/>
      <c r="GEM126" s="77"/>
      <c r="GEN126" s="77"/>
      <c r="GEO126" s="77"/>
      <c r="GEP126" s="77"/>
      <c r="GEQ126" s="77"/>
      <c r="GER126" s="77"/>
      <c r="GES126" s="77"/>
      <c r="GET126" s="77"/>
      <c r="GEU126" s="77"/>
      <c r="GEV126" s="77"/>
      <c r="GEW126" s="77"/>
      <c r="GEX126" s="77"/>
      <c r="GEY126" s="77"/>
      <c r="GEZ126" s="77"/>
      <c r="GFA126" s="77"/>
      <c r="GFB126" s="77"/>
      <c r="GFC126" s="77"/>
      <c r="GFD126" s="77"/>
      <c r="GFE126" s="77"/>
      <c r="GFF126" s="77"/>
      <c r="GFG126" s="77"/>
      <c r="GFH126" s="77"/>
      <c r="GFI126" s="77"/>
      <c r="GFJ126" s="77"/>
      <c r="GFK126" s="77"/>
      <c r="GFL126" s="77"/>
      <c r="GFM126" s="77"/>
      <c r="GFN126" s="77"/>
      <c r="GFO126" s="77"/>
      <c r="GFP126" s="77"/>
      <c r="GFQ126" s="77"/>
      <c r="GFR126" s="77"/>
      <c r="GFS126" s="77"/>
      <c r="GFT126" s="77"/>
      <c r="GFU126" s="77"/>
      <c r="GFV126" s="77"/>
      <c r="GFW126" s="77"/>
      <c r="GFX126" s="77"/>
      <c r="GFY126" s="77"/>
      <c r="GFZ126" s="77"/>
      <c r="GGA126" s="77"/>
      <c r="GGB126" s="77"/>
      <c r="GGC126" s="77"/>
      <c r="GGD126" s="77"/>
      <c r="GGE126" s="77"/>
      <c r="GGF126" s="77"/>
      <c r="GGG126" s="77"/>
      <c r="GGH126" s="77"/>
      <c r="GGI126" s="77"/>
      <c r="GGJ126" s="77"/>
      <c r="GGK126" s="77"/>
      <c r="GGL126" s="77"/>
      <c r="GGM126" s="77"/>
      <c r="GGN126" s="77"/>
      <c r="GGO126" s="77"/>
      <c r="GGP126" s="77"/>
      <c r="GGQ126" s="77"/>
      <c r="GGR126" s="77"/>
      <c r="GGS126" s="77"/>
      <c r="GGT126" s="77"/>
      <c r="GGU126" s="77"/>
      <c r="GGV126" s="77"/>
      <c r="GGW126" s="77"/>
      <c r="GGX126" s="77"/>
      <c r="GGY126" s="77"/>
      <c r="GGZ126" s="77"/>
      <c r="GHA126" s="77"/>
      <c r="GHB126" s="77"/>
      <c r="GHC126" s="77"/>
      <c r="GHD126" s="77"/>
      <c r="GHE126" s="77"/>
      <c r="GHF126" s="77"/>
      <c r="GHG126" s="77"/>
      <c r="GHH126" s="77"/>
      <c r="GHI126" s="77"/>
      <c r="GHJ126" s="77"/>
      <c r="GHK126" s="77"/>
      <c r="GHL126" s="77"/>
      <c r="GHM126" s="77"/>
      <c r="GHN126" s="77"/>
      <c r="GHO126" s="77"/>
      <c r="GHP126" s="77"/>
      <c r="GHQ126" s="77"/>
      <c r="GHR126" s="77"/>
      <c r="GHS126" s="77"/>
      <c r="GHT126" s="77"/>
      <c r="GHU126" s="77"/>
      <c r="GHV126" s="77"/>
      <c r="GHW126" s="77"/>
      <c r="GHX126" s="77"/>
      <c r="GHY126" s="77"/>
      <c r="GHZ126" s="77"/>
      <c r="GIA126" s="77"/>
      <c r="GIB126" s="77"/>
      <c r="GIC126" s="77"/>
      <c r="GID126" s="77"/>
      <c r="GIE126" s="77"/>
      <c r="GIF126" s="77"/>
      <c r="GIG126" s="77"/>
      <c r="GIH126" s="77"/>
      <c r="GII126" s="77"/>
      <c r="GIJ126" s="77"/>
      <c r="GIK126" s="77"/>
      <c r="GIL126" s="77"/>
      <c r="GIM126" s="77"/>
      <c r="GIN126" s="77"/>
      <c r="GIO126" s="77"/>
      <c r="GIP126" s="77"/>
      <c r="GIQ126" s="77"/>
      <c r="GIR126" s="77"/>
      <c r="GIS126" s="77"/>
      <c r="GIT126" s="77"/>
      <c r="GIU126" s="77"/>
      <c r="GIV126" s="77"/>
      <c r="GIW126" s="77"/>
      <c r="GIX126" s="77"/>
      <c r="GIY126" s="77"/>
      <c r="GIZ126" s="77"/>
      <c r="GJA126" s="77"/>
      <c r="GJB126" s="77"/>
      <c r="GJC126" s="77"/>
      <c r="GJD126" s="77"/>
      <c r="GJE126" s="77"/>
      <c r="GJF126" s="77"/>
      <c r="GJG126" s="77"/>
      <c r="GJH126" s="77"/>
      <c r="GJI126" s="77"/>
      <c r="GJJ126" s="77"/>
      <c r="GJK126" s="77"/>
      <c r="GJL126" s="77"/>
      <c r="GJM126" s="77"/>
      <c r="GJN126" s="77"/>
      <c r="GJO126" s="77"/>
      <c r="GJP126" s="77"/>
      <c r="GJQ126" s="77"/>
      <c r="GJR126" s="77"/>
      <c r="GJS126" s="77"/>
      <c r="GJT126" s="77"/>
      <c r="GJU126" s="77"/>
      <c r="GJV126" s="77"/>
      <c r="GJW126" s="77"/>
      <c r="GJX126" s="77"/>
      <c r="GJY126" s="77"/>
      <c r="GJZ126" s="77"/>
      <c r="GKA126" s="77"/>
      <c r="GKB126" s="77"/>
      <c r="GKC126" s="77"/>
      <c r="GKD126" s="77"/>
      <c r="GKE126" s="77"/>
      <c r="GKF126" s="77"/>
      <c r="GKG126" s="77"/>
      <c r="GKH126" s="77"/>
      <c r="GKI126" s="77"/>
      <c r="GKJ126" s="77"/>
      <c r="GKK126" s="77"/>
      <c r="GKL126" s="77"/>
      <c r="GKM126" s="77"/>
      <c r="GKN126" s="77"/>
      <c r="GKO126" s="77"/>
      <c r="GKP126" s="77"/>
      <c r="GKQ126" s="77"/>
      <c r="GKR126" s="77"/>
      <c r="GKS126" s="77"/>
      <c r="GKT126" s="77"/>
      <c r="GKU126" s="77"/>
      <c r="GKV126" s="77"/>
      <c r="GKW126" s="77"/>
      <c r="GKX126" s="77"/>
      <c r="GKY126" s="77"/>
      <c r="GKZ126" s="77"/>
      <c r="GLA126" s="77"/>
      <c r="GLB126" s="77"/>
      <c r="GLC126" s="77"/>
      <c r="GLD126" s="77"/>
      <c r="GLE126" s="77"/>
      <c r="GLF126" s="77"/>
      <c r="GLG126" s="77"/>
      <c r="GLH126" s="77"/>
      <c r="GLI126" s="77"/>
      <c r="GLJ126" s="77"/>
      <c r="GLK126" s="77"/>
      <c r="GLL126" s="77"/>
      <c r="GLM126" s="77"/>
      <c r="GLN126" s="77"/>
      <c r="GLO126" s="77"/>
      <c r="GLP126" s="77"/>
      <c r="GLQ126" s="77"/>
      <c r="GLR126" s="77"/>
      <c r="GLS126" s="77"/>
      <c r="GLT126" s="77"/>
      <c r="GLU126" s="77"/>
      <c r="GLV126" s="77"/>
      <c r="GLW126" s="77"/>
      <c r="GLX126" s="77"/>
      <c r="GLY126" s="77"/>
      <c r="GLZ126" s="77"/>
      <c r="GMA126" s="77"/>
      <c r="GMB126" s="77"/>
      <c r="GMC126" s="77"/>
      <c r="GMD126" s="77"/>
      <c r="GME126" s="77"/>
      <c r="GMF126" s="77"/>
      <c r="GMG126" s="77"/>
      <c r="GMH126" s="77"/>
      <c r="GMI126" s="77"/>
      <c r="GMJ126" s="77"/>
      <c r="GMK126" s="77"/>
      <c r="GML126" s="77"/>
      <c r="GMM126" s="77"/>
      <c r="GMN126" s="77"/>
      <c r="GMO126" s="77"/>
      <c r="GMP126" s="77"/>
      <c r="GMQ126" s="77"/>
      <c r="GMR126" s="77"/>
      <c r="GMS126" s="77"/>
      <c r="GMT126" s="77"/>
      <c r="GMU126" s="77"/>
      <c r="GMV126" s="77"/>
      <c r="GMW126" s="77"/>
      <c r="GMX126" s="77"/>
      <c r="GMY126" s="77"/>
      <c r="GMZ126" s="77"/>
      <c r="GNA126" s="77"/>
      <c r="GNB126" s="77"/>
      <c r="GNC126" s="77"/>
      <c r="GND126" s="77"/>
      <c r="GNE126" s="77"/>
      <c r="GNF126" s="77"/>
      <c r="GNG126" s="77"/>
      <c r="GNH126" s="77"/>
      <c r="GNI126" s="77"/>
      <c r="GNJ126" s="77"/>
      <c r="GNK126" s="77"/>
      <c r="GNL126" s="77"/>
      <c r="GNM126" s="77"/>
      <c r="GNN126" s="77"/>
      <c r="GNO126" s="77"/>
      <c r="GNP126" s="77"/>
      <c r="GNQ126" s="77"/>
      <c r="GNR126" s="77"/>
      <c r="GNS126" s="77"/>
      <c r="GNT126" s="77"/>
      <c r="GNU126" s="77"/>
      <c r="GNV126" s="77"/>
      <c r="GNW126" s="77"/>
      <c r="GNX126" s="77"/>
      <c r="GNY126" s="77"/>
      <c r="GNZ126" s="77"/>
      <c r="GOA126" s="77"/>
      <c r="GOB126" s="77"/>
      <c r="GOC126" s="77"/>
      <c r="GOD126" s="77"/>
      <c r="GOE126" s="77"/>
      <c r="GOF126" s="77"/>
      <c r="GOG126" s="77"/>
      <c r="GOH126" s="77"/>
      <c r="GOI126" s="77"/>
      <c r="GOJ126" s="77"/>
      <c r="GOK126" s="77"/>
      <c r="GOL126" s="77"/>
      <c r="GOM126" s="77"/>
      <c r="GON126" s="77"/>
      <c r="GOO126" s="77"/>
      <c r="GOP126" s="77"/>
      <c r="GOQ126" s="77"/>
      <c r="GOR126" s="77"/>
      <c r="GOS126" s="77"/>
      <c r="GOT126" s="77"/>
      <c r="GOU126" s="77"/>
      <c r="GOV126" s="77"/>
      <c r="GOW126" s="77"/>
      <c r="GOX126" s="77"/>
      <c r="GOY126" s="77"/>
      <c r="GOZ126" s="77"/>
      <c r="GPA126" s="77"/>
      <c r="GPB126" s="77"/>
      <c r="GPC126" s="77"/>
      <c r="GPD126" s="77"/>
      <c r="GPE126" s="77"/>
      <c r="GPF126" s="77"/>
      <c r="GPG126" s="77"/>
      <c r="GPH126" s="77"/>
      <c r="GPI126" s="77"/>
      <c r="GPJ126" s="77"/>
      <c r="GPK126" s="77"/>
      <c r="GPL126" s="77"/>
      <c r="GPM126" s="77"/>
      <c r="GPN126" s="77"/>
      <c r="GPO126" s="77"/>
      <c r="GPP126" s="77"/>
      <c r="GPQ126" s="77"/>
      <c r="GPR126" s="77"/>
      <c r="GPS126" s="77"/>
      <c r="GPT126" s="77"/>
      <c r="GPU126" s="77"/>
      <c r="GPV126" s="77"/>
      <c r="GPW126" s="77"/>
      <c r="GPX126" s="77"/>
      <c r="GPY126" s="77"/>
      <c r="GPZ126" s="77"/>
      <c r="GQA126" s="77"/>
      <c r="GQB126" s="77"/>
      <c r="GQC126" s="77"/>
      <c r="GQD126" s="77"/>
      <c r="GQE126" s="77"/>
      <c r="GQF126" s="77"/>
      <c r="GQG126" s="77"/>
      <c r="GQH126" s="77"/>
      <c r="GQI126" s="77"/>
      <c r="GQJ126" s="77"/>
      <c r="GQK126" s="77"/>
      <c r="GQL126" s="77"/>
      <c r="GQM126" s="77"/>
      <c r="GQN126" s="77"/>
      <c r="GQO126" s="77"/>
      <c r="GQP126" s="77"/>
      <c r="GQQ126" s="77"/>
      <c r="GQR126" s="77"/>
      <c r="GQS126" s="77"/>
      <c r="GQT126" s="77"/>
      <c r="GQU126" s="77"/>
      <c r="GQV126" s="77"/>
      <c r="GQW126" s="77"/>
      <c r="GQX126" s="77"/>
      <c r="GQY126" s="77"/>
      <c r="GQZ126" s="77"/>
      <c r="GRA126" s="77"/>
      <c r="GRB126" s="77"/>
      <c r="GRC126" s="77"/>
      <c r="GRD126" s="77"/>
      <c r="GRE126" s="77"/>
      <c r="GRF126" s="77"/>
      <c r="GRG126" s="77"/>
      <c r="GRH126" s="77"/>
      <c r="GRI126" s="77"/>
      <c r="GRJ126" s="77"/>
      <c r="GRK126" s="77"/>
      <c r="GRL126" s="77"/>
      <c r="GRM126" s="77"/>
      <c r="GRN126" s="77"/>
      <c r="GRO126" s="77"/>
      <c r="GRP126" s="77"/>
      <c r="GRQ126" s="77"/>
      <c r="GRR126" s="77"/>
      <c r="GRS126" s="77"/>
      <c r="GRT126" s="77"/>
      <c r="GRU126" s="77"/>
      <c r="GRV126" s="77"/>
      <c r="GRW126" s="77"/>
      <c r="GRX126" s="77"/>
      <c r="GRY126" s="77"/>
      <c r="GRZ126" s="77"/>
      <c r="GSA126" s="77"/>
      <c r="GSB126" s="77"/>
      <c r="GSC126" s="77"/>
      <c r="GSD126" s="77"/>
      <c r="GSE126" s="77"/>
      <c r="GSF126" s="77"/>
      <c r="GSG126" s="77"/>
      <c r="GSH126" s="77"/>
      <c r="GSI126" s="77"/>
      <c r="GSJ126" s="77"/>
      <c r="GSK126" s="77"/>
      <c r="GSL126" s="77"/>
      <c r="GSM126" s="77"/>
      <c r="GSN126" s="77"/>
      <c r="GSO126" s="77"/>
      <c r="GSP126" s="77"/>
      <c r="GSQ126" s="77"/>
      <c r="GSR126" s="77"/>
      <c r="GSS126" s="77"/>
      <c r="GST126" s="77"/>
      <c r="GSU126" s="77"/>
      <c r="GSV126" s="77"/>
      <c r="GSW126" s="77"/>
      <c r="GSX126" s="77"/>
      <c r="GSY126" s="77"/>
      <c r="GSZ126" s="77"/>
      <c r="GTA126" s="77"/>
      <c r="GTB126" s="77"/>
      <c r="GTC126" s="77"/>
      <c r="GTD126" s="77"/>
      <c r="GTE126" s="77"/>
      <c r="GTF126" s="77"/>
      <c r="GTG126" s="77"/>
      <c r="GTH126" s="77"/>
      <c r="GTI126" s="77"/>
      <c r="GTJ126" s="77"/>
      <c r="GTK126" s="77"/>
      <c r="GTL126" s="77"/>
      <c r="GTM126" s="77"/>
      <c r="GTN126" s="77"/>
      <c r="GTO126" s="77"/>
      <c r="GTP126" s="77"/>
      <c r="GTQ126" s="77"/>
      <c r="GTR126" s="77"/>
      <c r="GTS126" s="77"/>
      <c r="GTT126" s="77"/>
      <c r="GTU126" s="77"/>
      <c r="GTV126" s="77"/>
      <c r="GTW126" s="77"/>
      <c r="GTX126" s="77"/>
      <c r="GTY126" s="77"/>
      <c r="GTZ126" s="77"/>
      <c r="GUA126" s="77"/>
      <c r="GUB126" s="77"/>
      <c r="GUC126" s="77"/>
      <c r="GUD126" s="77"/>
      <c r="GUE126" s="77"/>
      <c r="GUF126" s="77"/>
      <c r="GUG126" s="77"/>
      <c r="GUH126" s="77"/>
      <c r="GUI126" s="77"/>
      <c r="GUJ126" s="77"/>
      <c r="GUK126" s="77"/>
      <c r="GUL126" s="77"/>
      <c r="GUM126" s="77"/>
      <c r="GUN126" s="77"/>
      <c r="GUO126" s="77"/>
      <c r="GUP126" s="77"/>
      <c r="GUQ126" s="77"/>
      <c r="GUR126" s="77"/>
      <c r="GUS126" s="77"/>
      <c r="GUT126" s="77"/>
      <c r="GUU126" s="77"/>
      <c r="GUV126" s="77"/>
      <c r="GUW126" s="77"/>
      <c r="GUX126" s="77"/>
      <c r="GUY126" s="77"/>
      <c r="GUZ126" s="77"/>
      <c r="GVA126" s="77"/>
      <c r="GVB126" s="77"/>
      <c r="GVC126" s="77"/>
      <c r="GVD126" s="77"/>
      <c r="GVE126" s="77"/>
      <c r="GVF126" s="77"/>
      <c r="GVG126" s="77"/>
      <c r="GVH126" s="77"/>
      <c r="GVI126" s="77"/>
      <c r="GVJ126" s="77"/>
      <c r="GVK126" s="77"/>
      <c r="GVL126" s="77"/>
      <c r="GVM126" s="77"/>
      <c r="GVN126" s="77"/>
      <c r="GVO126" s="77"/>
      <c r="GVP126" s="77"/>
      <c r="GVQ126" s="77"/>
      <c r="GVR126" s="77"/>
      <c r="GVS126" s="77"/>
      <c r="GVT126" s="77"/>
      <c r="GVU126" s="77"/>
      <c r="GVV126" s="77"/>
      <c r="GVW126" s="77"/>
      <c r="GVX126" s="77"/>
      <c r="GVY126" s="77"/>
      <c r="GVZ126" s="77"/>
      <c r="GWA126" s="77"/>
      <c r="GWB126" s="77"/>
      <c r="GWC126" s="77"/>
      <c r="GWD126" s="77"/>
      <c r="GWE126" s="77"/>
      <c r="GWF126" s="77"/>
      <c r="GWG126" s="77"/>
      <c r="GWH126" s="77"/>
      <c r="GWI126" s="77"/>
      <c r="GWJ126" s="77"/>
      <c r="GWK126" s="77"/>
      <c r="GWL126" s="77"/>
      <c r="GWM126" s="77"/>
      <c r="GWN126" s="77"/>
      <c r="GWO126" s="77"/>
      <c r="GWP126" s="77"/>
      <c r="GWQ126" s="77"/>
      <c r="GWR126" s="77"/>
      <c r="GWS126" s="77"/>
      <c r="GWT126" s="77"/>
      <c r="GWU126" s="77"/>
      <c r="GWV126" s="77"/>
      <c r="GWW126" s="77"/>
      <c r="GWX126" s="77"/>
      <c r="GWY126" s="77"/>
      <c r="GWZ126" s="77"/>
      <c r="GXA126" s="77"/>
      <c r="GXB126" s="77"/>
      <c r="GXC126" s="77"/>
      <c r="GXD126" s="77"/>
      <c r="GXE126" s="77"/>
      <c r="GXF126" s="77"/>
      <c r="GXG126" s="77"/>
      <c r="GXH126" s="77"/>
      <c r="GXI126" s="77"/>
      <c r="GXJ126" s="77"/>
      <c r="GXK126" s="77"/>
      <c r="GXL126" s="77"/>
      <c r="GXM126" s="77"/>
      <c r="GXN126" s="77"/>
      <c r="GXO126" s="77"/>
      <c r="GXP126" s="77"/>
      <c r="GXQ126" s="77"/>
      <c r="GXR126" s="77"/>
      <c r="GXS126" s="77"/>
      <c r="GXT126" s="77"/>
      <c r="GXU126" s="77"/>
      <c r="GXV126" s="77"/>
      <c r="GXW126" s="77"/>
      <c r="GXX126" s="77"/>
      <c r="GXY126" s="77"/>
      <c r="GXZ126" s="77"/>
      <c r="GYA126" s="77"/>
      <c r="GYB126" s="77"/>
      <c r="GYC126" s="77"/>
      <c r="GYD126" s="77"/>
      <c r="GYE126" s="77"/>
      <c r="GYF126" s="77"/>
      <c r="GYG126" s="77"/>
      <c r="GYH126" s="77"/>
      <c r="GYI126" s="77"/>
      <c r="GYJ126" s="77"/>
      <c r="GYK126" s="77"/>
      <c r="GYL126" s="77"/>
      <c r="GYM126" s="77"/>
      <c r="GYN126" s="77"/>
      <c r="GYO126" s="77"/>
      <c r="GYP126" s="77"/>
      <c r="GYQ126" s="77"/>
      <c r="GYR126" s="77"/>
      <c r="GYS126" s="77"/>
      <c r="GYT126" s="77"/>
      <c r="GYU126" s="77"/>
      <c r="GYV126" s="77"/>
      <c r="GYW126" s="77"/>
      <c r="GYX126" s="77"/>
      <c r="GYY126" s="77"/>
      <c r="GYZ126" s="77"/>
      <c r="GZA126" s="77"/>
      <c r="GZB126" s="77"/>
      <c r="GZC126" s="77"/>
      <c r="GZD126" s="77"/>
      <c r="GZE126" s="77"/>
      <c r="GZF126" s="77"/>
      <c r="GZG126" s="77"/>
      <c r="GZH126" s="77"/>
      <c r="GZI126" s="77"/>
      <c r="GZJ126" s="77"/>
      <c r="GZK126" s="77"/>
      <c r="GZL126" s="77"/>
      <c r="GZM126" s="77"/>
      <c r="GZN126" s="77"/>
      <c r="GZO126" s="77"/>
      <c r="GZP126" s="77"/>
      <c r="GZQ126" s="77"/>
      <c r="GZR126" s="77"/>
      <c r="GZS126" s="77"/>
      <c r="GZT126" s="77"/>
      <c r="GZU126" s="77"/>
      <c r="GZV126" s="77"/>
      <c r="GZW126" s="77"/>
      <c r="GZX126" s="77"/>
      <c r="GZY126" s="77"/>
      <c r="GZZ126" s="77"/>
      <c r="HAA126" s="77"/>
      <c r="HAB126" s="77"/>
      <c r="HAC126" s="77"/>
      <c r="HAD126" s="77"/>
      <c r="HAE126" s="77"/>
      <c r="HAF126" s="77"/>
      <c r="HAG126" s="77"/>
      <c r="HAH126" s="77"/>
      <c r="HAI126" s="77"/>
      <c r="HAJ126" s="77"/>
      <c r="HAK126" s="77"/>
      <c r="HAL126" s="77"/>
      <c r="HAM126" s="77"/>
      <c r="HAN126" s="77"/>
      <c r="HAO126" s="77"/>
      <c r="HAP126" s="77"/>
      <c r="HAQ126" s="77"/>
      <c r="HAR126" s="77"/>
      <c r="HAS126" s="77"/>
      <c r="HAT126" s="77"/>
      <c r="HAU126" s="77"/>
      <c r="HAV126" s="77"/>
      <c r="HAW126" s="77"/>
      <c r="HAX126" s="77"/>
      <c r="HAY126" s="77"/>
      <c r="HAZ126" s="77"/>
      <c r="HBA126" s="77"/>
      <c r="HBB126" s="77"/>
      <c r="HBC126" s="77"/>
      <c r="HBD126" s="77"/>
      <c r="HBE126" s="77"/>
      <c r="HBF126" s="77"/>
      <c r="HBG126" s="77"/>
      <c r="HBH126" s="77"/>
      <c r="HBI126" s="77"/>
      <c r="HBJ126" s="77"/>
      <c r="HBK126" s="77"/>
      <c r="HBL126" s="77"/>
      <c r="HBM126" s="77"/>
      <c r="HBN126" s="77"/>
      <c r="HBO126" s="77"/>
      <c r="HBP126" s="77"/>
      <c r="HBQ126" s="77"/>
      <c r="HBR126" s="77"/>
      <c r="HBS126" s="77"/>
      <c r="HBT126" s="77"/>
      <c r="HBU126" s="77"/>
      <c r="HBV126" s="77"/>
      <c r="HBW126" s="77"/>
      <c r="HBX126" s="77"/>
      <c r="HBY126" s="77"/>
      <c r="HBZ126" s="77"/>
      <c r="HCA126" s="77"/>
      <c r="HCB126" s="77"/>
      <c r="HCC126" s="77"/>
      <c r="HCD126" s="77"/>
      <c r="HCE126" s="77"/>
      <c r="HCF126" s="77"/>
      <c r="HCG126" s="77"/>
      <c r="HCH126" s="77"/>
      <c r="HCI126" s="77"/>
      <c r="HCJ126" s="77"/>
      <c r="HCK126" s="77"/>
      <c r="HCL126" s="77"/>
      <c r="HCM126" s="77"/>
      <c r="HCN126" s="77"/>
      <c r="HCO126" s="77"/>
      <c r="HCP126" s="77"/>
      <c r="HCQ126" s="77"/>
      <c r="HCR126" s="77"/>
      <c r="HCS126" s="77"/>
      <c r="HCT126" s="77"/>
      <c r="HCU126" s="77"/>
      <c r="HCV126" s="77"/>
      <c r="HCW126" s="77"/>
      <c r="HCX126" s="77"/>
      <c r="HCY126" s="77"/>
      <c r="HCZ126" s="77"/>
      <c r="HDA126" s="77"/>
      <c r="HDB126" s="77"/>
      <c r="HDC126" s="77"/>
      <c r="HDD126" s="77"/>
      <c r="HDE126" s="77"/>
      <c r="HDF126" s="77"/>
      <c r="HDG126" s="77"/>
      <c r="HDH126" s="77"/>
      <c r="HDI126" s="77"/>
      <c r="HDJ126" s="77"/>
      <c r="HDK126" s="77"/>
      <c r="HDL126" s="77"/>
      <c r="HDM126" s="77"/>
      <c r="HDN126" s="77"/>
      <c r="HDO126" s="77"/>
      <c r="HDP126" s="77"/>
      <c r="HDQ126" s="77"/>
      <c r="HDR126" s="77"/>
      <c r="HDS126" s="77"/>
      <c r="HDT126" s="77"/>
      <c r="HDU126" s="77"/>
      <c r="HDV126" s="77"/>
      <c r="HDW126" s="77"/>
      <c r="HDX126" s="77"/>
      <c r="HDY126" s="77"/>
      <c r="HDZ126" s="77"/>
      <c r="HEA126" s="77"/>
      <c r="HEB126" s="77"/>
      <c r="HEC126" s="77"/>
      <c r="HED126" s="77"/>
      <c r="HEE126" s="77"/>
      <c r="HEF126" s="77"/>
      <c r="HEG126" s="77"/>
      <c r="HEH126" s="77"/>
      <c r="HEI126" s="77"/>
      <c r="HEJ126" s="77"/>
      <c r="HEK126" s="77"/>
      <c r="HEL126" s="77"/>
      <c r="HEM126" s="77"/>
      <c r="HEN126" s="77"/>
      <c r="HEO126" s="77"/>
      <c r="HEP126" s="77"/>
      <c r="HEQ126" s="77"/>
      <c r="HER126" s="77"/>
      <c r="HES126" s="77"/>
      <c r="HET126" s="77"/>
      <c r="HEU126" s="77"/>
      <c r="HEV126" s="77"/>
      <c r="HEW126" s="77"/>
      <c r="HEX126" s="77"/>
      <c r="HEY126" s="77"/>
      <c r="HEZ126" s="77"/>
      <c r="HFA126" s="77"/>
      <c r="HFB126" s="77"/>
      <c r="HFC126" s="77"/>
      <c r="HFD126" s="77"/>
      <c r="HFE126" s="77"/>
      <c r="HFF126" s="77"/>
      <c r="HFG126" s="77"/>
      <c r="HFH126" s="77"/>
      <c r="HFI126" s="77"/>
      <c r="HFJ126" s="77"/>
      <c r="HFK126" s="77"/>
      <c r="HFL126" s="77"/>
      <c r="HFM126" s="77"/>
      <c r="HFN126" s="77"/>
      <c r="HFO126" s="77"/>
      <c r="HFP126" s="77"/>
      <c r="HFQ126" s="77"/>
      <c r="HFR126" s="77"/>
      <c r="HFS126" s="77"/>
      <c r="HFT126" s="77"/>
      <c r="HFU126" s="77"/>
      <c r="HFV126" s="77"/>
      <c r="HFW126" s="77"/>
      <c r="HFX126" s="77"/>
      <c r="HFY126" s="77"/>
      <c r="HFZ126" s="77"/>
      <c r="HGA126" s="77"/>
      <c r="HGB126" s="77"/>
      <c r="HGC126" s="77"/>
      <c r="HGD126" s="77"/>
      <c r="HGE126" s="77"/>
      <c r="HGF126" s="77"/>
      <c r="HGG126" s="77"/>
      <c r="HGH126" s="77"/>
      <c r="HGI126" s="77"/>
      <c r="HGJ126" s="77"/>
      <c r="HGK126" s="77"/>
      <c r="HGL126" s="77"/>
      <c r="HGM126" s="77"/>
      <c r="HGN126" s="77"/>
      <c r="HGO126" s="77"/>
      <c r="HGP126" s="77"/>
      <c r="HGQ126" s="77"/>
      <c r="HGR126" s="77"/>
      <c r="HGS126" s="77"/>
      <c r="HGT126" s="77"/>
      <c r="HGU126" s="77"/>
      <c r="HGV126" s="77"/>
      <c r="HGW126" s="77"/>
      <c r="HGX126" s="77"/>
      <c r="HGY126" s="77"/>
      <c r="HGZ126" s="77"/>
      <c r="HHA126" s="77"/>
      <c r="HHB126" s="77"/>
      <c r="HHC126" s="77"/>
      <c r="HHD126" s="77"/>
      <c r="HHE126" s="77"/>
      <c r="HHF126" s="77"/>
      <c r="HHG126" s="77"/>
      <c r="HHH126" s="77"/>
      <c r="HHI126" s="77"/>
      <c r="HHJ126" s="77"/>
      <c r="HHK126" s="77"/>
      <c r="HHL126" s="77"/>
      <c r="HHM126" s="77"/>
      <c r="HHN126" s="77"/>
      <c r="HHO126" s="77"/>
      <c r="HHP126" s="77"/>
      <c r="HHQ126" s="77"/>
      <c r="HHR126" s="77"/>
      <c r="HHS126" s="77"/>
      <c r="HHT126" s="77"/>
      <c r="HHU126" s="77"/>
      <c r="HHV126" s="77"/>
      <c r="HHW126" s="77"/>
      <c r="HHX126" s="77"/>
      <c r="HHY126" s="77"/>
      <c r="HHZ126" s="77"/>
      <c r="HIA126" s="77"/>
      <c r="HIB126" s="77"/>
      <c r="HIC126" s="77"/>
      <c r="HID126" s="77"/>
      <c r="HIE126" s="77"/>
      <c r="HIF126" s="77"/>
      <c r="HIG126" s="77"/>
      <c r="HIH126" s="77"/>
      <c r="HII126" s="77"/>
      <c r="HIJ126" s="77"/>
      <c r="HIK126" s="77"/>
      <c r="HIL126" s="77"/>
      <c r="HIM126" s="77"/>
      <c r="HIN126" s="77"/>
      <c r="HIO126" s="77"/>
      <c r="HIP126" s="77"/>
      <c r="HIQ126" s="77"/>
      <c r="HIR126" s="77"/>
      <c r="HIS126" s="77"/>
      <c r="HIT126" s="77"/>
      <c r="HIU126" s="77"/>
      <c r="HIV126" s="77"/>
      <c r="HIW126" s="77"/>
      <c r="HIX126" s="77"/>
      <c r="HIY126" s="77"/>
      <c r="HIZ126" s="77"/>
      <c r="HJA126" s="77"/>
      <c r="HJB126" s="77"/>
      <c r="HJC126" s="77"/>
      <c r="HJD126" s="77"/>
      <c r="HJE126" s="77"/>
      <c r="HJF126" s="77"/>
      <c r="HJG126" s="77"/>
      <c r="HJH126" s="77"/>
      <c r="HJI126" s="77"/>
      <c r="HJJ126" s="77"/>
      <c r="HJK126" s="77"/>
      <c r="HJL126" s="77"/>
      <c r="HJM126" s="77"/>
      <c r="HJN126" s="77"/>
      <c r="HJO126" s="77"/>
      <c r="HJP126" s="77"/>
      <c r="HJQ126" s="77"/>
      <c r="HJR126" s="77"/>
      <c r="HJS126" s="77"/>
      <c r="HJT126" s="77"/>
      <c r="HJU126" s="77"/>
      <c r="HJV126" s="77"/>
      <c r="HJW126" s="77"/>
      <c r="HJX126" s="77"/>
      <c r="HJY126" s="77"/>
      <c r="HJZ126" s="77"/>
      <c r="HKA126" s="77"/>
      <c r="HKB126" s="77"/>
      <c r="HKC126" s="77"/>
      <c r="HKD126" s="77"/>
      <c r="HKE126" s="77"/>
      <c r="HKF126" s="77"/>
      <c r="HKG126" s="77"/>
      <c r="HKH126" s="77"/>
      <c r="HKI126" s="77"/>
      <c r="HKJ126" s="77"/>
      <c r="HKK126" s="77"/>
      <c r="HKL126" s="77"/>
      <c r="HKM126" s="77"/>
      <c r="HKN126" s="77"/>
      <c r="HKO126" s="77"/>
      <c r="HKP126" s="77"/>
      <c r="HKQ126" s="77"/>
      <c r="HKR126" s="77"/>
      <c r="HKS126" s="77"/>
      <c r="HKT126" s="77"/>
      <c r="HKU126" s="77"/>
      <c r="HKV126" s="77"/>
      <c r="HKW126" s="77"/>
      <c r="HKX126" s="77"/>
      <c r="HKY126" s="77"/>
      <c r="HKZ126" s="77"/>
      <c r="HLA126" s="77"/>
      <c r="HLB126" s="77"/>
      <c r="HLC126" s="77"/>
      <c r="HLD126" s="77"/>
      <c r="HLE126" s="77"/>
      <c r="HLF126" s="77"/>
      <c r="HLG126" s="77"/>
      <c r="HLH126" s="77"/>
      <c r="HLI126" s="77"/>
      <c r="HLJ126" s="77"/>
      <c r="HLK126" s="77"/>
      <c r="HLL126" s="77"/>
      <c r="HLM126" s="77"/>
      <c r="HLN126" s="77"/>
      <c r="HLO126" s="77"/>
      <c r="HLP126" s="77"/>
      <c r="HLQ126" s="77"/>
      <c r="HLR126" s="77"/>
      <c r="HLS126" s="77"/>
      <c r="HLT126" s="77"/>
      <c r="HLU126" s="77"/>
      <c r="HLV126" s="77"/>
      <c r="HLW126" s="77"/>
      <c r="HLX126" s="77"/>
      <c r="HLY126" s="77"/>
      <c r="HLZ126" s="77"/>
      <c r="HMA126" s="77"/>
      <c r="HMB126" s="77"/>
      <c r="HMC126" s="77"/>
      <c r="HMD126" s="77"/>
      <c r="HME126" s="77"/>
      <c r="HMF126" s="77"/>
      <c r="HMG126" s="77"/>
      <c r="HMH126" s="77"/>
      <c r="HMI126" s="77"/>
      <c r="HMJ126" s="77"/>
      <c r="HMK126" s="77"/>
      <c r="HML126" s="77"/>
      <c r="HMM126" s="77"/>
      <c r="HMN126" s="77"/>
      <c r="HMO126" s="77"/>
      <c r="HMP126" s="77"/>
      <c r="HMQ126" s="77"/>
      <c r="HMR126" s="77"/>
      <c r="HMS126" s="77"/>
      <c r="HMT126" s="77"/>
      <c r="HMU126" s="77"/>
      <c r="HMV126" s="77"/>
      <c r="HMW126" s="77"/>
      <c r="HMX126" s="77"/>
      <c r="HMY126" s="77"/>
      <c r="HMZ126" s="77"/>
      <c r="HNA126" s="77"/>
      <c r="HNB126" s="77"/>
      <c r="HNC126" s="77"/>
      <c r="HND126" s="77"/>
      <c r="HNE126" s="77"/>
      <c r="HNF126" s="77"/>
      <c r="HNG126" s="77"/>
      <c r="HNH126" s="77"/>
      <c r="HNI126" s="77"/>
      <c r="HNJ126" s="77"/>
      <c r="HNK126" s="77"/>
      <c r="HNL126" s="77"/>
      <c r="HNM126" s="77"/>
      <c r="HNN126" s="77"/>
      <c r="HNO126" s="77"/>
      <c r="HNP126" s="77"/>
      <c r="HNQ126" s="77"/>
      <c r="HNR126" s="77"/>
      <c r="HNS126" s="77"/>
      <c r="HNT126" s="77"/>
      <c r="HNU126" s="77"/>
      <c r="HNV126" s="77"/>
      <c r="HNW126" s="77"/>
      <c r="HNX126" s="77"/>
      <c r="HNY126" s="77"/>
      <c r="HNZ126" s="77"/>
      <c r="HOA126" s="77"/>
      <c r="HOB126" s="77"/>
      <c r="HOC126" s="77"/>
      <c r="HOD126" s="77"/>
      <c r="HOE126" s="77"/>
      <c r="HOF126" s="77"/>
      <c r="HOG126" s="77"/>
      <c r="HOH126" s="77"/>
      <c r="HOI126" s="77"/>
      <c r="HOJ126" s="77"/>
      <c r="HOK126" s="77"/>
      <c r="HOL126" s="77"/>
      <c r="HOM126" s="77"/>
      <c r="HON126" s="77"/>
      <c r="HOO126" s="77"/>
      <c r="HOP126" s="77"/>
      <c r="HOQ126" s="77"/>
      <c r="HOR126" s="77"/>
      <c r="HOS126" s="77"/>
      <c r="HOT126" s="77"/>
      <c r="HOU126" s="77"/>
      <c r="HOV126" s="77"/>
      <c r="HOW126" s="77"/>
      <c r="HOX126" s="77"/>
      <c r="HOY126" s="77"/>
      <c r="HOZ126" s="77"/>
      <c r="HPA126" s="77"/>
      <c r="HPB126" s="77"/>
      <c r="HPC126" s="77"/>
      <c r="HPD126" s="77"/>
      <c r="HPE126" s="77"/>
      <c r="HPF126" s="77"/>
      <c r="HPG126" s="77"/>
      <c r="HPH126" s="77"/>
      <c r="HPI126" s="77"/>
      <c r="HPJ126" s="77"/>
      <c r="HPK126" s="77"/>
      <c r="HPL126" s="77"/>
      <c r="HPM126" s="77"/>
      <c r="HPN126" s="77"/>
      <c r="HPO126" s="77"/>
      <c r="HPP126" s="77"/>
      <c r="HPQ126" s="77"/>
      <c r="HPR126" s="77"/>
      <c r="HPS126" s="77"/>
      <c r="HPT126" s="77"/>
      <c r="HPU126" s="77"/>
      <c r="HPV126" s="77"/>
      <c r="HPW126" s="77"/>
      <c r="HPX126" s="77"/>
      <c r="HPY126" s="77"/>
      <c r="HPZ126" s="77"/>
      <c r="HQA126" s="77"/>
      <c r="HQB126" s="77"/>
      <c r="HQC126" s="77"/>
      <c r="HQD126" s="77"/>
      <c r="HQE126" s="77"/>
      <c r="HQF126" s="77"/>
      <c r="HQG126" s="77"/>
      <c r="HQH126" s="77"/>
      <c r="HQI126" s="77"/>
      <c r="HQJ126" s="77"/>
      <c r="HQK126" s="77"/>
      <c r="HQL126" s="77"/>
      <c r="HQM126" s="77"/>
      <c r="HQN126" s="77"/>
      <c r="HQO126" s="77"/>
      <c r="HQP126" s="77"/>
      <c r="HQQ126" s="77"/>
      <c r="HQR126" s="77"/>
      <c r="HQS126" s="77"/>
      <c r="HQT126" s="77"/>
      <c r="HQU126" s="77"/>
      <c r="HQV126" s="77"/>
      <c r="HQW126" s="77"/>
      <c r="HQX126" s="77"/>
      <c r="HQY126" s="77"/>
      <c r="HQZ126" s="77"/>
      <c r="HRA126" s="77"/>
      <c r="HRB126" s="77"/>
      <c r="HRC126" s="77"/>
      <c r="HRD126" s="77"/>
      <c r="HRE126" s="77"/>
      <c r="HRF126" s="77"/>
      <c r="HRG126" s="77"/>
      <c r="HRH126" s="77"/>
      <c r="HRI126" s="77"/>
      <c r="HRJ126" s="77"/>
      <c r="HRK126" s="77"/>
      <c r="HRL126" s="77"/>
      <c r="HRM126" s="77"/>
      <c r="HRN126" s="77"/>
      <c r="HRO126" s="77"/>
      <c r="HRP126" s="77"/>
      <c r="HRQ126" s="77"/>
      <c r="HRR126" s="77"/>
      <c r="HRS126" s="77"/>
      <c r="HRT126" s="77"/>
      <c r="HRU126" s="77"/>
      <c r="HRV126" s="77"/>
      <c r="HRW126" s="77"/>
      <c r="HRX126" s="77"/>
      <c r="HRY126" s="77"/>
      <c r="HRZ126" s="77"/>
      <c r="HSA126" s="77"/>
      <c r="HSB126" s="77"/>
      <c r="HSC126" s="77"/>
      <c r="HSD126" s="77"/>
      <c r="HSE126" s="77"/>
      <c r="HSF126" s="77"/>
      <c r="HSG126" s="77"/>
      <c r="HSH126" s="77"/>
      <c r="HSI126" s="77"/>
      <c r="HSJ126" s="77"/>
      <c r="HSK126" s="77"/>
      <c r="HSL126" s="77"/>
      <c r="HSM126" s="77"/>
      <c r="HSN126" s="77"/>
      <c r="HSO126" s="77"/>
      <c r="HSP126" s="77"/>
      <c r="HSQ126" s="77"/>
      <c r="HSR126" s="77"/>
      <c r="HSS126" s="77"/>
      <c r="HST126" s="77"/>
      <c r="HSU126" s="77"/>
      <c r="HSV126" s="77"/>
      <c r="HSW126" s="77"/>
      <c r="HSX126" s="77"/>
      <c r="HSY126" s="77"/>
      <c r="HSZ126" s="77"/>
      <c r="HTA126" s="77"/>
      <c r="HTB126" s="77"/>
      <c r="HTC126" s="77"/>
      <c r="HTD126" s="77"/>
      <c r="HTE126" s="77"/>
      <c r="HTF126" s="77"/>
      <c r="HTG126" s="77"/>
      <c r="HTH126" s="77"/>
      <c r="HTI126" s="77"/>
      <c r="HTJ126" s="77"/>
      <c r="HTK126" s="77"/>
      <c r="HTL126" s="77"/>
      <c r="HTM126" s="77"/>
      <c r="HTN126" s="77"/>
      <c r="HTO126" s="77"/>
      <c r="HTP126" s="77"/>
      <c r="HTQ126" s="77"/>
      <c r="HTR126" s="77"/>
      <c r="HTS126" s="77"/>
      <c r="HTT126" s="77"/>
      <c r="HTU126" s="77"/>
      <c r="HTV126" s="77"/>
      <c r="HTW126" s="77"/>
      <c r="HTX126" s="77"/>
      <c r="HTY126" s="77"/>
      <c r="HTZ126" s="77"/>
      <c r="HUA126" s="77"/>
      <c r="HUB126" s="77"/>
      <c r="HUC126" s="77"/>
      <c r="HUD126" s="77"/>
      <c r="HUE126" s="77"/>
      <c r="HUF126" s="77"/>
      <c r="HUG126" s="77"/>
      <c r="HUH126" s="77"/>
      <c r="HUI126" s="77"/>
      <c r="HUJ126" s="77"/>
      <c r="HUK126" s="77"/>
      <c r="HUL126" s="77"/>
      <c r="HUM126" s="77"/>
      <c r="HUN126" s="77"/>
      <c r="HUO126" s="77"/>
      <c r="HUP126" s="77"/>
      <c r="HUQ126" s="77"/>
      <c r="HUR126" s="77"/>
      <c r="HUS126" s="77"/>
      <c r="HUT126" s="77"/>
      <c r="HUU126" s="77"/>
      <c r="HUV126" s="77"/>
      <c r="HUW126" s="77"/>
      <c r="HUX126" s="77"/>
      <c r="HUY126" s="77"/>
      <c r="HUZ126" s="77"/>
      <c r="HVA126" s="77"/>
      <c r="HVB126" s="77"/>
      <c r="HVC126" s="77"/>
      <c r="HVD126" s="77"/>
      <c r="HVE126" s="77"/>
      <c r="HVF126" s="77"/>
      <c r="HVG126" s="77"/>
      <c r="HVH126" s="77"/>
      <c r="HVI126" s="77"/>
      <c r="HVJ126" s="77"/>
      <c r="HVK126" s="77"/>
      <c r="HVL126" s="77"/>
      <c r="HVM126" s="77"/>
      <c r="HVN126" s="77"/>
      <c r="HVO126" s="77"/>
      <c r="HVP126" s="77"/>
      <c r="HVQ126" s="77"/>
      <c r="HVR126" s="77"/>
      <c r="HVS126" s="77"/>
      <c r="HVT126" s="77"/>
      <c r="HVU126" s="77"/>
      <c r="HVV126" s="77"/>
      <c r="HVW126" s="77"/>
      <c r="HVX126" s="77"/>
      <c r="HVY126" s="77"/>
      <c r="HVZ126" s="77"/>
      <c r="HWA126" s="77"/>
      <c r="HWB126" s="77"/>
      <c r="HWC126" s="77"/>
      <c r="HWD126" s="77"/>
      <c r="HWE126" s="77"/>
      <c r="HWF126" s="77"/>
      <c r="HWG126" s="77"/>
      <c r="HWH126" s="77"/>
      <c r="HWI126" s="77"/>
      <c r="HWJ126" s="77"/>
      <c r="HWK126" s="77"/>
      <c r="HWL126" s="77"/>
      <c r="HWM126" s="77"/>
      <c r="HWN126" s="77"/>
      <c r="HWO126" s="77"/>
      <c r="HWP126" s="77"/>
      <c r="HWQ126" s="77"/>
      <c r="HWR126" s="77"/>
      <c r="HWS126" s="77"/>
      <c r="HWT126" s="77"/>
      <c r="HWU126" s="77"/>
      <c r="HWV126" s="77"/>
      <c r="HWW126" s="77"/>
      <c r="HWX126" s="77"/>
      <c r="HWY126" s="77"/>
      <c r="HWZ126" s="77"/>
      <c r="HXA126" s="77"/>
      <c r="HXB126" s="77"/>
      <c r="HXC126" s="77"/>
      <c r="HXD126" s="77"/>
      <c r="HXE126" s="77"/>
      <c r="HXF126" s="77"/>
      <c r="HXG126" s="77"/>
      <c r="HXH126" s="77"/>
      <c r="HXI126" s="77"/>
      <c r="HXJ126" s="77"/>
      <c r="HXK126" s="77"/>
      <c r="HXL126" s="77"/>
      <c r="HXM126" s="77"/>
      <c r="HXN126" s="77"/>
      <c r="HXO126" s="77"/>
      <c r="HXP126" s="77"/>
      <c r="HXQ126" s="77"/>
      <c r="HXR126" s="77"/>
      <c r="HXS126" s="77"/>
      <c r="HXT126" s="77"/>
      <c r="HXU126" s="77"/>
      <c r="HXV126" s="77"/>
      <c r="HXW126" s="77"/>
      <c r="HXX126" s="77"/>
      <c r="HXY126" s="77"/>
      <c r="HXZ126" s="77"/>
      <c r="HYA126" s="77"/>
      <c r="HYB126" s="77"/>
      <c r="HYC126" s="77"/>
      <c r="HYD126" s="77"/>
      <c r="HYE126" s="77"/>
      <c r="HYF126" s="77"/>
      <c r="HYG126" s="77"/>
      <c r="HYH126" s="77"/>
      <c r="HYI126" s="77"/>
      <c r="HYJ126" s="77"/>
      <c r="HYK126" s="77"/>
      <c r="HYL126" s="77"/>
      <c r="HYM126" s="77"/>
      <c r="HYN126" s="77"/>
      <c r="HYO126" s="77"/>
      <c r="HYP126" s="77"/>
      <c r="HYQ126" s="77"/>
      <c r="HYR126" s="77"/>
      <c r="HYS126" s="77"/>
      <c r="HYT126" s="77"/>
      <c r="HYU126" s="77"/>
      <c r="HYV126" s="77"/>
      <c r="HYW126" s="77"/>
      <c r="HYX126" s="77"/>
      <c r="HYY126" s="77"/>
      <c r="HYZ126" s="77"/>
      <c r="HZA126" s="77"/>
      <c r="HZB126" s="77"/>
      <c r="HZC126" s="77"/>
      <c r="HZD126" s="77"/>
      <c r="HZE126" s="77"/>
      <c r="HZF126" s="77"/>
      <c r="HZG126" s="77"/>
      <c r="HZH126" s="77"/>
      <c r="HZI126" s="77"/>
      <c r="HZJ126" s="77"/>
      <c r="HZK126" s="77"/>
      <c r="HZL126" s="77"/>
      <c r="HZM126" s="77"/>
      <c r="HZN126" s="77"/>
      <c r="HZO126" s="77"/>
      <c r="HZP126" s="77"/>
      <c r="HZQ126" s="77"/>
      <c r="HZR126" s="77"/>
      <c r="HZS126" s="77"/>
      <c r="HZT126" s="77"/>
      <c r="HZU126" s="77"/>
      <c r="HZV126" s="77"/>
      <c r="HZW126" s="77"/>
      <c r="HZX126" s="77"/>
      <c r="HZY126" s="77"/>
      <c r="HZZ126" s="77"/>
      <c r="IAA126" s="77"/>
      <c r="IAB126" s="77"/>
      <c r="IAC126" s="77"/>
      <c r="IAD126" s="77"/>
      <c r="IAE126" s="77"/>
      <c r="IAF126" s="77"/>
      <c r="IAG126" s="77"/>
      <c r="IAH126" s="77"/>
      <c r="IAI126" s="77"/>
      <c r="IAJ126" s="77"/>
      <c r="IAK126" s="77"/>
      <c r="IAL126" s="77"/>
      <c r="IAM126" s="77"/>
      <c r="IAN126" s="77"/>
      <c r="IAO126" s="77"/>
      <c r="IAP126" s="77"/>
      <c r="IAQ126" s="77"/>
      <c r="IAR126" s="77"/>
      <c r="IAS126" s="77"/>
      <c r="IAT126" s="77"/>
      <c r="IAU126" s="77"/>
      <c r="IAV126" s="77"/>
      <c r="IAW126" s="77"/>
      <c r="IAX126" s="77"/>
      <c r="IAY126" s="77"/>
      <c r="IAZ126" s="77"/>
      <c r="IBA126" s="77"/>
      <c r="IBB126" s="77"/>
      <c r="IBC126" s="77"/>
      <c r="IBD126" s="77"/>
      <c r="IBE126" s="77"/>
      <c r="IBF126" s="77"/>
      <c r="IBG126" s="77"/>
      <c r="IBH126" s="77"/>
      <c r="IBI126" s="77"/>
      <c r="IBJ126" s="77"/>
      <c r="IBK126" s="77"/>
      <c r="IBL126" s="77"/>
      <c r="IBM126" s="77"/>
      <c r="IBN126" s="77"/>
      <c r="IBO126" s="77"/>
      <c r="IBP126" s="77"/>
      <c r="IBQ126" s="77"/>
      <c r="IBR126" s="77"/>
      <c r="IBS126" s="77"/>
      <c r="IBT126" s="77"/>
      <c r="IBU126" s="77"/>
      <c r="IBV126" s="77"/>
      <c r="IBW126" s="77"/>
      <c r="IBX126" s="77"/>
      <c r="IBY126" s="77"/>
      <c r="IBZ126" s="77"/>
      <c r="ICA126" s="77"/>
      <c r="ICB126" s="77"/>
      <c r="ICC126" s="77"/>
      <c r="ICD126" s="77"/>
      <c r="ICE126" s="77"/>
      <c r="ICF126" s="77"/>
      <c r="ICG126" s="77"/>
      <c r="ICH126" s="77"/>
      <c r="ICI126" s="77"/>
      <c r="ICJ126" s="77"/>
      <c r="ICK126" s="77"/>
      <c r="ICL126" s="77"/>
      <c r="ICM126" s="77"/>
      <c r="ICN126" s="77"/>
      <c r="ICO126" s="77"/>
      <c r="ICP126" s="77"/>
      <c r="ICQ126" s="77"/>
      <c r="ICR126" s="77"/>
      <c r="ICS126" s="77"/>
      <c r="ICT126" s="77"/>
      <c r="ICU126" s="77"/>
      <c r="ICV126" s="77"/>
      <c r="ICW126" s="77"/>
      <c r="ICX126" s="77"/>
      <c r="ICY126" s="77"/>
      <c r="ICZ126" s="77"/>
      <c r="IDA126" s="77"/>
      <c r="IDB126" s="77"/>
      <c r="IDC126" s="77"/>
      <c r="IDD126" s="77"/>
      <c r="IDE126" s="77"/>
      <c r="IDF126" s="77"/>
      <c r="IDG126" s="77"/>
      <c r="IDH126" s="77"/>
      <c r="IDI126" s="77"/>
      <c r="IDJ126" s="77"/>
      <c r="IDK126" s="77"/>
      <c r="IDL126" s="77"/>
      <c r="IDM126" s="77"/>
      <c r="IDN126" s="77"/>
      <c r="IDO126" s="77"/>
      <c r="IDP126" s="77"/>
      <c r="IDQ126" s="77"/>
      <c r="IDR126" s="77"/>
      <c r="IDS126" s="77"/>
      <c r="IDT126" s="77"/>
      <c r="IDU126" s="77"/>
      <c r="IDV126" s="77"/>
      <c r="IDW126" s="77"/>
      <c r="IDX126" s="77"/>
      <c r="IDY126" s="77"/>
      <c r="IDZ126" s="77"/>
      <c r="IEA126" s="77"/>
      <c r="IEB126" s="77"/>
      <c r="IEC126" s="77"/>
      <c r="IED126" s="77"/>
      <c r="IEE126" s="77"/>
      <c r="IEF126" s="77"/>
      <c r="IEG126" s="77"/>
      <c r="IEH126" s="77"/>
      <c r="IEI126" s="77"/>
      <c r="IEJ126" s="77"/>
      <c r="IEK126" s="77"/>
      <c r="IEL126" s="77"/>
      <c r="IEM126" s="77"/>
      <c r="IEN126" s="77"/>
      <c r="IEO126" s="77"/>
      <c r="IEP126" s="77"/>
      <c r="IEQ126" s="77"/>
      <c r="IER126" s="77"/>
      <c r="IES126" s="77"/>
      <c r="IET126" s="77"/>
      <c r="IEU126" s="77"/>
      <c r="IEV126" s="77"/>
      <c r="IEW126" s="77"/>
      <c r="IEX126" s="77"/>
      <c r="IEY126" s="77"/>
      <c r="IEZ126" s="77"/>
      <c r="IFA126" s="77"/>
      <c r="IFB126" s="77"/>
      <c r="IFC126" s="77"/>
      <c r="IFD126" s="77"/>
      <c r="IFE126" s="77"/>
      <c r="IFF126" s="77"/>
      <c r="IFG126" s="77"/>
      <c r="IFH126" s="77"/>
      <c r="IFI126" s="77"/>
      <c r="IFJ126" s="77"/>
      <c r="IFK126" s="77"/>
      <c r="IFL126" s="77"/>
      <c r="IFM126" s="77"/>
      <c r="IFN126" s="77"/>
      <c r="IFO126" s="77"/>
      <c r="IFP126" s="77"/>
      <c r="IFQ126" s="77"/>
      <c r="IFR126" s="77"/>
      <c r="IFS126" s="77"/>
      <c r="IFT126" s="77"/>
      <c r="IFU126" s="77"/>
      <c r="IFV126" s="77"/>
      <c r="IFW126" s="77"/>
      <c r="IFX126" s="77"/>
      <c r="IFY126" s="77"/>
      <c r="IFZ126" s="77"/>
      <c r="IGA126" s="77"/>
      <c r="IGB126" s="77"/>
      <c r="IGC126" s="77"/>
      <c r="IGD126" s="77"/>
      <c r="IGE126" s="77"/>
      <c r="IGF126" s="77"/>
      <c r="IGG126" s="77"/>
      <c r="IGH126" s="77"/>
      <c r="IGI126" s="77"/>
      <c r="IGJ126" s="77"/>
      <c r="IGK126" s="77"/>
      <c r="IGL126" s="77"/>
      <c r="IGM126" s="77"/>
      <c r="IGN126" s="77"/>
      <c r="IGO126" s="77"/>
      <c r="IGP126" s="77"/>
      <c r="IGQ126" s="77"/>
      <c r="IGR126" s="77"/>
      <c r="IGS126" s="77"/>
      <c r="IGT126" s="77"/>
      <c r="IGU126" s="77"/>
      <c r="IGV126" s="77"/>
      <c r="IGW126" s="77"/>
      <c r="IGX126" s="77"/>
      <c r="IGY126" s="77"/>
      <c r="IGZ126" s="77"/>
      <c r="IHA126" s="77"/>
      <c r="IHB126" s="77"/>
      <c r="IHC126" s="77"/>
      <c r="IHD126" s="77"/>
      <c r="IHE126" s="77"/>
      <c r="IHF126" s="77"/>
      <c r="IHG126" s="77"/>
      <c r="IHH126" s="77"/>
      <c r="IHI126" s="77"/>
      <c r="IHJ126" s="77"/>
      <c r="IHK126" s="77"/>
      <c r="IHL126" s="77"/>
      <c r="IHM126" s="77"/>
      <c r="IHN126" s="77"/>
      <c r="IHO126" s="77"/>
      <c r="IHP126" s="77"/>
      <c r="IHQ126" s="77"/>
      <c r="IHR126" s="77"/>
      <c r="IHS126" s="77"/>
      <c r="IHT126" s="77"/>
      <c r="IHU126" s="77"/>
      <c r="IHV126" s="77"/>
      <c r="IHW126" s="77"/>
      <c r="IHX126" s="77"/>
      <c r="IHY126" s="77"/>
      <c r="IHZ126" s="77"/>
      <c r="IIA126" s="77"/>
      <c r="IIB126" s="77"/>
      <c r="IIC126" s="77"/>
      <c r="IID126" s="77"/>
      <c r="IIE126" s="77"/>
      <c r="IIF126" s="77"/>
      <c r="IIG126" s="77"/>
      <c r="IIH126" s="77"/>
      <c r="III126" s="77"/>
      <c r="IIJ126" s="77"/>
      <c r="IIK126" s="77"/>
      <c r="IIL126" s="77"/>
      <c r="IIM126" s="77"/>
      <c r="IIN126" s="77"/>
      <c r="IIO126" s="77"/>
      <c r="IIP126" s="77"/>
      <c r="IIQ126" s="77"/>
      <c r="IIR126" s="77"/>
      <c r="IIS126" s="77"/>
      <c r="IIT126" s="77"/>
      <c r="IIU126" s="77"/>
      <c r="IIV126" s="77"/>
      <c r="IIW126" s="77"/>
      <c r="IIX126" s="77"/>
      <c r="IIY126" s="77"/>
      <c r="IIZ126" s="77"/>
      <c r="IJA126" s="77"/>
      <c r="IJB126" s="77"/>
      <c r="IJC126" s="77"/>
      <c r="IJD126" s="77"/>
      <c r="IJE126" s="77"/>
      <c r="IJF126" s="77"/>
      <c r="IJG126" s="77"/>
      <c r="IJH126" s="77"/>
      <c r="IJI126" s="77"/>
      <c r="IJJ126" s="77"/>
      <c r="IJK126" s="77"/>
      <c r="IJL126" s="77"/>
      <c r="IJM126" s="77"/>
      <c r="IJN126" s="77"/>
      <c r="IJO126" s="77"/>
      <c r="IJP126" s="77"/>
      <c r="IJQ126" s="77"/>
      <c r="IJR126" s="77"/>
      <c r="IJS126" s="77"/>
      <c r="IJT126" s="77"/>
      <c r="IJU126" s="77"/>
      <c r="IJV126" s="77"/>
      <c r="IJW126" s="77"/>
      <c r="IJX126" s="77"/>
      <c r="IJY126" s="77"/>
      <c r="IJZ126" s="77"/>
      <c r="IKA126" s="77"/>
      <c r="IKB126" s="77"/>
      <c r="IKC126" s="77"/>
      <c r="IKD126" s="77"/>
      <c r="IKE126" s="77"/>
      <c r="IKF126" s="77"/>
      <c r="IKG126" s="77"/>
      <c r="IKH126" s="77"/>
      <c r="IKI126" s="77"/>
      <c r="IKJ126" s="77"/>
      <c r="IKK126" s="77"/>
      <c r="IKL126" s="77"/>
      <c r="IKM126" s="77"/>
      <c r="IKN126" s="77"/>
      <c r="IKO126" s="77"/>
      <c r="IKP126" s="77"/>
      <c r="IKQ126" s="77"/>
      <c r="IKR126" s="77"/>
      <c r="IKS126" s="77"/>
      <c r="IKT126" s="77"/>
      <c r="IKU126" s="77"/>
      <c r="IKV126" s="77"/>
      <c r="IKW126" s="77"/>
      <c r="IKX126" s="77"/>
      <c r="IKY126" s="77"/>
      <c r="IKZ126" s="77"/>
      <c r="ILA126" s="77"/>
      <c r="ILB126" s="77"/>
      <c r="ILC126" s="77"/>
      <c r="ILD126" s="77"/>
      <c r="ILE126" s="77"/>
      <c r="ILF126" s="77"/>
      <c r="ILG126" s="77"/>
      <c r="ILH126" s="77"/>
      <c r="ILI126" s="77"/>
      <c r="ILJ126" s="77"/>
      <c r="ILK126" s="77"/>
      <c r="ILL126" s="77"/>
      <c r="ILM126" s="77"/>
      <c r="ILN126" s="77"/>
      <c r="ILO126" s="77"/>
      <c r="ILP126" s="77"/>
      <c r="ILQ126" s="77"/>
      <c r="ILR126" s="77"/>
      <c r="ILS126" s="77"/>
      <c r="ILT126" s="77"/>
      <c r="ILU126" s="77"/>
      <c r="ILV126" s="77"/>
      <c r="ILW126" s="77"/>
      <c r="ILX126" s="77"/>
      <c r="ILY126" s="77"/>
      <c r="ILZ126" s="77"/>
      <c r="IMA126" s="77"/>
      <c r="IMB126" s="77"/>
      <c r="IMC126" s="77"/>
      <c r="IMD126" s="77"/>
      <c r="IME126" s="77"/>
      <c r="IMF126" s="77"/>
      <c r="IMG126" s="77"/>
      <c r="IMH126" s="77"/>
      <c r="IMI126" s="77"/>
      <c r="IMJ126" s="77"/>
      <c r="IMK126" s="77"/>
      <c r="IML126" s="77"/>
      <c r="IMM126" s="77"/>
      <c r="IMN126" s="77"/>
      <c r="IMO126" s="77"/>
      <c r="IMP126" s="77"/>
      <c r="IMQ126" s="77"/>
      <c r="IMR126" s="77"/>
      <c r="IMS126" s="77"/>
      <c r="IMT126" s="77"/>
      <c r="IMU126" s="77"/>
      <c r="IMV126" s="77"/>
      <c r="IMW126" s="77"/>
      <c r="IMX126" s="77"/>
      <c r="IMY126" s="77"/>
      <c r="IMZ126" s="77"/>
      <c r="INA126" s="77"/>
      <c r="INB126" s="77"/>
      <c r="INC126" s="77"/>
      <c r="IND126" s="77"/>
      <c r="INE126" s="77"/>
      <c r="INF126" s="77"/>
      <c r="ING126" s="77"/>
      <c r="INH126" s="77"/>
      <c r="INI126" s="77"/>
      <c r="INJ126" s="77"/>
      <c r="INK126" s="77"/>
      <c r="INL126" s="77"/>
      <c r="INM126" s="77"/>
      <c r="INN126" s="77"/>
      <c r="INO126" s="77"/>
      <c r="INP126" s="77"/>
      <c r="INQ126" s="77"/>
      <c r="INR126" s="77"/>
      <c r="INS126" s="77"/>
      <c r="INT126" s="77"/>
      <c r="INU126" s="77"/>
      <c r="INV126" s="77"/>
      <c r="INW126" s="77"/>
      <c r="INX126" s="77"/>
      <c r="INY126" s="77"/>
      <c r="INZ126" s="77"/>
      <c r="IOA126" s="77"/>
      <c r="IOB126" s="77"/>
      <c r="IOC126" s="77"/>
      <c r="IOD126" s="77"/>
      <c r="IOE126" s="77"/>
      <c r="IOF126" s="77"/>
      <c r="IOG126" s="77"/>
      <c r="IOH126" s="77"/>
      <c r="IOI126" s="77"/>
      <c r="IOJ126" s="77"/>
      <c r="IOK126" s="77"/>
      <c r="IOL126" s="77"/>
      <c r="IOM126" s="77"/>
      <c r="ION126" s="77"/>
      <c r="IOO126" s="77"/>
      <c r="IOP126" s="77"/>
      <c r="IOQ126" s="77"/>
      <c r="IOR126" s="77"/>
      <c r="IOS126" s="77"/>
      <c r="IOT126" s="77"/>
      <c r="IOU126" s="77"/>
      <c r="IOV126" s="77"/>
      <c r="IOW126" s="77"/>
      <c r="IOX126" s="77"/>
      <c r="IOY126" s="77"/>
      <c r="IOZ126" s="77"/>
      <c r="IPA126" s="77"/>
      <c r="IPB126" s="77"/>
      <c r="IPC126" s="77"/>
      <c r="IPD126" s="77"/>
      <c r="IPE126" s="77"/>
      <c r="IPF126" s="77"/>
      <c r="IPG126" s="77"/>
      <c r="IPH126" s="77"/>
      <c r="IPI126" s="77"/>
      <c r="IPJ126" s="77"/>
      <c r="IPK126" s="77"/>
      <c r="IPL126" s="77"/>
      <c r="IPM126" s="77"/>
      <c r="IPN126" s="77"/>
      <c r="IPO126" s="77"/>
      <c r="IPP126" s="77"/>
      <c r="IPQ126" s="77"/>
      <c r="IPR126" s="77"/>
      <c r="IPS126" s="77"/>
      <c r="IPT126" s="77"/>
      <c r="IPU126" s="77"/>
      <c r="IPV126" s="77"/>
      <c r="IPW126" s="77"/>
      <c r="IPX126" s="77"/>
      <c r="IPY126" s="77"/>
      <c r="IPZ126" s="77"/>
      <c r="IQA126" s="77"/>
      <c r="IQB126" s="77"/>
      <c r="IQC126" s="77"/>
      <c r="IQD126" s="77"/>
      <c r="IQE126" s="77"/>
      <c r="IQF126" s="77"/>
      <c r="IQG126" s="77"/>
      <c r="IQH126" s="77"/>
      <c r="IQI126" s="77"/>
      <c r="IQJ126" s="77"/>
      <c r="IQK126" s="77"/>
      <c r="IQL126" s="77"/>
      <c r="IQM126" s="77"/>
      <c r="IQN126" s="77"/>
      <c r="IQO126" s="77"/>
      <c r="IQP126" s="77"/>
      <c r="IQQ126" s="77"/>
      <c r="IQR126" s="77"/>
      <c r="IQS126" s="77"/>
      <c r="IQT126" s="77"/>
      <c r="IQU126" s="77"/>
      <c r="IQV126" s="77"/>
      <c r="IQW126" s="77"/>
      <c r="IQX126" s="77"/>
      <c r="IQY126" s="77"/>
      <c r="IQZ126" s="77"/>
      <c r="IRA126" s="77"/>
      <c r="IRB126" s="77"/>
      <c r="IRC126" s="77"/>
      <c r="IRD126" s="77"/>
      <c r="IRE126" s="77"/>
      <c r="IRF126" s="77"/>
      <c r="IRG126" s="77"/>
      <c r="IRH126" s="77"/>
      <c r="IRI126" s="77"/>
      <c r="IRJ126" s="77"/>
      <c r="IRK126" s="77"/>
      <c r="IRL126" s="77"/>
      <c r="IRM126" s="77"/>
      <c r="IRN126" s="77"/>
      <c r="IRO126" s="77"/>
      <c r="IRP126" s="77"/>
      <c r="IRQ126" s="77"/>
      <c r="IRR126" s="77"/>
      <c r="IRS126" s="77"/>
      <c r="IRT126" s="77"/>
      <c r="IRU126" s="77"/>
      <c r="IRV126" s="77"/>
      <c r="IRW126" s="77"/>
      <c r="IRX126" s="77"/>
      <c r="IRY126" s="77"/>
      <c r="IRZ126" s="77"/>
      <c r="ISA126" s="77"/>
      <c r="ISB126" s="77"/>
      <c r="ISC126" s="77"/>
      <c r="ISD126" s="77"/>
      <c r="ISE126" s="77"/>
      <c r="ISF126" s="77"/>
      <c r="ISG126" s="77"/>
      <c r="ISH126" s="77"/>
      <c r="ISI126" s="77"/>
      <c r="ISJ126" s="77"/>
      <c r="ISK126" s="77"/>
      <c r="ISL126" s="77"/>
      <c r="ISM126" s="77"/>
      <c r="ISN126" s="77"/>
      <c r="ISO126" s="77"/>
      <c r="ISP126" s="77"/>
      <c r="ISQ126" s="77"/>
      <c r="ISR126" s="77"/>
      <c r="ISS126" s="77"/>
      <c r="IST126" s="77"/>
      <c r="ISU126" s="77"/>
      <c r="ISV126" s="77"/>
      <c r="ISW126" s="77"/>
      <c r="ISX126" s="77"/>
      <c r="ISY126" s="77"/>
      <c r="ISZ126" s="77"/>
      <c r="ITA126" s="77"/>
      <c r="ITB126" s="77"/>
      <c r="ITC126" s="77"/>
      <c r="ITD126" s="77"/>
      <c r="ITE126" s="77"/>
      <c r="ITF126" s="77"/>
      <c r="ITG126" s="77"/>
      <c r="ITH126" s="77"/>
      <c r="ITI126" s="77"/>
      <c r="ITJ126" s="77"/>
      <c r="ITK126" s="77"/>
      <c r="ITL126" s="77"/>
      <c r="ITM126" s="77"/>
      <c r="ITN126" s="77"/>
      <c r="ITO126" s="77"/>
      <c r="ITP126" s="77"/>
      <c r="ITQ126" s="77"/>
      <c r="ITR126" s="77"/>
      <c r="ITS126" s="77"/>
      <c r="ITT126" s="77"/>
      <c r="ITU126" s="77"/>
      <c r="ITV126" s="77"/>
      <c r="ITW126" s="77"/>
      <c r="ITX126" s="77"/>
      <c r="ITY126" s="77"/>
      <c r="ITZ126" s="77"/>
      <c r="IUA126" s="77"/>
      <c r="IUB126" s="77"/>
      <c r="IUC126" s="77"/>
      <c r="IUD126" s="77"/>
      <c r="IUE126" s="77"/>
      <c r="IUF126" s="77"/>
      <c r="IUG126" s="77"/>
      <c r="IUH126" s="77"/>
      <c r="IUI126" s="77"/>
      <c r="IUJ126" s="77"/>
      <c r="IUK126" s="77"/>
      <c r="IUL126" s="77"/>
      <c r="IUM126" s="77"/>
      <c r="IUN126" s="77"/>
      <c r="IUO126" s="77"/>
      <c r="IUP126" s="77"/>
      <c r="IUQ126" s="77"/>
      <c r="IUR126" s="77"/>
      <c r="IUS126" s="77"/>
      <c r="IUT126" s="77"/>
      <c r="IUU126" s="77"/>
      <c r="IUV126" s="77"/>
      <c r="IUW126" s="77"/>
      <c r="IUX126" s="77"/>
      <c r="IUY126" s="77"/>
      <c r="IUZ126" s="77"/>
      <c r="IVA126" s="77"/>
      <c r="IVB126" s="77"/>
      <c r="IVC126" s="77"/>
      <c r="IVD126" s="77"/>
      <c r="IVE126" s="77"/>
      <c r="IVF126" s="77"/>
      <c r="IVG126" s="77"/>
      <c r="IVH126" s="77"/>
      <c r="IVI126" s="77"/>
      <c r="IVJ126" s="77"/>
      <c r="IVK126" s="77"/>
      <c r="IVL126" s="77"/>
      <c r="IVM126" s="77"/>
      <c r="IVN126" s="77"/>
      <c r="IVO126" s="77"/>
      <c r="IVP126" s="77"/>
      <c r="IVQ126" s="77"/>
      <c r="IVR126" s="77"/>
      <c r="IVS126" s="77"/>
      <c r="IVT126" s="77"/>
      <c r="IVU126" s="77"/>
      <c r="IVV126" s="77"/>
      <c r="IVW126" s="77"/>
      <c r="IVX126" s="77"/>
      <c r="IVY126" s="77"/>
      <c r="IVZ126" s="77"/>
      <c r="IWA126" s="77"/>
      <c r="IWB126" s="77"/>
      <c r="IWC126" s="77"/>
      <c r="IWD126" s="77"/>
      <c r="IWE126" s="77"/>
      <c r="IWF126" s="77"/>
      <c r="IWG126" s="77"/>
      <c r="IWH126" s="77"/>
      <c r="IWI126" s="77"/>
      <c r="IWJ126" s="77"/>
      <c r="IWK126" s="77"/>
      <c r="IWL126" s="77"/>
      <c r="IWM126" s="77"/>
      <c r="IWN126" s="77"/>
      <c r="IWO126" s="77"/>
      <c r="IWP126" s="77"/>
      <c r="IWQ126" s="77"/>
      <c r="IWR126" s="77"/>
      <c r="IWS126" s="77"/>
      <c r="IWT126" s="77"/>
      <c r="IWU126" s="77"/>
      <c r="IWV126" s="77"/>
      <c r="IWW126" s="77"/>
      <c r="IWX126" s="77"/>
      <c r="IWY126" s="77"/>
      <c r="IWZ126" s="77"/>
      <c r="IXA126" s="77"/>
      <c r="IXB126" s="77"/>
      <c r="IXC126" s="77"/>
      <c r="IXD126" s="77"/>
      <c r="IXE126" s="77"/>
      <c r="IXF126" s="77"/>
      <c r="IXG126" s="77"/>
      <c r="IXH126" s="77"/>
      <c r="IXI126" s="77"/>
      <c r="IXJ126" s="77"/>
      <c r="IXK126" s="77"/>
      <c r="IXL126" s="77"/>
      <c r="IXM126" s="77"/>
      <c r="IXN126" s="77"/>
      <c r="IXO126" s="77"/>
      <c r="IXP126" s="77"/>
      <c r="IXQ126" s="77"/>
      <c r="IXR126" s="77"/>
      <c r="IXS126" s="77"/>
      <c r="IXT126" s="77"/>
      <c r="IXU126" s="77"/>
      <c r="IXV126" s="77"/>
      <c r="IXW126" s="77"/>
      <c r="IXX126" s="77"/>
      <c r="IXY126" s="77"/>
      <c r="IXZ126" s="77"/>
      <c r="IYA126" s="77"/>
      <c r="IYB126" s="77"/>
      <c r="IYC126" s="77"/>
      <c r="IYD126" s="77"/>
      <c r="IYE126" s="77"/>
      <c r="IYF126" s="77"/>
      <c r="IYG126" s="77"/>
      <c r="IYH126" s="77"/>
      <c r="IYI126" s="77"/>
      <c r="IYJ126" s="77"/>
      <c r="IYK126" s="77"/>
      <c r="IYL126" s="77"/>
      <c r="IYM126" s="77"/>
      <c r="IYN126" s="77"/>
      <c r="IYO126" s="77"/>
      <c r="IYP126" s="77"/>
      <c r="IYQ126" s="77"/>
      <c r="IYR126" s="77"/>
      <c r="IYS126" s="77"/>
      <c r="IYT126" s="77"/>
      <c r="IYU126" s="77"/>
      <c r="IYV126" s="77"/>
      <c r="IYW126" s="77"/>
      <c r="IYX126" s="77"/>
      <c r="IYY126" s="77"/>
      <c r="IYZ126" s="77"/>
      <c r="IZA126" s="77"/>
      <c r="IZB126" s="77"/>
      <c r="IZC126" s="77"/>
      <c r="IZD126" s="77"/>
      <c r="IZE126" s="77"/>
      <c r="IZF126" s="77"/>
      <c r="IZG126" s="77"/>
      <c r="IZH126" s="77"/>
      <c r="IZI126" s="77"/>
      <c r="IZJ126" s="77"/>
      <c r="IZK126" s="77"/>
      <c r="IZL126" s="77"/>
      <c r="IZM126" s="77"/>
      <c r="IZN126" s="77"/>
      <c r="IZO126" s="77"/>
      <c r="IZP126" s="77"/>
      <c r="IZQ126" s="77"/>
      <c r="IZR126" s="77"/>
      <c r="IZS126" s="77"/>
      <c r="IZT126" s="77"/>
      <c r="IZU126" s="77"/>
      <c r="IZV126" s="77"/>
      <c r="IZW126" s="77"/>
      <c r="IZX126" s="77"/>
      <c r="IZY126" s="77"/>
      <c r="IZZ126" s="77"/>
      <c r="JAA126" s="77"/>
      <c r="JAB126" s="77"/>
      <c r="JAC126" s="77"/>
      <c r="JAD126" s="77"/>
      <c r="JAE126" s="77"/>
      <c r="JAF126" s="77"/>
      <c r="JAG126" s="77"/>
      <c r="JAH126" s="77"/>
      <c r="JAI126" s="77"/>
      <c r="JAJ126" s="77"/>
      <c r="JAK126" s="77"/>
      <c r="JAL126" s="77"/>
      <c r="JAM126" s="77"/>
      <c r="JAN126" s="77"/>
      <c r="JAO126" s="77"/>
      <c r="JAP126" s="77"/>
      <c r="JAQ126" s="77"/>
      <c r="JAR126" s="77"/>
      <c r="JAS126" s="77"/>
      <c r="JAT126" s="77"/>
      <c r="JAU126" s="77"/>
      <c r="JAV126" s="77"/>
      <c r="JAW126" s="77"/>
      <c r="JAX126" s="77"/>
      <c r="JAY126" s="77"/>
      <c r="JAZ126" s="77"/>
      <c r="JBA126" s="77"/>
      <c r="JBB126" s="77"/>
      <c r="JBC126" s="77"/>
      <c r="JBD126" s="77"/>
      <c r="JBE126" s="77"/>
      <c r="JBF126" s="77"/>
      <c r="JBG126" s="77"/>
      <c r="JBH126" s="77"/>
      <c r="JBI126" s="77"/>
      <c r="JBJ126" s="77"/>
      <c r="JBK126" s="77"/>
      <c r="JBL126" s="77"/>
      <c r="JBM126" s="77"/>
      <c r="JBN126" s="77"/>
      <c r="JBO126" s="77"/>
      <c r="JBP126" s="77"/>
      <c r="JBQ126" s="77"/>
      <c r="JBR126" s="77"/>
      <c r="JBS126" s="77"/>
      <c r="JBT126" s="77"/>
      <c r="JBU126" s="77"/>
      <c r="JBV126" s="77"/>
      <c r="JBW126" s="77"/>
      <c r="JBX126" s="77"/>
      <c r="JBY126" s="77"/>
      <c r="JBZ126" s="77"/>
      <c r="JCA126" s="77"/>
      <c r="JCB126" s="77"/>
      <c r="JCC126" s="77"/>
      <c r="JCD126" s="77"/>
      <c r="JCE126" s="77"/>
      <c r="JCF126" s="77"/>
      <c r="JCG126" s="77"/>
      <c r="JCH126" s="77"/>
      <c r="JCI126" s="77"/>
      <c r="JCJ126" s="77"/>
      <c r="JCK126" s="77"/>
      <c r="JCL126" s="77"/>
      <c r="JCM126" s="77"/>
      <c r="JCN126" s="77"/>
      <c r="JCO126" s="77"/>
      <c r="JCP126" s="77"/>
      <c r="JCQ126" s="77"/>
      <c r="JCR126" s="77"/>
      <c r="JCS126" s="77"/>
      <c r="JCT126" s="77"/>
      <c r="JCU126" s="77"/>
      <c r="JCV126" s="77"/>
      <c r="JCW126" s="77"/>
      <c r="JCX126" s="77"/>
      <c r="JCY126" s="77"/>
      <c r="JCZ126" s="77"/>
      <c r="JDA126" s="77"/>
      <c r="JDB126" s="77"/>
      <c r="JDC126" s="77"/>
      <c r="JDD126" s="77"/>
      <c r="JDE126" s="77"/>
      <c r="JDF126" s="77"/>
      <c r="JDG126" s="77"/>
      <c r="JDH126" s="77"/>
      <c r="JDI126" s="77"/>
      <c r="JDJ126" s="77"/>
      <c r="JDK126" s="77"/>
      <c r="JDL126" s="77"/>
      <c r="JDM126" s="77"/>
      <c r="JDN126" s="77"/>
      <c r="JDO126" s="77"/>
      <c r="JDP126" s="77"/>
      <c r="JDQ126" s="77"/>
      <c r="JDR126" s="77"/>
      <c r="JDS126" s="77"/>
      <c r="JDT126" s="77"/>
      <c r="JDU126" s="77"/>
      <c r="JDV126" s="77"/>
      <c r="JDW126" s="77"/>
      <c r="JDX126" s="77"/>
      <c r="JDY126" s="77"/>
      <c r="JDZ126" s="77"/>
      <c r="JEA126" s="77"/>
      <c r="JEB126" s="77"/>
      <c r="JEC126" s="77"/>
      <c r="JED126" s="77"/>
      <c r="JEE126" s="77"/>
      <c r="JEF126" s="77"/>
      <c r="JEG126" s="77"/>
      <c r="JEH126" s="77"/>
      <c r="JEI126" s="77"/>
      <c r="JEJ126" s="77"/>
      <c r="JEK126" s="77"/>
      <c r="JEL126" s="77"/>
      <c r="JEM126" s="77"/>
      <c r="JEN126" s="77"/>
      <c r="JEO126" s="77"/>
      <c r="JEP126" s="77"/>
      <c r="JEQ126" s="77"/>
      <c r="JER126" s="77"/>
      <c r="JES126" s="77"/>
      <c r="JET126" s="77"/>
      <c r="JEU126" s="77"/>
      <c r="JEV126" s="77"/>
      <c r="JEW126" s="77"/>
      <c r="JEX126" s="77"/>
      <c r="JEY126" s="77"/>
      <c r="JEZ126" s="77"/>
      <c r="JFA126" s="77"/>
      <c r="JFB126" s="77"/>
      <c r="JFC126" s="77"/>
      <c r="JFD126" s="77"/>
      <c r="JFE126" s="77"/>
      <c r="JFF126" s="77"/>
      <c r="JFG126" s="77"/>
      <c r="JFH126" s="77"/>
      <c r="JFI126" s="77"/>
      <c r="JFJ126" s="77"/>
      <c r="JFK126" s="77"/>
      <c r="JFL126" s="77"/>
      <c r="JFM126" s="77"/>
      <c r="JFN126" s="77"/>
      <c r="JFO126" s="77"/>
      <c r="JFP126" s="77"/>
      <c r="JFQ126" s="77"/>
      <c r="JFR126" s="77"/>
      <c r="JFS126" s="77"/>
      <c r="JFT126" s="77"/>
      <c r="JFU126" s="77"/>
      <c r="JFV126" s="77"/>
      <c r="JFW126" s="77"/>
      <c r="JFX126" s="77"/>
      <c r="JFY126" s="77"/>
      <c r="JFZ126" s="77"/>
      <c r="JGA126" s="77"/>
      <c r="JGB126" s="77"/>
      <c r="JGC126" s="77"/>
      <c r="JGD126" s="77"/>
      <c r="JGE126" s="77"/>
      <c r="JGF126" s="77"/>
      <c r="JGG126" s="77"/>
      <c r="JGH126" s="77"/>
      <c r="JGI126" s="77"/>
      <c r="JGJ126" s="77"/>
      <c r="JGK126" s="77"/>
      <c r="JGL126" s="77"/>
      <c r="JGM126" s="77"/>
      <c r="JGN126" s="77"/>
      <c r="JGO126" s="77"/>
      <c r="JGP126" s="77"/>
      <c r="JGQ126" s="77"/>
      <c r="JGR126" s="77"/>
      <c r="JGS126" s="77"/>
      <c r="JGT126" s="77"/>
      <c r="JGU126" s="77"/>
      <c r="JGV126" s="77"/>
      <c r="JGW126" s="77"/>
      <c r="JGX126" s="77"/>
      <c r="JGY126" s="77"/>
      <c r="JGZ126" s="77"/>
      <c r="JHA126" s="77"/>
      <c r="JHB126" s="77"/>
      <c r="JHC126" s="77"/>
      <c r="JHD126" s="77"/>
      <c r="JHE126" s="77"/>
      <c r="JHF126" s="77"/>
      <c r="JHG126" s="77"/>
      <c r="JHH126" s="77"/>
      <c r="JHI126" s="77"/>
      <c r="JHJ126" s="77"/>
      <c r="JHK126" s="77"/>
      <c r="JHL126" s="77"/>
      <c r="JHM126" s="77"/>
      <c r="JHN126" s="77"/>
      <c r="JHO126" s="77"/>
      <c r="JHP126" s="77"/>
      <c r="JHQ126" s="77"/>
      <c r="JHR126" s="77"/>
      <c r="JHS126" s="77"/>
      <c r="JHT126" s="77"/>
      <c r="JHU126" s="77"/>
      <c r="JHV126" s="77"/>
      <c r="JHW126" s="77"/>
      <c r="JHX126" s="77"/>
      <c r="JHY126" s="77"/>
      <c r="JHZ126" s="77"/>
      <c r="JIA126" s="77"/>
      <c r="JIB126" s="77"/>
      <c r="JIC126" s="77"/>
      <c r="JID126" s="77"/>
      <c r="JIE126" s="77"/>
      <c r="JIF126" s="77"/>
      <c r="JIG126" s="77"/>
      <c r="JIH126" s="77"/>
      <c r="JII126" s="77"/>
      <c r="JIJ126" s="77"/>
      <c r="JIK126" s="77"/>
      <c r="JIL126" s="77"/>
      <c r="JIM126" s="77"/>
      <c r="JIN126" s="77"/>
      <c r="JIO126" s="77"/>
      <c r="JIP126" s="77"/>
      <c r="JIQ126" s="77"/>
      <c r="JIR126" s="77"/>
      <c r="JIS126" s="77"/>
      <c r="JIT126" s="77"/>
      <c r="JIU126" s="77"/>
      <c r="JIV126" s="77"/>
      <c r="JIW126" s="77"/>
      <c r="JIX126" s="77"/>
      <c r="JIY126" s="77"/>
      <c r="JIZ126" s="77"/>
      <c r="JJA126" s="77"/>
      <c r="JJB126" s="77"/>
      <c r="JJC126" s="77"/>
      <c r="JJD126" s="77"/>
      <c r="JJE126" s="77"/>
      <c r="JJF126" s="77"/>
      <c r="JJG126" s="77"/>
      <c r="JJH126" s="77"/>
      <c r="JJI126" s="77"/>
      <c r="JJJ126" s="77"/>
      <c r="JJK126" s="77"/>
      <c r="JJL126" s="77"/>
      <c r="JJM126" s="77"/>
      <c r="JJN126" s="77"/>
      <c r="JJO126" s="77"/>
      <c r="JJP126" s="77"/>
      <c r="JJQ126" s="77"/>
      <c r="JJR126" s="77"/>
      <c r="JJS126" s="77"/>
      <c r="JJT126" s="77"/>
      <c r="JJU126" s="77"/>
      <c r="JJV126" s="77"/>
      <c r="JJW126" s="77"/>
      <c r="JJX126" s="77"/>
      <c r="JJY126" s="77"/>
      <c r="JJZ126" s="77"/>
      <c r="JKA126" s="77"/>
      <c r="JKB126" s="77"/>
      <c r="JKC126" s="77"/>
      <c r="JKD126" s="77"/>
      <c r="JKE126" s="77"/>
      <c r="JKF126" s="77"/>
      <c r="JKG126" s="77"/>
      <c r="JKH126" s="77"/>
      <c r="JKI126" s="77"/>
      <c r="JKJ126" s="77"/>
      <c r="JKK126" s="77"/>
      <c r="JKL126" s="77"/>
      <c r="JKM126" s="77"/>
      <c r="JKN126" s="77"/>
      <c r="JKO126" s="77"/>
      <c r="JKP126" s="77"/>
      <c r="JKQ126" s="77"/>
      <c r="JKR126" s="77"/>
      <c r="JKS126" s="77"/>
      <c r="JKT126" s="77"/>
      <c r="JKU126" s="77"/>
      <c r="JKV126" s="77"/>
      <c r="JKW126" s="77"/>
      <c r="JKX126" s="77"/>
      <c r="JKY126" s="77"/>
      <c r="JKZ126" s="77"/>
      <c r="JLA126" s="77"/>
      <c r="JLB126" s="77"/>
      <c r="JLC126" s="77"/>
      <c r="JLD126" s="77"/>
      <c r="JLE126" s="77"/>
      <c r="JLF126" s="77"/>
      <c r="JLG126" s="77"/>
      <c r="JLH126" s="77"/>
      <c r="JLI126" s="77"/>
      <c r="JLJ126" s="77"/>
      <c r="JLK126" s="77"/>
      <c r="JLL126" s="77"/>
      <c r="JLM126" s="77"/>
      <c r="JLN126" s="77"/>
      <c r="JLO126" s="77"/>
      <c r="JLP126" s="77"/>
      <c r="JLQ126" s="77"/>
      <c r="JLR126" s="77"/>
      <c r="JLS126" s="77"/>
      <c r="JLT126" s="77"/>
      <c r="JLU126" s="77"/>
      <c r="JLV126" s="77"/>
      <c r="JLW126" s="77"/>
      <c r="JLX126" s="77"/>
      <c r="JLY126" s="77"/>
      <c r="JLZ126" s="77"/>
      <c r="JMA126" s="77"/>
      <c r="JMB126" s="77"/>
      <c r="JMC126" s="77"/>
      <c r="JMD126" s="77"/>
      <c r="JME126" s="77"/>
      <c r="JMF126" s="77"/>
      <c r="JMG126" s="77"/>
      <c r="JMH126" s="77"/>
      <c r="JMI126" s="77"/>
      <c r="JMJ126" s="77"/>
      <c r="JMK126" s="77"/>
      <c r="JML126" s="77"/>
      <c r="JMM126" s="77"/>
      <c r="JMN126" s="77"/>
      <c r="JMO126" s="77"/>
      <c r="JMP126" s="77"/>
      <c r="JMQ126" s="77"/>
      <c r="JMR126" s="77"/>
      <c r="JMS126" s="77"/>
      <c r="JMT126" s="77"/>
      <c r="JMU126" s="77"/>
      <c r="JMV126" s="77"/>
      <c r="JMW126" s="77"/>
      <c r="JMX126" s="77"/>
      <c r="JMY126" s="77"/>
      <c r="JMZ126" s="77"/>
      <c r="JNA126" s="77"/>
      <c r="JNB126" s="77"/>
      <c r="JNC126" s="77"/>
      <c r="JND126" s="77"/>
      <c r="JNE126" s="77"/>
      <c r="JNF126" s="77"/>
      <c r="JNG126" s="77"/>
      <c r="JNH126" s="77"/>
      <c r="JNI126" s="77"/>
      <c r="JNJ126" s="77"/>
      <c r="JNK126" s="77"/>
      <c r="JNL126" s="77"/>
      <c r="JNM126" s="77"/>
      <c r="JNN126" s="77"/>
      <c r="JNO126" s="77"/>
      <c r="JNP126" s="77"/>
      <c r="JNQ126" s="77"/>
      <c r="JNR126" s="77"/>
      <c r="JNS126" s="77"/>
      <c r="JNT126" s="77"/>
      <c r="JNU126" s="77"/>
      <c r="JNV126" s="77"/>
      <c r="JNW126" s="77"/>
      <c r="JNX126" s="77"/>
      <c r="JNY126" s="77"/>
      <c r="JNZ126" s="77"/>
      <c r="JOA126" s="77"/>
      <c r="JOB126" s="77"/>
      <c r="JOC126" s="77"/>
      <c r="JOD126" s="77"/>
      <c r="JOE126" s="77"/>
      <c r="JOF126" s="77"/>
      <c r="JOG126" s="77"/>
      <c r="JOH126" s="77"/>
      <c r="JOI126" s="77"/>
      <c r="JOJ126" s="77"/>
      <c r="JOK126" s="77"/>
      <c r="JOL126" s="77"/>
      <c r="JOM126" s="77"/>
      <c r="JON126" s="77"/>
      <c r="JOO126" s="77"/>
      <c r="JOP126" s="77"/>
      <c r="JOQ126" s="77"/>
      <c r="JOR126" s="77"/>
      <c r="JOS126" s="77"/>
      <c r="JOT126" s="77"/>
      <c r="JOU126" s="77"/>
      <c r="JOV126" s="77"/>
      <c r="JOW126" s="77"/>
      <c r="JOX126" s="77"/>
      <c r="JOY126" s="77"/>
      <c r="JOZ126" s="77"/>
      <c r="JPA126" s="77"/>
      <c r="JPB126" s="77"/>
      <c r="JPC126" s="77"/>
      <c r="JPD126" s="77"/>
      <c r="JPE126" s="77"/>
      <c r="JPF126" s="77"/>
      <c r="JPG126" s="77"/>
      <c r="JPH126" s="77"/>
      <c r="JPI126" s="77"/>
      <c r="JPJ126" s="77"/>
      <c r="JPK126" s="77"/>
      <c r="JPL126" s="77"/>
      <c r="JPM126" s="77"/>
      <c r="JPN126" s="77"/>
      <c r="JPO126" s="77"/>
      <c r="JPP126" s="77"/>
      <c r="JPQ126" s="77"/>
      <c r="JPR126" s="77"/>
      <c r="JPS126" s="77"/>
      <c r="JPT126" s="77"/>
      <c r="JPU126" s="77"/>
      <c r="JPV126" s="77"/>
      <c r="JPW126" s="77"/>
      <c r="JPX126" s="77"/>
      <c r="JPY126" s="77"/>
      <c r="JPZ126" s="77"/>
      <c r="JQA126" s="77"/>
      <c r="JQB126" s="77"/>
      <c r="JQC126" s="77"/>
      <c r="JQD126" s="77"/>
      <c r="JQE126" s="77"/>
      <c r="JQF126" s="77"/>
      <c r="JQG126" s="77"/>
      <c r="JQH126" s="77"/>
      <c r="JQI126" s="77"/>
      <c r="JQJ126" s="77"/>
      <c r="JQK126" s="77"/>
      <c r="JQL126" s="77"/>
      <c r="JQM126" s="77"/>
      <c r="JQN126" s="77"/>
      <c r="JQO126" s="77"/>
      <c r="JQP126" s="77"/>
      <c r="JQQ126" s="77"/>
      <c r="JQR126" s="77"/>
      <c r="JQS126" s="77"/>
      <c r="JQT126" s="77"/>
      <c r="JQU126" s="77"/>
      <c r="JQV126" s="77"/>
      <c r="JQW126" s="77"/>
      <c r="JQX126" s="77"/>
      <c r="JQY126" s="77"/>
      <c r="JQZ126" s="77"/>
      <c r="JRA126" s="77"/>
      <c r="JRB126" s="77"/>
      <c r="JRC126" s="77"/>
      <c r="JRD126" s="77"/>
      <c r="JRE126" s="77"/>
      <c r="JRF126" s="77"/>
      <c r="JRG126" s="77"/>
      <c r="JRH126" s="77"/>
      <c r="JRI126" s="77"/>
      <c r="JRJ126" s="77"/>
      <c r="JRK126" s="77"/>
      <c r="JRL126" s="77"/>
      <c r="JRM126" s="77"/>
      <c r="JRN126" s="77"/>
      <c r="JRO126" s="77"/>
      <c r="JRP126" s="77"/>
      <c r="JRQ126" s="77"/>
      <c r="JRR126" s="77"/>
      <c r="JRS126" s="77"/>
      <c r="JRT126" s="77"/>
      <c r="JRU126" s="77"/>
      <c r="JRV126" s="77"/>
      <c r="JRW126" s="77"/>
      <c r="JRX126" s="77"/>
      <c r="JRY126" s="77"/>
      <c r="JRZ126" s="77"/>
      <c r="JSA126" s="77"/>
      <c r="JSB126" s="77"/>
      <c r="JSC126" s="77"/>
      <c r="JSD126" s="77"/>
      <c r="JSE126" s="77"/>
      <c r="JSF126" s="77"/>
      <c r="JSG126" s="77"/>
      <c r="JSH126" s="77"/>
      <c r="JSI126" s="77"/>
      <c r="JSJ126" s="77"/>
      <c r="JSK126" s="77"/>
      <c r="JSL126" s="77"/>
      <c r="JSM126" s="77"/>
      <c r="JSN126" s="77"/>
      <c r="JSO126" s="77"/>
      <c r="JSP126" s="77"/>
      <c r="JSQ126" s="77"/>
      <c r="JSR126" s="77"/>
      <c r="JSS126" s="77"/>
      <c r="JST126" s="77"/>
      <c r="JSU126" s="77"/>
      <c r="JSV126" s="77"/>
      <c r="JSW126" s="77"/>
      <c r="JSX126" s="77"/>
      <c r="JSY126" s="77"/>
      <c r="JSZ126" s="77"/>
      <c r="JTA126" s="77"/>
      <c r="JTB126" s="77"/>
      <c r="JTC126" s="77"/>
      <c r="JTD126" s="77"/>
      <c r="JTE126" s="77"/>
      <c r="JTF126" s="77"/>
      <c r="JTG126" s="77"/>
      <c r="JTH126" s="77"/>
      <c r="JTI126" s="77"/>
      <c r="JTJ126" s="77"/>
      <c r="JTK126" s="77"/>
      <c r="JTL126" s="77"/>
      <c r="JTM126" s="77"/>
      <c r="JTN126" s="77"/>
      <c r="JTO126" s="77"/>
      <c r="JTP126" s="77"/>
      <c r="JTQ126" s="77"/>
      <c r="JTR126" s="77"/>
      <c r="JTS126" s="77"/>
      <c r="JTT126" s="77"/>
      <c r="JTU126" s="77"/>
      <c r="JTV126" s="77"/>
      <c r="JTW126" s="77"/>
      <c r="JTX126" s="77"/>
      <c r="JTY126" s="77"/>
      <c r="JTZ126" s="77"/>
      <c r="JUA126" s="77"/>
      <c r="JUB126" s="77"/>
      <c r="JUC126" s="77"/>
      <c r="JUD126" s="77"/>
      <c r="JUE126" s="77"/>
      <c r="JUF126" s="77"/>
      <c r="JUG126" s="77"/>
      <c r="JUH126" s="77"/>
      <c r="JUI126" s="77"/>
      <c r="JUJ126" s="77"/>
      <c r="JUK126" s="77"/>
      <c r="JUL126" s="77"/>
      <c r="JUM126" s="77"/>
      <c r="JUN126" s="77"/>
      <c r="JUO126" s="77"/>
      <c r="JUP126" s="77"/>
      <c r="JUQ126" s="77"/>
      <c r="JUR126" s="77"/>
      <c r="JUS126" s="77"/>
      <c r="JUT126" s="77"/>
      <c r="JUU126" s="77"/>
      <c r="JUV126" s="77"/>
      <c r="JUW126" s="77"/>
      <c r="JUX126" s="77"/>
      <c r="JUY126" s="77"/>
      <c r="JUZ126" s="77"/>
      <c r="JVA126" s="77"/>
      <c r="JVB126" s="77"/>
      <c r="JVC126" s="77"/>
      <c r="JVD126" s="77"/>
      <c r="JVE126" s="77"/>
      <c r="JVF126" s="77"/>
      <c r="JVG126" s="77"/>
      <c r="JVH126" s="77"/>
      <c r="JVI126" s="77"/>
      <c r="JVJ126" s="77"/>
      <c r="JVK126" s="77"/>
      <c r="JVL126" s="77"/>
      <c r="JVM126" s="77"/>
      <c r="JVN126" s="77"/>
      <c r="JVO126" s="77"/>
      <c r="JVP126" s="77"/>
      <c r="JVQ126" s="77"/>
      <c r="JVR126" s="77"/>
      <c r="JVS126" s="77"/>
      <c r="JVT126" s="77"/>
      <c r="JVU126" s="77"/>
      <c r="JVV126" s="77"/>
      <c r="JVW126" s="77"/>
      <c r="JVX126" s="77"/>
      <c r="JVY126" s="77"/>
      <c r="JVZ126" s="77"/>
      <c r="JWA126" s="77"/>
      <c r="JWB126" s="77"/>
      <c r="JWC126" s="77"/>
      <c r="JWD126" s="77"/>
      <c r="JWE126" s="77"/>
      <c r="JWF126" s="77"/>
      <c r="JWG126" s="77"/>
      <c r="JWH126" s="77"/>
      <c r="JWI126" s="77"/>
      <c r="JWJ126" s="77"/>
      <c r="JWK126" s="77"/>
      <c r="JWL126" s="77"/>
      <c r="JWM126" s="77"/>
      <c r="JWN126" s="77"/>
      <c r="JWO126" s="77"/>
      <c r="JWP126" s="77"/>
      <c r="JWQ126" s="77"/>
      <c r="JWR126" s="77"/>
      <c r="JWS126" s="77"/>
      <c r="JWT126" s="77"/>
      <c r="JWU126" s="77"/>
      <c r="JWV126" s="77"/>
      <c r="JWW126" s="77"/>
      <c r="JWX126" s="77"/>
      <c r="JWY126" s="77"/>
      <c r="JWZ126" s="77"/>
      <c r="JXA126" s="77"/>
      <c r="JXB126" s="77"/>
      <c r="JXC126" s="77"/>
      <c r="JXD126" s="77"/>
      <c r="JXE126" s="77"/>
      <c r="JXF126" s="77"/>
      <c r="JXG126" s="77"/>
      <c r="JXH126" s="77"/>
      <c r="JXI126" s="77"/>
      <c r="JXJ126" s="77"/>
      <c r="JXK126" s="77"/>
      <c r="JXL126" s="77"/>
      <c r="JXM126" s="77"/>
      <c r="JXN126" s="77"/>
      <c r="JXO126" s="77"/>
      <c r="JXP126" s="77"/>
      <c r="JXQ126" s="77"/>
      <c r="JXR126" s="77"/>
      <c r="JXS126" s="77"/>
      <c r="JXT126" s="77"/>
      <c r="JXU126" s="77"/>
      <c r="JXV126" s="77"/>
      <c r="JXW126" s="77"/>
      <c r="JXX126" s="77"/>
      <c r="JXY126" s="77"/>
      <c r="JXZ126" s="77"/>
      <c r="JYA126" s="77"/>
      <c r="JYB126" s="77"/>
      <c r="JYC126" s="77"/>
      <c r="JYD126" s="77"/>
      <c r="JYE126" s="77"/>
      <c r="JYF126" s="77"/>
      <c r="JYG126" s="77"/>
      <c r="JYH126" s="77"/>
      <c r="JYI126" s="77"/>
      <c r="JYJ126" s="77"/>
      <c r="JYK126" s="77"/>
      <c r="JYL126" s="77"/>
      <c r="JYM126" s="77"/>
      <c r="JYN126" s="77"/>
      <c r="JYO126" s="77"/>
      <c r="JYP126" s="77"/>
      <c r="JYQ126" s="77"/>
      <c r="JYR126" s="77"/>
      <c r="JYS126" s="77"/>
      <c r="JYT126" s="77"/>
      <c r="JYU126" s="77"/>
      <c r="JYV126" s="77"/>
      <c r="JYW126" s="77"/>
      <c r="JYX126" s="77"/>
      <c r="JYY126" s="77"/>
      <c r="JYZ126" s="77"/>
      <c r="JZA126" s="77"/>
      <c r="JZB126" s="77"/>
      <c r="JZC126" s="77"/>
      <c r="JZD126" s="77"/>
      <c r="JZE126" s="77"/>
      <c r="JZF126" s="77"/>
      <c r="JZG126" s="77"/>
      <c r="JZH126" s="77"/>
      <c r="JZI126" s="77"/>
      <c r="JZJ126" s="77"/>
      <c r="JZK126" s="77"/>
      <c r="JZL126" s="77"/>
      <c r="JZM126" s="77"/>
      <c r="JZN126" s="77"/>
      <c r="JZO126" s="77"/>
      <c r="JZP126" s="77"/>
      <c r="JZQ126" s="77"/>
      <c r="JZR126" s="77"/>
      <c r="JZS126" s="77"/>
      <c r="JZT126" s="77"/>
      <c r="JZU126" s="77"/>
      <c r="JZV126" s="77"/>
      <c r="JZW126" s="77"/>
      <c r="JZX126" s="77"/>
      <c r="JZY126" s="77"/>
      <c r="JZZ126" s="77"/>
      <c r="KAA126" s="77"/>
      <c r="KAB126" s="77"/>
      <c r="KAC126" s="77"/>
      <c r="KAD126" s="77"/>
      <c r="KAE126" s="77"/>
      <c r="KAF126" s="77"/>
      <c r="KAG126" s="77"/>
      <c r="KAH126" s="77"/>
      <c r="KAI126" s="77"/>
      <c r="KAJ126" s="77"/>
      <c r="KAK126" s="77"/>
      <c r="KAL126" s="77"/>
      <c r="KAM126" s="77"/>
      <c r="KAN126" s="77"/>
      <c r="KAO126" s="77"/>
      <c r="KAP126" s="77"/>
      <c r="KAQ126" s="77"/>
      <c r="KAR126" s="77"/>
      <c r="KAS126" s="77"/>
      <c r="KAT126" s="77"/>
      <c r="KAU126" s="77"/>
      <c r="KAV126" s="77"/>
      <c r="KAW126" s="77"/>
      <c r="KAX126" s="77"/>
      <c r="KAY126" s="77"/>
      <c r="KAZ126" s="77"/>
      <c r="KBA126" s="77"/>
      <c r="KBB126" s="77"/>
      <c r="KBC126" s="77"/>
      <c r="KBD126" s="77"/>
      <c r="KBE126" s="77"/>
      <c r="KBF126" s="77"/>
      <c r="KBG126" s="77"/>
      <c r="KBH126" s="77"/>
      <c r="KBI126" s="77"/>
      <c r="KBJ126" s="77"/>
      <c r="KBK126" s="77"/>
      <c r="KBL126" s="77"/>
      <c r="KBM126" s="77"/>
      <c r="KBN126" s="77"/>
      <c r="KBO126" s="77"/>
      <c r="KBP126" s="77"/>
      <c r="KBQ126" s="77"/>
      <c r="KBR126" s="77"/>
      <c r="KBS126" s="77"/>
      <c r="KBT126" s="77"/>
      <c r="KBU126" s="77"/>
      <c r="KBV126" s="77"/>
      <c r="KBW126" s="77"/>
      <c r="KBX126" s="77"/>
      <c r="KBY126" s="77"/>
      <c r="KBZ126" s="77"/>
      <c r="KCA126" s="77"/>
      <c r="KCB126" s="77"/>
      <c r="KCC126" s="77"/>
      <c r="KCD126" s="77"/>
      <c r="KCE126" s="77"/>
      <c r="KCF126" s="77"/>
      <c r="KCG126" s="77"/>
      <c r="KCH126" s="77"/>
      <c r="KCI126" s="77"/>
      <c r="KCJ126" s="77"/>
      <c r="KCK126" s="77"/>
      <c r="KCL126" s="77"/>
      <c r="KCM126" s="77"/>
      <c r="KCN126" s="77"/>
      <c r="KCO126" s="77"/>
      <c r="KCP126" s="77"/>
      <c r="KCQ126" s="77"/>
      <c r="KCR126" s="77"/>
      <c r="KCS126" s="77"/>
      <c r="KCT126" s="77"/>
      <c r="KCU126" s="77"/>
      <c r="KCV126" s="77"/>
      <c r="KCW126" s="77"/>
      <c r="KCX126" s="77"/>
      <c r="KCY126" s="77"/>
      <c r="KCZ126" s="77"/>
      <c r="KDA126" s="77"/>
      <c r="KDB126" s="77"/>
      <c r="KDC126" s="77"/>
      <c r="KDD126" s="77"/>
      <c r="KDE126" s="77"/>
      <c r="KDF126" s="77"/>
      <c r="KDG126" s="77"/>
      <c r="KDH126" s="77"/>
      <c r="KDI126" s="77"/>
      <c r="KDJ126" s="77"/>
      <c r="KDK126" s="77"/>
      <c r="KDL126" s="77"/>
      <c r="KDM126" s="77"/>
      <c r="KDN126" s="77"/>
      <c r="KDO126" s="77"/>
      <c r="KDP126" s="77"/>
      <c r="KDQ126" s="77"/>
      <c r="KDR126" s="77"/>
      <c r="KDS126" s="77"/>
      <c r="KDT126" s="77"/>
      <c r="KDU126" s="77"/>
      <c r="KDV126" s="77"/>
      <c r="KDW126" s="77"/>
      <c r="KDX126" s="77"/>
      <c r="KDY126" s="77"/>
      <c r="KDZ126" s="77"/>
      <c r="KEA126" s="77"/>
      <c r="KEB126" s="77"/>
      <c r="KEC126" s="77"/>
      <c r="KED126" s="77"/>
      <c r="KEE126" s="77"/>
      <c r="KEF126" s="77"/>
      <c r="KEG126" s="77"/>
      <c r="KEH126" s="77"/>
      <c r="KEI126" s="77"/>
      <c r="KEJ126" s="77"/>
      <c r="KEK126" s="77"/>
      <c r="KEL126" s="77"/>
      <c r="KEM126" s="77"/>
      <c r="KEN126" s="77"/>
      <c r="KEO126" s="77"/>
      <c r="KEP126" s="77"/>
      <c r="KEQ126" s="77"/>
      <c r="KER126" s="77"/>
      <c r="KES126" s="77"/>
      <c r="KET126" s="77"/>
      <c r="KEU126" s="77"/>
      <c r="KEV126" s="77"/>
      <c r="KEW126" s="77"/>
      <c r="KEX126" s="77"/>
      <c r="KEY126" s="77"/>
      <c r="KEZ126" s="77"/>
      <c r="KFA126" s="77"/>
      <c r="KFB126" s="77"/>
      <c r="KFC126" s="77"/>
      <c r="KFD126" s="77"/>
      <c r="KFE126" s="77"/>
      <c r="KFF126" s="77"/>
      <c r="KFG126" s="77"/>
      <c r="KFH126" s="77"/>
      <c r="KFI126" s="77"/>
      <c r="KFJ126" s="77"/>
      <c r="KFK126" s="77"/>
      <c r="KFL126" s="77"/>
      <c r="KFM126" s="77"/>
      <c r="KFN126" s="77"/>
      <c r="KFO126" s="77"/>
      <c r="KFP126" s="77"/>
      <c r="KFQ126" s="77"/>
      <c r="KFR126" s="77"/>
      <c r="KFS126" s="77"/>
      <c r="KFT126" s="77"/>
      <c r="KFU126" s="77"/>
      <c r="KFV126" s="77"/>
      <c r="KFW126" s="77"/>
      <c r="KFX126" s="77"/>
      <c r="KFY126" s="77"/>
      <c r="KFZ126" s="77"/>
      <c r="KGA126" s="77"/>
      <c r="KGB126" s="77"/>
      <c r="KGC126" s="77"/>
      <c r="KGD126" s="77"/>
      <c r="KGE126" s="77"/>
      <c r="KGF126" s="77"/>
      <c r="KGG126" s="77"/>
      <c r="KGH126" s="77"/>
      <c r="KGI126" s="77"/>
      <c r="KGJ126" s="77"/>
      <c r="KGK126" s="77"/>
      <c r="KGL126" s="77"/>
      <c r="KGM126" s="77"/>
      <c r="KGN126" s="77"/>
      <c r="KGO126" s="77"/>
      <c r="KGP126" s="77"/>
      <c r="KGQ126" s="77"/>
      <c r="KGR126" s="77"/>
      <c r="KGS126" s="77"/>
      <c r="KGT126" s="77"/>
      <c r="KGU126" s="77"/>
      <c r="KGV126" s="77"/>
      <c r="KGW126" s="77"/>
      <c r="KGX126" s="77"/>
      <c r="KGY126" s="77"/>
      <c r="KGZ126" s="77"/>
      <c r="KHA126" s="77"/>
      <c r="KHB126" s="77"/>
      <c r="KHC126" s="77"/>
      <c r="KHD126" s="77"/>
      <c r="KHE126" s="77"/>
      <c r="KHF126" s="77"/>
      <c r="KHG126" s="77"/>
      <c r="KHH126" s="77"/>
      <c r="KHI126" s="77"/>
      <c r="KHJ126" s="77"/>
      <c r="KHK126" s="77"/>
      <c r="KHL126" s="77"/>
      <c r="KHM126" s="77"/>
      <c r="KHN126" s="77"/>
      <c r="KHO126" s="77"/>
      <c r="KHP126" s="77"/>
      <c r="KHQ126" s="77"/>
      <c r="KHR126" s="77"/>
      <c r="KHS126" s="77"/>
      <c r="KHT126" s="77"/>
      <c r="KHU126" s="77"/>
      <c r="KHV126" s="77"/>
      <c r="KHW126" s="77"/>
      <c r="KHX126" s="77"/>
      <c r="KHY126" s="77"/>
      <c r="KHZ126" s="77"/>
      <c r="KIA126" s="77"/>
      <c r="KIB126" s="77"/>
      <c r="KIC126" s="77"/>
      <c r="KID126" s="77"/>
      <c r="KIE126" s="77"/>
      <c r="KIF126" s="77"/>
      <c r="KIG126" s="77"/>
      <c r="KIH126" s="77"/>
      <c r="KII126" s="77"/>
      <c r="KIJ126" s="77"/>
      <c r="KIK126" s="77"/>
      <c r="KIL126" s="77"/>
      <c r="KIM126" s="77"/>
      <c r="KIN126" s="77"/>
      <c r="KIO126" s="77"/>
      <c r="KIP126" s="77"/>
      <c r="KIQ126" s="77"/>
      <c r="KIR126" s="77"/>
      <c r="KIS126" s="77"/>
      <c r="KIT126" s="77"/>
      <c r="KIU126" s="77"/>
      <c r="KIV126" s="77"/>
      <c r="KIW126" s="77"/>
      <c r="KIX126" s="77"/>
      <c r="KIY126" s="77"/>
      <c r="KIZ126" s="77"/>
      <c r="KJA126" s="77"/>
      <c r="KJB126" s="77"/>
      <c r="KJC126" s="77"/>
      <c r="KJD126" s="77"/>
      <c r="KJE126" s="77"/>
      <c r="KJF126" s="77"/>
      <c r="KJG126" s="77"/>
      <c r="KJH126" s="77"/>
      <c r="KJI126" s="77"/>
      <c r="KJJ126" s="77"/>
      <c r="KJK126" s="77"/>
      <c r="KJL126" s="77"/>
      <c r="KJM126" s="77"/>
      <c r="KJN126" s="77"/>
      <c r="KJO126" s="77"/>
      <c r="KJP126" s="77"/>
      <c r="KJQ126" s="77"/>
      <c r="KJR126" s="77"/>
      <c r="KJS126" s="77"/>
      <c r="KJT126" s="77"/>
      <c r="KJU126" s="77"/>
      <c r="KJV126" s="77"/>
      <c r="KJW126" s="77"/>
      <c r="KJX126" s="77"/>
      <c r="KJY126" s="77"/>
      <c r="KJZ126" s="77"/>
      <c r="KKA126" s="77"/>
      <c r="KKB126" s="77"/>
      <c r="KKC126" s="77"/>
      <c r="KKD126" s="77"/>
      <c r="KKE126" s="77"/>
      <c r="KKF126" s="77"/>
      <c r="KKG126" s="77"/>
      <c r="KKH126" s="77"/>
      <c r="KKI126" s="77"/>
      <c r="KKJ126" s="77"/>
      <c r="KKK126" s="77"/>
      <c r="KKL126" s="77"/>
      <c r="KKM126" s="77"/>
      <c r="KKN126" s="77"/>
      <c r="KKO126" s="77"/>
      <c r="KKP126" s="77"/>
      <c r="KKQ126" s="77"/>
      <c r="KKR126" s="77"/>
      <c r="KKS126" s="77"/>
      <c r="KKT126" s="77"/>
      <c r="KKU126" s="77"/>
      <c r="KKV126" s="77"/>
      <c r="KKW126" s="77"/>
      <c r="KKX126" s="77"/>
      <c r="KKY126" s="77"/>
      <c r="KKZ126" s="77"/>
      <c r="KLA126" s="77"/>
      <c r="KLB126" s="77"/>
      <c r="KLC126" s="77"/>
      <c r="KLD126" s="77"/>
      <c r="KLE126" s="77"/>
      <c r="KLF126" s="77"/>
      <c r="KLG126" s="77"/>
      <c r="KLH126" s="77"/>
      <c r="KLI126" s="77"/>
      <c r="KLJ126" s="77"/>
      <c r="KLK126" s="77"/>
      <c r="KLL126" s="77"/>
      <c r="KLM126" s="77"/>
      <c r="KLN126" s="77"/>
      <c r="KLO126" s="77"/>
      <c r="KLP126" s="77"/>
      <c r="KLQ126" s="77"/>
      <c r="KLR126" s="77"/>
      <c r="KLS126" s="77"/>
      <c r="KLT126" s="77"/>
      <c r="KLU126" s="77"/>
      <c r="KLV126" s="77"/>
      <c r="KLW126" s="77"/>
      <c r="KLX126" s="77"/>
      <c r="KLY126" s="77"/>
      <c r="KLZ126" s="77"/>
      <c r="KMA126" s="77"/>
      <c r="KMB126" s="77"/>
      <c r="KMC126" s="77"/>
      <c r="KMD126" s="77"/>
      <c r="KME126" s="77"/>
      <c r="KMF126" s="77"/>
      <c r="KMG126" s="77"/>
      <c r="KMH126" s="77"/>
      <c r="KMI126" s="77"/>
      <c r="KMJ126" s="77"/>
      <c r="KMK126" s="77"/>
      <c r="KML126" s="77"/>
      <c r="KMM126" s="77"/>
      <c r="KMN126" s="77"/>
      <c r="KMO126" s="77"/>
      <c r="KMP126" s="77"/>
      <c r="KMQ126" s="77"/>
      <c r="KMR126" s="77"/>
      <c r="KMS126" s="77"/>
      <c r="KMT126" s="77"/>
      <c r="KMU126" s="77"/>
      <c r="KMV126" s="77"/>
      <c r="KMW126" s="77"/>
      <c r="KMX126" s="77"/>
      <c r="KMY126" s="77"/>
      <c r="KMZ126" s="77"/>
      <c r="KNA126" s="77"/>
      <c r="KNB126" s="77"/>
      <c r="KNC126" s="77"/>
      <c r="KND126" s="77"/>
      <c r="KNE126" s="77"/>
      <c r="KNF126" s="77"/>
      <c r="KNG126" s="77"/>
      <c r="KNH126" s="77"/>
      <c r="KNI126" s="77"/>
      <c r="KNJ126" s="77"/>
      <c r="KNK126" s="77"/>
      <c r="KNL126" s="77"/>
      <c r="KNM126" s="77"/>
      <c r="KNN126" s="77"/>
      <c r="KNO126" s="77"/>
      <c r="KNP126" s="77"/>
      <c r="KNQ126" s="77"/>
      <c r="KNR126" s="77"/>
      <c r="KNS126" s="77"/>
      <c r="KNT126" s="77"/>
      <c r="KNU126" s="77"/>
      <c r="KNV126" s="77"/>
      <c r="KNW126" s="77"/>
      <c r="KNX126" s="77"/>
      <c r="KNY126" s="77"/>
      <c r="KNZ126" s="77"/>
      <c r="KOA126" s="77"/>
      <c r="KOB126" s="77"/>
      <c r="KOC126" s="77"/>
      <c r="KOD126" s="77"/>
      <c r="KOE126" s="77"/>
      <c r="KOF126" s="77"/>
      <c r="KOG126" s="77"/>
      <c r="KOH126" s="77"/>
      <c r="KOI126" s="77"/>
      <c r="KOJ126" s="77"/>
      <c r="KOK126" s="77"/>
      <c r="KOL126" s="77"/>
      <c r="KOM126" s="77"/>
      <c r="KON126" s="77"/>
      <c r="KOO126" s="77"/>
      <c r="KOP126" s="77"/>
      <c r="KOQ126" s="77"/>
      <c r="KOR126" s="77"/>
      <c r="KOS126" s="77"/>
      <c r="KOT126" s="77"/>
      <c r="KOU126" s="77"/>
      <c r="KOV126" s="77"/>
      <c r="KOW126" s="77"/>
      <c r="KOX126" s="77"/>
      <c r="KOY126" s="77"/>
      <c r="KOZ126" s="77"/>
      <c r="KPA126" s="77"/>
      <c r="KPB126" s="77"/>
      <c r="KPC126" s="77"/>
      <c r="KPD126" s="77"/>
      <c r="KPE126" s="77"/>
      <c r="KPF126" s="77"/>
      <c r="KPG126" s="77"/>
      <c r="KPH126" s="77"/>
      <c r="KPI126" s="77"/>
      <c r="KPJ126" s="77"/>
      <c r="KPK126" s="77"/>
      <c r="KPL126" s="77"/>
      <c r="KPM126" s="77"/>
      <c r="KPN126" s="77"/>
      <c r="KPO126" s="77"/>
      <c r="KPP126" s="77"/>
      <c r="KPQ126" s="77"/>
      <c r="KPR126" s="77"/>
      <c r="KPS126" s="77"/>
      <c r="KPT126" s="77"/>
      <c r="KPU126" s="77"/>
      <c r="KPV126" s="77"/>
      <c r="KPW126" s="77"/>
      <c r="KPX126" s="77"/>
      <c r="KPY126" s="77"/>
      <c r="KPZ126" s="77"/>
      <c r="KQA126" s="77"/>
      <c r="KQB126" s="77"/>
      <c r="KQC126" s="77"/>
      <c r="KQD126" s="77"/>
      <c r="KQE126" s="77"/>
      <c r="KQF126" s="77"/>
      <c r="KQG126" s="77"/>
      <c r="KQH126" s="77"/>
      <c r="KQI126" s="77"/>
      <c r="KQJ126" s="77"/>
      <c r="KQK126" s="77"/>
      <c r="KQL126" s="77"/>
      <c r="KQM126" s="77"/>
      <c r="KQN126" s="77"/>
      <c r="KQO126" s="77"/>
      <c r="KQP126" s="77"/>
      <c r="KQQ126" s="77"/>
      <c r="KQR126" s="77"/>
      <c r="KQS126" s="77"/>
      <c r="KQT126" s="77"/>
      <c r="KQU126" s="77"/>
      <c r="KQV126" s="77"/>
      <c r="KQW126" s="77"/>
      <c r="KQX126" s="77"/>
      <c r="KQY126" s="77"/>
      <c r="KQZ126" s="77"/>
      <c r="KRA126" s="77"/>
      <c r="KRB126" s="77"/>
      <c r="KRC126" s="77"/>
      <c r="KRD126" s="77"/>
      <c r="KRE126" s="77"/>
      <c r="KRF126" s="77"/>
      <c r="KRG126" s="77"/>
      <c r="KRH126" s="77"/>
      <c r="KRI126" s="77"/>
      <c r="KRJ126" s="77"/>
      <c r="KRK126" s="77"/>
      <c r="KRL126" s="77"/>
      <c r="KRM126" s="77"/>
      <c r="KRN126" s="77"/>
      <c r="KRO126" s="77"/>
      <c r="KRP126" s="77"/>
      <c r="KRQ126" s="77"/>
      <c r="KRR126" s="77"/>
      <c r="KRS126" s="77"/>
      <c r="KRT126" s="77"/>
      <c r="KRU126" s="77"/>
      <c r="KRV126" s="77"/>
      <c r="KRW126" s="77"/>
      <c r="KRX126" s="77"/>
      <c r="KRY126" s="77"/>
      <c r="KRZ126" s="77"/>
      <c r="KSA126" s="77"/>
      <c r="KSB126" s="77"/>
      <c r="KSC126" s="77"/>
      <c r="KSD126" s="77"/>
      <c r="KSE126" s="77"/>
      <c r="KSF126" s="77"/>
      <c r="KSG126" s="77"/>
      <c r="KSH126" s="77"/>
      <c r="KSI126" s="77"/>
      <c r="KSJ126" s="77"/>
      <c r="KSK126" s="77"/>
      <c r="KSL126" s="77"/>
      <c r="KSM126" s="77"/>
      <c r="KSN126" s="77"/>
      <c r="KSO126" s="77"/>
      <c r="KSP126" s="77"/>
      <c r="KSQ126" s="77"/>
      <c r="KSR126" s="77"/>
      <c r="KSS126" s="77"/>
      <c r="KST126" s="77"/>
      <c r="KSU126" s="77"/>
      <c r="KSV126" s="77"/>
      <c r="KSW126" s="77"/>
      <c r="KSX126" s="77"/>
      <c r="KSY126" s="77"/>
      <c r="KSZ126" s="77"/>
      <c r="KTA126" s="77"/>
      <c r="KTB126" s="77"/>
      <c r="KTC126" s="77"/>
      <c r="KTD126" s="77"/>
      <c r="KTE126" s="77"/>
      <c r="KTF126" s="77"/>
      <c r="KTG126" s="77"/>
      <c r="KTH126" s="77"/>
      <c r="KTI126" s="77"/>
      <c r="KTJ126" s="77"/>
      <c r="KTK126" s="77"/>
      <c r="KTL126" s="77"/>
      <c r="KTM126" s="77"/>
      <c r="KTN126" s="77"/>
      <c r="KTO126" s="77"/>
      <c r="KTP126" s="77"/>
      <c r="KTQ126" s="77"/>
      <c r="KTR126" s="77"/>
      <c r="KTS126" s="77"/>
      <c r="KTT126" s="77"/>
      <c r="KTU126" s="77"/>
      <c r="KTV126" s="77"/>
      <c r="KTW126" s="77"/>
      <c r="KTX126" s="77"/>
      <c r="KTY126" s="77"/>
      <c r="KTZ126" s="77"/>
      <c r="KUA126" s="77"/>
      <c r="KUB126" s="77"/>
      <c r="KUC126" s="77"/>
      <c r="KUD126" s="77"/>
      <c r="KUE126" s="77"/>
      <c r="KUF126" s="77"/>
      <c r="KUG126" s="77"/>
      <c r="KUH126" s="77"/>
      <c r="KUI126" s="77"/>
      <c r="KUJ126" s="77"/>
      <c r="KUK126" s="77"/>
      <c r="KUL126" s="77"/>
      <c r="KUM126" s="77"/>
      <c r="KUN126" s="77"/>
      <c r="KUO126" s="77"/>
      <c r="KUP126" s="77"/>
      <c r="KUQ126" s="77"/>
      <c r="KUR126" s="77"/>
      <c r="KUS126" s="77"/>
      <c r="KUT126" s="77"/>
      <c r="KUU126" s="77"/>
      <c r="KUV126" s="77"/>
      <c r="KUW126" s="77"/>
      <c r="KUX126" s="77"/>
      <c r="KUY126" s="77"/>
      <c r="KUZ126" s="77"/>
      <c r="KVA126" s="77"/>
      <c r="KVB126" s="77"/>
      <c r="KVC126" s="77"/>
      <c r="KVD126" s="77"/>
      <c r="KVE126" s="77"/>
      <c r="KVF126" s="77"/>
      <c r="KVG126" s="77"/>
      <c r="KVH126" s="77"/>
      <c r="KVI126" s="77"/>
      <c r="KVJ126" s="77"/>
      <c r="KVK126" s="77"/>
      <c r="KVL126" s="77"/>
      <c r="KVM126" s="77"/>
      <c r="KVN126" s="77"/>
      <c r="KVO126" s="77"/>
      <c r="KVP126" s="77"/>
      <c r="KVQ126" s="77"/>
      <c r="KVR126" s="77"/>
      <c r="KVS126" s="77"/>
      <c r="KVT126" s="77"/>
      <c r="KVU126" s="77"/>
      <c r="KVV126" s="77"/>
      <c r="KVW126" s="77"/>
      <c r="KVX126" s="77"/>
      <c r="KVY126" s="77"/>
      <c r="KVZ126" s="77"/>
      <c r="KWA126" s="77"/>
      <c r="KWB126" s="77"/>
      <c r="KWC126" s="77"/>
      <c r="KWD126" s="77"/>
      <c r="KWE126" s="77"/>
      <c r="KWF126" s="77"/>
      <c r="KWG126" s="77"/>
      <c r="KWH126" s="77"/>
      <c r="KWI126" s="77"/>
      <c r="KWJ126" s="77"/>
      <c r="KWK126" s="77"/>
      <c r="KWL126" s="77"/>
      <c r="KWM126" s="77"/>
      <c r="KWN126" s="77"/>
      <c r="KWO126" s="77"/>
      <c r="KWP126" s="77"/>
      <c r="KWQ126" s="77"/>
      <c r="KWR126" s="77"/>
      <c r="KWS126" s="77"/>
      <c r="KWT126" s="77"/>
      <c r="KWU126" s="77"/>
      <c r="KWV126" s="77"/>
      <c r="KWW126" s="77"/>
      <c r="KWX126" s="77"/>
      <c r="KWY126" s="77"/>
      <c r="KWZ126" s="77"/>
      <c r="KXA126" s="77"/>
      <c r="KXB126" s="77"/>
      <c r="KXC126" s="77"/>
      <c r="KXD126" s="77"/>
      <c r="KXE126" s="77"/>
      <c r="KXF126" s="77"/>
      <c r="KXG126" s="77"/>
      <c r="KXH126" s="77"/>
      <c r="KXI126" s="77"/>
      <c r="KXJ126" s="77"/>
      <c r="KXK126" s="77"/>
      <c r="KXL126" s="77"/>
      <c r="KXM126" s="77"/>
      <c r="KXN126" s="77"/>
      <c r="KXO126" s="77"/>
      <c r="KXP126" s="77"/>
      <c r="KXQ126" s="77"/>
      <c r="KXR126" s="77"/>
      <c r="KXS126" s="77"/>
      <c r="KXT126" s="77"/>
      <c r="KXU126" s="77"/>
      <c r="KXV126" s="77"/>
      <c r="KXW126" s="77"/>
      <c r="KXX126" s="77"/>
      <c r="KXY126" s="77"/>
      <c r="KXZ126" s="77"/>
      <c r="KYA126" s="77"/>
      <c r="KYB126" s="77"/>
      <c r="KYC126" s="77"/>
      <c r="KYD126" s="77"/>
      <c r="KYE126" s="77"/>
      <c r="KYF126" s="77"/>
      <c r="KYG126" s="77"/>
      <c r="KYH126" s="77"/>
      <c r="KYI126" s="77"/>
      <c r="KYJ126" s="77"/>
      <c r="KYK126" s="77"/>
      <c r="KYL126" s="77"/>
      <c r="KYM126" s="77"/>
      <c r="KYN126" s="77"/>
      <c r="KYO126" s="77"/>
      <c r="KYP126" s="77"/>
      <c r="KYQ126" s="77"/>
      <c r="KYR126" s="77"/>
      <c r="KYS126" s="77"/>
      <c r="KYT126" s="77"/>
      <c r="KYU126" s="77"/>
      <c r="KYV126" s="77"/>
      <c r="KYW126" s="77"/>
      <c r="KYX126" s="77"/>
      <c r="KYY126" s="77"/>
      <c r="KYZ126" s="77"/>
      <c r="KZA126" s="77"/>
      <c r="KZB126" s="77"/>
      <c r="KZC126" s="77"/>
      <c r="KZD126" s="77"/>
      <c r="KZE126" s="77"/>
      <c r="KZF126" s="77"/>
      <c r="KZG126" s="77"/>
      <c r="KZH126" s="77"/>
      <c r="KZI126" s="77"/>
      <c r="KZJ126" s="77"/>
      <c r="KZK126" s="77"/>
      <c r="KZL126" s="77"/>
      <c r="KZM126" s="77"/>
      <c r="KZN126" s="77"/>
      <c r="KZO126" s="77"/>
      <c r="KZP126" s="77"/>
      <c r="KZQ126" s="77"/>
      <c r="KZR126" s="77"/>
      <c r="KZS126" s="77"/>
      <c r="KZT126" s="77"/>
      <c r="KZU126" s="77"/>
      <c r="KZV126" s="77"/>
      <c r="KZW126" s="77"/>
      <c r="KZX126" s="77"/>
      <c r="KZY126" s="77"/>
      <c r="KZZ126" s="77"/>
      <c r="LAA126" s="77"/>
      <c r="LAB126" s="77"/>
      <c r="LAC126" s="77"/>
      <c r="LAD126" s="77"/>
      <c r="LAE126" s="77"/>
      <c r="LAF126" s="77"/>
      <c r="LAG126" s="77"/>
      <c r="LAH126" s="77"/>
      <c r="LAI126" s="77"/>
      <c r="LAJ126" s="77"/>
      <c r="LAK126" s="77"/>
      <c r="LAL126" s="77"/>
      <c r="LAM126" s="77"/>
      <c r="LAN126" s="77"/>
      <c r="LAO126" s="77"/>
      <c r="LAP126" s="77"/>
      <c r="LAQ126" s="77"/>
      <c r="LAR126" s="77"/>
      <c r="LAS126" s="77"/>
      <c r="LAT126" s="77"/>
      <c r="LAU126" s="77"/>
      <c r="LAV126" s="77"/>
      <c r="LAW126" s="77"/>
      <c r="LAX126" s="77"/>
      <c r="LAY126" s="77"/>
      <c r="LAZ126" s="77"/>
      <c r="LBA126" s="77"/>
      <c r="LBB126" s="77"/>
      <c r="LBC126" s="77"/>
      <c r="LBD126" s="77"/>
      <c r="LBE126" s="77"/>
      <c r="LBF126" s="77"/>
      <c r="LBG126" s="77"/>
      <c r="LBH126" s="77"/>
      <c r="LBI126" s="77"/>
      <c r="LBJ126" s="77"/>
      <c r="LBK126" s="77"/>
      <c r="LBL126" s="77"/>
      <c r="LBM126" s="77"/>
      <c r="LBN126" s="77"/>
      <c r="LBO126" s="77"/>
      <c r="LBP126" s="77"/>
      <c r="LBQ126" s="77"/>
      <c r="LBR126" s="77"/>
      <c r="LBS126" s="77"/>
      <c r="LBT126" s="77"/>
      <c r="LBU126" s="77"/>
      <c r="LBV126" s="77"/>
      <c r="LBW126" s="77"/>
      <c r="LBX126" s="77"/>
      <c r="LBY126" s="77"/>
      <c r="LBZ126" s="77"/>
      <c r="LCA126" s="77"/>
      <c r="LCB126" s="77"/>
      <c r="LCC126" s="77"/>
      <c r="LCD126" s="77"/>
      <c r="LCE126" s="77"/>
      <c r="LCF126" s="77"/>
      <c r="LCG126" s="77"/>
      <c r="LCH126" s="77"/>
      <c r="LCI126" s="77"/>
      <c r="LCJ126" s="77"/>
      <c r="LCK126" s="77"/>
      <c r="LCL126" s="77"/>
      <c r="LCM126" s="77"/>
      <c r="LCN126" s="77"/>
      <c r="LCO126" s="77"/>
      <c r="LCP126" s="77"/>
      <c r="LCQ126" s="77"/>
      <c r="LCR126" s="77"/>
      <c r="LCS126" s="77"/>
      <c r="LCT126" s="77"/>
      <c r="LCU126" s="77"/>
      <c r="LCV126" s="77"/>
      <c r="LCW126" s="77"/>
      <c r="LCX126" s="77"/>
      <c r="LCY126" s="77"/>
      <c r="LCZ126" s="77"/>
      <c r="LDA126" s="77"/>
      <c r="LDB126" s="77"/>
      <c r="LDC126" s="77"/>
      <c r="LDD126" s="77"/>
      <c r="LDE126" s="77"/>
      <c r="LDF126" s="77"/>
      <c r="LDG126" s="77"/>
      <c r="LDH126" s="77"/>
      <c r="LDI126" s="77"/>
      <c r="LDJ126" s="77"/>
      <c r="LDK126" s="77"/>
      <c r="LDL126" s="77"/>
      <c r="LDM126" s="77"/>
      <c r="LDN126" s="77"/>
      <c r="LDO126" s="77"/>
      <c r="LDP126" s="77"/>
      <c r="LDQ126" s="77"/>
      <c r="LDR126" s="77"/>
      <c r="LDS126" s="77"/>
      <c r="LDT126" s="77"/>
      <c r="LDU126" s="77"/>
      <c r="LDV126" s="77"/>
      <c r="LDW126" s="77"/>
      <c r="LDX126" s="77"/>
      <c r="LDY126" s="77"/>
      <c r="LDZ126" s="77"/>
      <c r="LEA126" s="77"/>
      <c r="LEB126" s="77"/>
      <c r="LEC126" s="77"/>
      <c r="LED126" s="77"/>
      <c r="LEE126" s="77"/>
      <c r="LEF126" s="77"/>
      <c r="LEG126" s="77"/>
      <c r="LEH126" s="77"/>
      <c r="LEI126" s="77"/>
      <c r="LEJ126" s="77"/>
      <c r="LEK126" s="77"/>
      <c r="LEL126" s="77"/>
      <c r="LEM126" s="77"/>
      <c r="LEN126" s="77"/>
      <c r="LEO126" s="77"/>
      <c r="LEP126" s="77"/>
      <c r="LEQ126" s="77"/>
      <c r="LER126" s="77"/>
      <c r="LES126" s="77"/>
      <c r="LET126" s="77"/>
      <c r="LEU126" s="77"/>
      <c r="LEV126" s="77"/>
      <c r="LEW126" s="77"/>
      <c r="LEX126" s="77"/>
      <c r="LEY126" s="77"/>
      <c r="LEZ126" s="77"/>
      <c r="LFA126" s="77"/>
      <c r="LFB126" s="77"/>
      <c r="LFC126" s="77"/>
      <c r="LFD126" s="77"/>
      <c r="LFE126" s="77"/>
      <c r="LFF126" s="77"/>
      <c r="LFG126" s="77"/>
      <c r="LFH126" s="77"/>
      <c r="LFI126" s="77"/>
      <c r="LFJ126" s="77"/>
      <c r="LFK126" s="77"/>
      <c r="LFL126" s="77"/>
      <c r="LFM126" s="77"/>
      <c r="LFN126" s="77"/>
      <c r="LFO126" s="77"/>
      <c r="LFP126" s="77"/>
      <c r="LFQ126" s="77"/>
      <c r="LFR126" s="77"/>
      <c r="LFS126" s="77"/>
      <c r="LFT126" s="77"/>
      <c r="LFU126" s="77"/>
      <c r="LFV126" s="77"/>
      <c r="LFW126" s="77"/>
      <c r="LFX126" s="77"/>
      <c r="LFY126" s="77"/>
      <c r="LFZ126" s="77"/>
      <c r="LGA126" s="77"/>
      <c r="LGB126" s="77"/>
      <c r="LGC126" s="77"/>
      <c r="LGD126" s="77"/>
      <c r="LGE126" s="77"/>
      <c r="LGF126" s="77"/>
      <c r="LGG126" s="77"/>
      <c r="LGH126" s="77"/>
      <c r="LGI126" s="77"/>
      <c r="LGJ126" s="77"/>
      <c r="LGK126" s="77"/>
      <c r="LGL126" s="77"/>
      <c r="LGM126" s="77"/>
      <c r="LGN126" s="77"/>
      <c r="LGO126" s="77"/>
      <c r="LGP126" s="77"/>
      <c r="LGQ126" s="77"/>
      <c r="LGR126" s="77"/>
      <c r="LGS126" s="77"/>
      <c r="LGT126" s="77"/>
      <c r="LGU126" s="77"/>
      <c r="LGV126" s="77"/>
      <c r="LGW126" s="77"/>
      <c r="LGX126" s="77"/>
      <c r="LGY126" s="77"/>
      <c r="LGZ126" s="77"/>
      <c r="LHA126" s="77"/>
      <c r="LHB126" s="77"/>
      <c r="LHC126" s="77"/>
      <c r="LHD126" s="77"/>
      <c r="LHE126" s="77"/>
      <c r="LHF126" s="77"/>
      <c r="LHG126" s="77"/>
      <c r="LHH126" s="77"/>
      <c r="LHI126" s="77"/>
      <c r="LHJ126" s="77"/>
      <c r="LHK126" s="77"/>
      <c r="LHL126" s="77"/>
      <c r="LHM126" s="77"/>
      <c r="LHN126" s="77"/>
      <c r="LHO126" s="77"/>
      <c r="LHP126" s="77"/>
      <c r="LHQ126" s="77"/>
      <c r="LHR126" s="77"/>
      <c r="LHS126" s="77"/>
      <c r="LHT126" s="77"/>
      <c r="LHU126" s="77"/>
      <c r="LHV126" s="77"/>
      <c r="LHW126" s="77"/>
      <c r="LHX126" s="77"/>
      <c r="LHY126" s="77"/>
      <c r="LHZ126" s="77"/>
      <c r="LIA126" s="77"/>
      <c r="LIB126" s="77"/>
      <c r="LIC126" s="77"/>
      <c r="LID126" s="77"/>
      <c r="LIE126" s="77"/>
      <c r="LIF126" s="77"/>
      <c r="LIG126" s="77"/>
      <c r="LIH126" s="77"/>
      <c r="LII126" s="77"/>
      <c r="LIJ126" s="77"/>
      <c r="LIK126" s="77"/>
      <c r="LIL126" s="77"/>
      <c r="LIM126" s="77"/>
      <c r="LIN126" s="77"/>
      <c r="LIO126" s="77"/>
      <c r="LIP126" s="77"/>
      <c r="LIQ126" s="77"/>
      <c r="LIR126" s="77"/>
      <c r="LIS126" s="77"/>
      <c r="LIT126" s="77"/>
      <c r="LIU126" s="77"/>
      <c r="LIV126" s="77"/>
      <c r="LIW126" s="77"/>
      <c r="LIX126" s="77"/>
      <c r="LIY126" s="77"/>
      <c r="LIZ126" s="77"/>
      <c r="LJA126" s="77"/>
      <c r="LJB126" s="77"/>
      <c r="LJC126" s="77"/>
      <c r="LJD126" s="77"/>
      <c r="LJE126" s="77"/>
      <c r="LJF126" s="77"/>
      <c r="LJG126" s="77"/>
      <c r="LJH126" s="77"/>
      <c r="LJI126" s="77"/>
      <c r="LJJ126" s="77"/>
      <c r="LJK126" s="77"/>
      <c r="LJL126" s="77"/>
      <c r="LJM126" s="77"/>
      <c r="LJN126" s="77"/>
      <c r="LJO126" s="77"/>
      <c r="LJP126" s="77"/>
      <c r="LJQ126" s="77"/>
      <c r="LJR126" s="77"/>
      <c r="LJS126" s="77"/>
      <c r="LJT126" s="77"/>
      <c r="LJU126" s="77"/>
      <c r="LJV126" s="77"/>
      <c r="LJW126" s="77"/>
      <c r="LJX126" s="77"/>
      <c r="LJY126" s="77"/>
      <c r="LJZ126" s="77"/>
      <c r="LKA126" s="77"/>
      <c r="LKB126" s="77"/>
      <c r="LKC126" s="77"/>
      <c r="LKD126" s="77"/>
      <c r="LKE126" s="77"/>
      <c r="LKF126" s="77"/>
      <c r="LKG126" s="77"/>
      <c r="LKH126" s="77"/>
      <c r="LKI126" s="77"/>
      <c r="LKJ126" s="77"/>
      <c r="LKK126" s="77"/>
      <c r="LKL126" s="77"/>
      <c r="LKM126" s="77"/>
      <c r="LKN126" s="77"/>
      <c r="LKO126" s="77"/>
      <c r="LKP126" s="77"/>
      <c r="LKQ126" s="77"/>
      <c r="LKR126" s="77"/>
      <c r="LKS126" s="77"/>
      <c r="LKT126" s="77"/>
      <c r="LKU126" s="77"/>
      <c r="LKV126" s="77"/>
      <c r="LKW126" s="77"/>
      <c r="LKX126" s="77"/>
      <c r="LKY126" s="77"/>
      <c r="LKZ126" s="77"/>
      <c r="LLA126" s="77"/>
      <c r="LLB126" s="77"/>
      <c r="LLC126" s="77"/>
      <c r="LLD126" s="77"/>
      <c r="LLE126" s="77"/>
      <c r="LLF126" s="77"/>
      <c r="LLG126" s="77"/>
      <c r="LLH126" s="77"/>
      <c r="LLI126" s="77"/>
      <c r="LLJ126" s="77"/>
      <c r="LLK126" s="77"/>
      <c r="LLL126" s="77"/>
      <c r="LLM126" s="77"/>
      <c r="LLN126" s="77"/>
      <c r="LLO126" s="77"/>
      <c r="LLP126" s="77"/>
      <c r="LLQ126" s="77"/>
      <c r="LLR126" s="77"/>
      <c r="LLS126" s="77"/>
      <c r="LLT126" s="77"/>
      <c r="LLU126" s="77"/>
      <c r="LLV126" s="77"/>
      <c r="LLW126" s="77"/>
      <c r="LLX126" s="77"/>
      <c r="LLY126" s="77"/>
      <c r="LLZ126" s="77"/>
      <c r="LMA126" s="77"/>
      <c r="LMB126" s="77"/>
      <c r="LMC126" s="77"/>
      <c r="LMD126" s="77"/>
      <c r="LME126" s="77"/>
      <c r="LMF126" s="77"/>
      <c r="LMG126" s="77"/>
      <c r="LMH126" s="77"/>
      <c r="LMI126" s="77"/>
      <c r="LMJ126" s="77"/>
      <c r="LMK126" s="77"/>
      <c r="LML126" s="77"/>
      <c r="LMM126" s="77"/>
      <c r="LMN126" s="77"/>
      <c r="LMO126" s="77"/>
      <c r="LMP126" s="77"/>
      <c r="LMQ126" s="77"/>
      <c r="LMR126" s="77"/>
      <c r="LMS126" s="77"/>
      <c r="LMT126" s="77"/>
      <c r="LMU126" s="77"/>
      <c r="LMV126" s="77"/>
      <c r="LMW126" s="77"/>
      <c r="LMX126" s="77"/>
      <c r="LMY126" s="77"/>
      <c r="LMZ126" s="77"/>
      <c r="LNA126" s="77"/>
      <c r="LNB126" s="77"/>
      <c r="LNC126" s="77"/>
      <c r="LND126" s="77"/>
      <c r="LNE126" s="77"/>
      <c r="LNF126" s="77"/>
      <c r="LNG126" s="77"/>
      <c r="LNH126" s="77"/>
      <c r="LNI126" s="77"/>
      <c r="LNJ126" s="77"/>
      <c r="LNK126" s="77"/>
      <c r="LNL126" s="77"/>
      <c r="LNM126" s="77"/>
      <c r="LNN126" s="77"/>
      <c r="LNO126" s="77"/>
      <c r="LNP126" s="77"/>
      <c r="LNQ126" s="77"/>
      <c r="LNR126" s="77"/>
      <c r="LNS126" s="77"/>
      <c r="LNT126" s="77"/>
      <c r="LNU126" s="77"/>
      <c r="LNV126" s="77"/>
      <c r="LNW126" s="77"/>
      <c r="LNX126" s="77"/>
      <c r="LNY126" s="77"/>
      <c r="LNZ126" s="77"/>
      <c r="LOA126" s="77"/>
      <c r="LOB126" s="77"/>
      <c r="LOC126" s="77"/>
      <c r="LOD126" s="77"/>
      <c r="LOE126" s="77"/>
      <c r="LOF126" s="77"/>
      <c r="LOG126" s="77"/>
      <c r="LOH126" s="77"/>
      <c r="LOI126" s="77"/>
      <c r="LOJ126" s="77"/>
      <c r="LOK126" s="77"/>
      <c r="LOL126" s="77"/>
      <c r="LOM126" s="77"/>
      <c r="LON126" s="77"/>
      <c r="LOO126" s="77"/>
      <c r="LOP126" s="77"/>
      <c r="LOQ126" s="77"/>
      <c r="LOR126" s="77"/>
      <c r="LOS126" s="77"/>
      <c r="LOT126" s="77"/>
      <c r="LOU126" s="77"/>
      <c r="LOV126" s="77"/>
      <c r="LOW126" s="77"/>
      <c r="LOX126" s="77"/>
      <c r="LOY126" s="77"/>
      <c r="LOZ126" s="77"/>
      <c r="LPA126" s="77"/>
      <c r="LPB126" s="77"/>
      <c r="LPC126" s="77"/>
      <c r="LPD126" s="77"/>
      <c r="LPE126" s="77"/>
      <c r="LPF126" s="77"/>
      <c r="LPG126" s="77"/>
      <c r="LPH126" s="77"/>
      <c r="LPI126" s="77"/>
      <c r="LPJ126" s="77"/>
      <c r="LPK126" s="77"/>
      <c r="LPL126" s="77"/>
      <c r="LPM126" s="77"/>
      <c r="LPN126" s="77"/>
      <c r="LPO126" s="77"/>
      <c r="LPP126" s="77"/>
      <c r="LPQ126" s="77"/>
      <c r="LPR126" s="77"/>
      <c r="LPS126" s="77"/>
      <c r="LPT126" s="77"/>
      <c r="LPU126" s="77"/>
      <c r="LPV126" s="77"/>
      <c r="LPW126" s="77"/>
      <c r="LPX126" s="77"/>
      <c r="LPY126" s="77"/>
      <c r="LPZ126" s="77"/>
      <c r="LQA126" s="77"/>
      <c r="LQB126" s="77"/>
      <c r="LQC126" s="77"/>
      <c r="LQD126" s="77"/>
      <c r="LQE126" s="77"/>
      <c r="LQF126" s="77"/>
      <c r="LQG126" s="77"/>
      <c r="LQH126" s="77"/>
      <c r="LQI126" s="77"/>
      <c r="LQJ126" s="77"/>
      <c r="LQK126" s="77"/>
      <c r="LQL126" s="77"/>
      <c r="LQM126" s="77"/>
      <c r="LQN126" s="77"/>
      <c r="LQO126" s="77"/>
      <c r="LQP126" s="77"/>
      <c r="LQQ126" s="77"/>
      <c r="LQR126" s="77"/>
      <c r="LQS126" s="77"/>
      <c r="LQT126" s="77"/>
      <c r="LQU126" s="77"/>
      <c r="LQV126" s="77"/>
      <c r="LQW126" s="77"/>
      <c r="LQX126" s="77"/>
      <c r="LQY126" s="77"/>
      <c r="LQZ126" s="77"/>
      <c r="LRA126" s="77"/>
      <c r="LRB126" s="77"/>
      <c r="LRC126" s="77"/>
      <c r="LRD126" s="77"/>
      <c r="LRE126" s="77"/>
      <c r="LRF126" s="77"/>
      <c r="LRG126" s="77"/>
      <c r="LRH126" s="77"/>
      <c r="LRI126" s="77"/>
      <c r="LRJ126" s="77"/>
      <c r="LRK126" s="77"/>
      <c r="LRL126" s="77"/>
      <c r="LRM126" s="77"/>
      <c r="LRN126" s="77"/>
      <c r="LRO126" s="77"/>
      <c r="LRP126" s="77"/>
      <c r="LRQ126" s="77"/>
      <c r="LRR126" s="77"/>
      <c r="LRS126" s="77"/>
      <c r="LRT126" s="77"/>
      <c r="LRU126" s="77"/>
      <c r="LRV126" s="77"/>
      <c r="LRW126" s="77"/>
      <c r="LRX126" s="77"/>
      <c r="LRY126" s="77"/>
      <c r="LRZ126" s="77"/>
      <c r="LSA126" s="77"/>
      <c r="LSB126" s="77"/>
      <c r="LSC126" s="77"/>
      <c r="LSD126" s="77"/>
      <c r="LSE126" s="77"/>
      <c r="LSF126" s="77"/>
      <c r="LSG126" s="77"/>
      <c r="LSH126" s="77"/>
      <c r="LSI126" s="77"/>
      <c r="LSJ126" s="77"/>
      <c r="LSK126" s="77"/>
      <c r="LSL126" s="77"/>
      <c r="LSM126" s="77"/>
      <c r="LSN126" s="77"/>
      <c r="LSO126" s="77"/>
      <c r="LSP126" s="77"/>
      <c r="LSQ126" s="77"/>
      <c r="LSR126" s="77"/>
      <c r="LSS126" s="77"/>
      <c r="LST126" s="77"/>
      <c r="LSU126" s="77"/>
      <c r="LSV126" s="77"/>
      <c r="LSW126" s="77"/>
      <c r="LSX126" s="77"/>
      <c r="LSY126" s="77"/>
      <c r="LSZ126" s="77"/>
      <c r="LTA126" s="77"/>
      <c r="LTB126" s="77"/>
      <c r="LTC126" s="77"/>
      <c r="LTD126" s="77"/>
      <c r="LTE126" s="77"/>
      <c r="LTF126" s="77"/>
      <c r="LTG126" s="77"/>
      <c r="LTH126" s="77"/>
      <c r="LTI126" s="77"/>
      <c r="LTJ126" s="77"/>
      <c r="LTK126" s="77"/>
      <c r="LTL126" s="77"/>
      <c r="LTM126" s="77"/>
      <c r="LTN126" s="77"/>
      <c r="LTO126" s="77"/>
      <c r="LTP126" s="77"/>
      <c r="LTQ126" s="77"/>
      <c r="LTR126" s="77"/>
      <c r="LTS126" s="77"/>
      <c r="LTT126" s="77"/>
      <c r="LTU126" s="77"/>
      <c r="LTV126" s="77"/>
      <c r="LTW126" s="77"/>
      <c r="LTX126" s="77"/>
      <c r="LTY126" s="77"/>
      <c r="LTZ126" s="77"/>
      <c r="LUA126" s="77"/>
      <c r="LUB126" s="77"/>
      <c r="LUC126" s="77"/>
      <c r="LUD126" s="77"/>
      <c r="LUE126" s="77"/>
      <c r="LUF126" s="77"/>
      <c r="LUG126" s="77"/>
      <c r="LUH126" s="77"/>
      <c r="LUI126" s="77"/>
      <c r="LUJ126" s="77"/>
      <c r="LUK126" s="77"/>
      <c r="LUL126" s="77"/>
      <c r="LUM126" s="77"/>
      <c r="LUN126" s="77"/>
      <c r="LUO126" s="77"/>
      <c r="LUP126" s="77"/>
      <c r="LUQ126" s="77"/>
      <c r="LUR126" s="77"/>
      <c r="LUS126" s="77"/>
      <c r="LUT126" s="77"/>
      <c r="LUU126" s="77"/>
      <c r="LUV126" s="77"/>
      <c r="LUW126" s="77"/>
      <c r="LUX126" s="77"/>
      <c r="LUY126" s="77"/>
      <c r="LUZ126" s="77"/>
      <c r="LVA126" s="77"/>
      <c r="LVB126" s="77"/>
      <c r="LVC126" s="77"/>
      <c r="LVD126" s="77"/>
      <c r="LVE126" s="77"/>
      <c r="LVF126" s="77"/>
      <c r="LVG126" s="77"/>
      <c r="LVH126" s="77"/>
      <c r="LVI126" s="77"/>
      <c r="LVJ126" s="77"/>
      <c r="LVK126" s="77"/>
      <c r="LVL126" s="77"/>
      <c r="LVM126" s="77"/>
      <c r="LVN126" s="77"/>
      <c r="LVO126" s="77"/>
      <c r="LVP126" s="77"/>
      <c r="LVQ126" s="77"/>
      <c r="LVR126" s="77"/>
      <c r="LVS126" s="77"/>
      <c r="LVT126" s="77"/>
      <c r="LVU126" s="77"/>
      <c r="LVV126" s="77"/>
      <c r="LVW126" s="77"/>
      <c r="LVX126" s="77"/>
      <c r="LVY126" s="77"/>
      <c r="LVZ126" s="77"/>
      <c r="LWA126" s="77"/>
      <c r="LWB126" s="77"/>
      <c r="LWC126" s="77"/>
      <c r="LWD126" s="77"/>
      <c r="LWE126" s="77"/>
      <c r="LWF126" s="77"/>
      <c r="LWG126" s="77"/>
      <c r="LWH126" s="77"/>
      <c r="LWI126" s="77"/>
      <c r="LWJ126" s="77"/>
      <c r="LWK126" s="77"/>
      <c r="LWL126" s="77"/>
      <c r="LWM126" s="77"/>
      <c r="LWN126" s="77"/>
      <c r="LWO126" s="77"/>
      <c r="LWP126" s="77"/>
      <c r="LWQ126" s="77"/>
      <c r="LWR126" s="77"/>
      <c r="LWS126" s="77"/>
      <c r="LWT126" s="77"/>
      <c r="LWU126" s="77"/>
      <c r="LWV126" s="77"/>
      <c r="LWW126" s="77"/>
      <c r="LWX126" s="77"/>
      <c r="LWY126" s="77"/>
      <c r="LWZ126" s="77"/>
      <c r="LXA126" s="77"/>
      <c r="LXB126" s="77"/>
      <c r="LXC126" s="77"/>
      <c r="LXD126" s="77"/>
      <c r="LXE126" s="77"/>
      <c r="LXF126" s="77"/>
      <c r="LXG126" s="77"/>
      <c r="LXH126" s="77"/>
      <c r="LXI126" s="77"/>
      <c r="LXJ126" s="77"/>
      <c r="LXK126" s="77"/>
      <c r="LXL126" s="77"/>
      <c r="LXM126" s="77"/>
      <c r="LXN126" s="77"/>
      <c r="LXO126" s="77"/>
      <c r="LXP126" s="77"/>
      <c r="LXQ126" s="77"/>
      <c r="LXR126" s="77"/>
      <c r="LXS126" s="77"/>
      <c r="LXT126" s="77"/>
      <c r="LXU126" s="77"/>
      <c r="LXV126" s="77"/>
      <c r="LXW126" s="77"/>
      <c r="LXX126" s="77"/>
      <c r="LXY126" s="77"/>
      <c r="LXZ126" s="77"/>
      <c r="LYA126" s="77"/>
      <c r="LYB126" s="77"/>
      <c r="LYC126" s="77"/>
      <c r="LYD126" s="77"/>
      <c r="LYE126" s="77"/>
      <c r="LYF126" s="77"/>
      <c r="LYG126" s="77"/>
      <c r="LYH126" s="77"/>
      <c r="LYI126" s="77"/>
      <c r="LYJ126" s="77"/>
      <c r="LYK126" s="77"/>
      <c r="LYL126" s="77"/>
      <c r="LYM126" s="77"/>
      <c r="LYN126" s="77"/>
      <c r="LYO126" s="77"/>
      <c r="LYP126" s="77"/>
      <c r="LYQ126" s="77"/>
      <c r="LYR126" s="77"/>
      <c r="LYS126" s="77"/>
      <c r="LYT126" s="77"/>
      <c r="LYU126" s="77"/>
      <c r="LYV126" s="77"/>
      <c r="LYW126" s="77"/>
      <c r="LYX126" s="77"/>
      <c r="LYY126" s="77"/>
      <c r="LYZ126" s="77"/>
      <c r="LZA126" s="77"/>
      <c r="LZB126" s="77"/>
      <c r="LZC126" s="77"/>
      <c r="LZD126" s="77"/>
      <c r="LZE126" s="77"/>
      <c r="LZF126" s="77"/>
      <c r="LZG126" s="77"/>
      <c r="LZH126" s="77"/>
      <c r="LZI126" s="77"/>
      <c r="LZJ126" s="77"/>
      <c r="LZK126" s="77"/>
      <c r="LZL126" s="77"/>
      <c r="LZM126" s="77"/>
      <c r="LZN126" s="77"/>
      <c r="LZO126" s="77"/>
      <c r="LZP126" s="77"/>
      <c r="LZQ126" s="77"/>
      <c r="LZR126" s="77"/>
      <c r="LZS126" s="77"/>
      <c r="LZT126" s="77"/>
      <c r="LZU126" s="77"/>
      <c r="LZV126" s="77"/>
      <c r="LZW126" s="77"/>
      <c r="LZX126" s="77"/>
      <c r="LZY126" s="77"/>
      <c r="LZZ126" s="77"/>
      <c r="MAA126" s="77"/>
      <c r="MAB126" s="77"/>
      <c r="MAC126" s="77"/>
      <c r="MAD126" s="77"/>
      <c r="MAE126" s="77"/>
      <c r="MAF126" s="77"/>
      <c r="MAG126" s="77"/>
      <c r="MAH126" s="77"/>
      <c r="MAI126" s="77"/>
      <c r="MAJ126" s="77"/>
      <c r="MAK126" s="77"/>
      <c r="MAL126" s="77"/>
      <c r="MAM126" s="77"/>
      <c r="MAN126" s="77"/>
      <c r="MAO126" s="77"/>
      <c r="MAP126" s="77"/>
      <c r="MAQ126" s="77"/>
      <c r="MAR126" s="77"/>
      <c r="MAS126" s="77"/>
      <c r="MAT126" s="77"/>
      <c r="MAU126" s="77"/>
      <c r="MAV126" s="77"/>
      <c r="MAW126" s="77"/>
      <c r="MAX126" s="77"/>
      <c r="MAY126" s="77"/>
      <c r="MAZ126" s="77"/>
      <c r="MBA126" s="77"/>
      <c r="MBB126" s="77"/>
      <c r="MBC126" s="77"/>
      <c r="MBD126" s="77"/>
      <c r="MBE126" s="77"/>
      <c r="MBF126" s="77"/>
      <c r="MBG126" s="77"/>
      <c r="MBH126" s="77"/>
      <c r="MBI126" s="77"/>
      <c r="MBJ126" s="77"/>
      <c r="MBK126" s="77"/>
      <c r="MBL126" s="77"/>
      <c r="MBM126" s="77"/>
      <c r="MBN126" s="77"/>
      <c r="MBO126" s="77"/>
      <c r="MBP126" s="77"/>
      <c r="MBQ126" s="77"/>
      <c r="MBR126" s="77"/>
      <c r="MBS126" s="77"/>
      <c r="MBT126" s="77"/>
      <c r="MBU126" s="77"/>
      <c r="MBV126" s="77"/>
      <c r="MBW126" s="77"/>
      <c r="MBX126" s="77"/>
      <c r="MBY126" s="77"/>
      <c r="MBZ126" s="77"/>
      <c r="MCA126" s="77"/>
      <c r="MCB126" s="77"/>
      <c r="MCC126" s="77"/>
      <c r="MCD126" s="77"/>
      <c r="MCE126" s="77"/>
      <c r="MCF126" s="77"/>
      <c r="MCG126" s="77"/>
      <c r="MCH126" s="77"/>
      <c r="MCI126" s="77"/>
      <c r="MCJ126" s="77"/>
      <c r="MCK126" s="77"/>
      <c r="MCL126" s="77"/>
      <c r="MCM126" s="77"/>
      <c r="MCN126" s="77"/>
      <c r="MCO126" s="77"/>
      <c r="MCP126" s="77"/>
      <c r="MCQ126" s="77"/>
      <c r="MCR126" s="77"/>
      <c r="MCS126" s="77"/>
      <c r="MCT126" s="77"/>
      <c r="MCU126" s="77"/>
      <c r="MCV126" s="77"/>
      <c r="MCW126" s="77"/>
      <c r="MCX126" s="77"/>
      <c r="MCY126" s="77"/>
      <c r="MCZ126" s="77"/>
      <c r="MDA126" s="77"/>
      <c r="MDB126" s="77"/>
      <c r="MDC126" s="77"/>
      <c r="MDD126" s="77"/>
      <c r="MDE126" s="77"/>
      <c r="MDF126" s="77"/>
      <c r="MDG126" s="77"/>
      <c r="MDH126" s="77"/>
      <c r="MDI126" s="77"/>
      <c r="MDJ126" s="77"/>
      <c r="MDK126" s="77"/>
      <c r="MDL126" s="77"/>
      <c r="MDM126" s="77"/>
      <c r="MDN126" s="77"/>
      <c r="MDO126" s="77"/>
      <c r="MDP126" s="77"/>
      <c r="MDQ126" s="77"/>
      <c r="MDR126" s="77"/>
      <c r="MDS126" s="77"/>
      <c r="MDT126" s="77"/>
      <c r="MDU126" s="77"/>
      <c r="MDV126" s="77"/>
      <c r="MDW126" s="77"/>
      <c r="MDX126" s="77"/>
      <c r="MDY126" s="77"/>
      <c r="MDZ126" s="77"/>
      <c r="MEA126" s="77"/>
      <c r="MEB126" s="77"/>
      <c r="MEC126" s="77"/>
      <c r="MED126" s="77"/>
      <c r="MEE126" s="77"/>
      <c r="MEF126" s="77"/>
      <c r="MEG126" s="77"/>
      <c r="MEH126" s="77"/>
      <c r="MEI126" s="77"/>
      <c r="MEJ126" s="77"/>
      <c r="MEK126" s="77"/>
      <c r="MEL126" s="77"/>
      <c r="MEM126" s="77"/>
      <c r="MEN126" s="77"/>
      <c r="MEO126" s="77"/>
      <c r="MEP126" s="77"/>
      <c r="MEQ126" s="77"/>
      <c r="MER126" s="77"/>
      <c r="MES126" s="77"/>
      <c r="MET126" s="77"/>
      <c r="MEU126" s="77"/>
      <c r="MEV126" s="77"/>
      <c r="MEW126" s="77"/>
      <c r="MEX126" s="77"/>
      <c r="MEY126" s="77"/>
      <c r="MEZ126" s="77"/>
      <c r="MFA126" s="77"/>
      <c r="MFB126" s="77"/>
      <c r="MFC126" s="77"/>
      <c r="MFD126" s="77"/>
      <c r="MFE126" s="77"/>
      <c r="MFF126" s="77"/>
      <c r="MFG126" s="77"/>
      <c r="MFH126" s="77"/>
      <c r="MFI126" s="77"/>
      <c r="MFJ126" s="77"/>
      <c r="MFK126" s="77"/>
      <c r="MFL126" s="77"/>
      <c r="MFM126" s="77"/>
      <c r="MFN126" s="77"/>
      <c r="MFO126" s="77"/>
      <c r="MFP126" s="77"/>
      <c r="MFQ126" s="77"/>
      <c r="MFR126" s="77"/>
      <c r="MFS126" s="77"/>
      <c r="MFT126" s="77"/>
      <c r="MFU126" s="77"/>
      <c r="MFV126" s="77"/>
      <c r="MFW126" s="77"/>
      <c r="MFX126" s="77"/>
      <c r="MFY126" s="77"/>
      <c r="MFZ126" s="77"/>
      <c r="MGA126" s="77"/>
      <c r="MGB126" s="77"/>
      <c r="MGC126" s="77"/>
      <c r="MGD126" s="77"/>
      <c r="MGE126" s="77"/>
      <c r="MGF126" s="77"/>
      <c r="MGG126" s="77"/>
      <c r="MGH126" s="77"/>
      <c r="MGI126" s="77"/>
      <c r="MGJ126" s="77"/>
      <c r="MGK126" s="77"/>
      <c r="MGL126" s="77"/>
      <c r="MGM126" s="77"/>
      <c r="MGN126" s="77"/>
      <c r="MGO126" s="77"/>
      <c r="MGP126" s="77"/>
      <c r="MGQ126" s="77"/>
      <c r="MGR126" s="77"/>
      <c r="MGS126" s="77"/>
      <c r="MGT126" s="77"/>
      <c r="MGU126" s="77"/>
      <c r="MGV126" s="77"/>
      <c r="MGW126" s="77"/>
      <c r="MGX126" s="77"/>
      <c r="MGY126" s="77"/>
      <c r="MGZ126" s="77"/>
      <c r="MHA126" s="77"/>
      <c r="MHB126" s="77"/>
      <c r="MHC126" s="77"/>
      <c r="MHD126" s="77"/>
      <c r="MHE126" s="77"/>
      <c r="MHF126" s="77"/>
      <c r="MHG126" s="77"/>
      <c r="MHH126" s="77"/>
      <c r="MHI126" s="77"/>
      <c r="MHJ126" s="77"/>
      <c r="MHK126" s="77"/>
      <c r="MHL126" s="77"/>
      <c r="MHM126" s="77"/>
      <c r="MHN126" s="77"/>
      <c r="MHO126" s="77"/>
      <c r="MHP126" s="77"/>
      <c r="MHQ126" s="77"/>
      <c r="MHR126" s="77"/>
      <c r="MHS126" s="77"/>
      <c r="MHT126" s="77"/>
      <c r="MHU126" s="77"/>
      <c r="MHV126" s="77"/>
      <c r="MHW126" s="77"/>
      <c r="MHX126" s="77"/>
      <c r="MHY126" s="77"/>
      <c r="MHZ126" s="77"/>
      <c r="MIA126" s="77"/>
      <c r="MIB126" s="77"/>
      <c r="MIC126" s="77"/>
      <c r="MID126" s="77"/>
      <c r="MIE126" s="77"/>
      <c r="MIF126" s="77"/>
      <c r="MIG126" s="77"/>
      <c r="MIH126" s="77"/>
      <c r="MII126" s="77"/>
      <c r="MIJ126" s="77"/>
      <c r="MIK126" s="77"/>
      <c r="MIL126" s="77"/>
      <c r="MIM126" s="77"/>
      <c r="MIN126" s="77"/>
      <c r="MIO126" s="77"/>
      <c r="MIP126" s="77"/>
      <c r="MIQ126" s="77"/>
      <c r="MIR126" s="77"/>
      <c r="MIS126" s="77"/>
      <c r="MIT126" s="77"/>
      <c r="MIU126" s="77"/>
      <c r="MIV126" s="77"/>
      <c r="MIW126" s="77"/>
      <c r="MIX126" s="77"/>
      <c r="MIY126" s="77"/>
      <c r="MIZ126" s="77"/>
      <c r="MJA126" s="77"/>
      <c r="MJB126" s="77"/>
      <c r="MJC126" s="77"/>
      <c r="MJD126" s="77"/>
      <c r="MJE126" s="77"/>
      <c r="MJF126" s="77"/>
      <c r="MJG126" s="77"/>
      <c r="MJH126" s="77"/>
      <c r="MJI126" s="77"/>
      <c r="MJJ126" s="77"/>
      <c r="MJK126" s="77"/>
      <c r="MJL126" s="77"/>
      <c r="MJM126" s="77"/>
      <c r="MJN126" s="77"/>
      <c r="MJO126" s="77"/>
      <c r="MJP126" s="77"/>
      <c r="MJQ126" s="77"/>
      <c r="MJR126" s="77"/>
      <c r="MJS126" s="77"/>
      <c r="MJT126" s="77"/>
      <c r="MJU126" s="77"/>
      <c r="MJV126" s="77"/>
      <c r="MJW126" s="77"/>
      <c r="MJX126" s="77"/>
      <c r="MJY126" s="77"/>
      <c r="MJZ126" s="77"/>
      <c r="MKA126" s="77"/>
      <c r="MKB126" s="77"/>
      <c r="MKC126" s="77"/>
      <c r="MKD126" s="77"/>
      <c r="MKE126" s="77"/>
      <c r="MKF126" s="77"/>
      <c r="MKG126" s="77"/>
      <c r="MKH126" s="77"/>
      <c r="MKI126" s="77"/>
      <c r="MKJ126" s="77"/>
      <c r="MKK126" s="77"/>
      <c r="MKL126" s="77"/>
      <c r="MKM126" s="77"/>
      <c r="MKN126" s="77"/>
      <c r="MKO126" s="77"/>
      <c r="MKP126" s="77"/>
      <c r="MKQ126" s="77"/>
      <c r="MKR126" s="77"/>
      <c r="MKS126" s="77"/>
      <c r="MKT126" s="77"/>
      <c r="MKU126" s="77"/>
      <c r="MKV126" s="77"/>
      <c r="MKW126" s="77"/>
      <c r="MKX126" s="77"/>
      <c r="MKY126" s="77"/>
      <c r="MKZ126" s="77"/>
      <c r="MLA126" s="77"/>
      <c r="MLB126" s="77"/>
      <c r="MLC126" s="77"/>
      <c r="MLD126" s="77"/>
      <c r="MLE126" s="77"/>
      <c r="MLF126" s="77"/>
      <c r="MLG126" s="77"/>
      <c r="MLH126" s="77"/>
      <c r="MLI126" s="77"/>
      <c r="MLJ126" s="77"/>
      <c r="MLK126" s="77"/>
      <c r="MLL126" s="77"/>
      <c r="MLM126" s="77"/>
      <c r="MLN126" s="77"/>
      <c r="MLO126" s="77"/>
      <c r="MLP126" s="77"/>
      <c r="MLQ126" s="77"/>
      <c r="MLR126" s="77"/>
      <c r="MLS126" s="77"/>
      <c r="MLT126" s="77"/>
      <c r="MLU126" s="77"/>
      <c r="MLV126" s="77"/>
      <c r="MLW126" s="77"/>
      <c r="MLX126" s="77"/>
      <c r="MLY126" s="77"/>
      <c r="MLZ126" s="77"/>
      <c r="MMA126" s="77"/>
      <c r="MMB126" s="77"/>
      <c r="MMC126" s="77"/>
      <c r="MMD126" s="77"/>
      <c r="MME126" s="77"/>
      <c r="MMF126" s="77"/>
      <c r="MMG126" s="77"/>
      <c r="MMH126" s="77"/>
      <c r="MMI126" s="77"/>
      <c r="MMJ126" s="77"/>
      <c r="MMK126" s="77"/>
      <c r="MML126" s="77"/>
      <c r="MMM126" s="77"/>
      <c r="MMN126" s="77"/>
      <c r="MMO126" s="77"/>
      <c r="MMP126" s="77"/>
      <c r="MMQ126" s="77"/>
      <c r="MMR126" s="77"/>
      <c r="MMS126" s="77"/>
      <c r="MMT126" s="77"/>
      <c r="MMU126" s="77"/>
      <c r="MMV126" s="77"/>
      <c r="MMW126" s="77"/>
      <c r="MMX126" s="77"/>
      <c r="MMY126" s="77"/>
      <c r="MMZ126" s="77"/>
      <c r="MNA126" s="77"/>
      <c r="MNB126" s="77"/>
      <c r="MNC126" s="77"/>
      <c r="MND126" s="77"/>
      <c r="MNE126" s="77"/>
      <c r="MNF126" s="77"/>
      <c r="MNG126" s="77"/>
      <c r="MNH126" s="77"/>
      <c r="MNI126" s="77"/>
      <c r="MNJ126" s="77"/>
      <c r="MNK126" s="77"/>
      <c r="MNL126" s="77"/>
      <c r="MNM126" s="77"/>
      <c r="MNN126" s="77"/>
      <c r="MNO126" s="77"/>
      <c r="MNP126" s="77"/>
      <c r="MNQ126" s="77"/>
      <c r="MNR126" s="77"/>
      <c r="MNS126" s="77"/>
      <c r="MNT126" s="77"/>
      <c r="MNU126" s="77"/>
      <c r="MNV126" s="77"/>
      <c r="MNW126" s="77"/>
      <c r="MNX126" s="77"/>
      <c r="MNY126" s="77"/>
      <c r="MNZ126" s="77"/>
      <c r="MOA126" s="77"/>
      <c r="MOB126" s="77"/>
      <c r="MOC126" s="77"/>
      <c r="MOD126" s="77"/>
      <c r="MOE126" s="77"/>
      <c r="MOF126" s="77"/>
      <c r="MOG126" s="77"/>
      <c r="MOH126" s="77"/>
      <c r="MOI126" s="77"/>
      <c r="MOJ126" s="77"/>
      <c r="MOK126" s="77"/>
      <c r="MOL126" s="77"/>
      <c r="MOM126" s="77"/>
      <c r="MON126" s="77"/>
      <c r="MOO126" s="77"/>
      <c r="MOP126" s="77"/>
      <c r="MOQ126" s="77"/>
      <c r="MOR126" s="77"/>
      <c r="MOS126" s="77"/>
      <c r="MOT126" s="77"/>
      <c r="MOU126" s="77"/>
      <c r="MOV126" s="77"/>
      <c r="MOW126" s="77"/>
      <c r="MOX126" s="77"/>
      <c r="MOY126" s="77"/>
      <c r="MOZ126" s="77"/>
      <c r="MPA126" s="77"/>
      <c r="MPB126" s="77"/>
      <c r="MPC126" s="77"/>
      <c r="MPD126" s="77"/>
      <c r="MPE126" s="77"/>
      <c r="MPF126" s="77"/>
      <c r="MPG126" s="77"/>
      <c r="MPH126" s="77"/>
      <c r="MPI126" s="77"/>
      <c r="MPJ126" s="77"/>
      <c r="MPK126" s="77"/>
      <c r="MPL126" s="77"/>
      <c r="MPM126" s="77"/>
      <c r="MPN126" s="77"/>
      <c r="MPO126" s="77"/>
      <c r="MPP126" s="77"/>
      <c r="MPQ126" s="77"/>
      <c r="MPR126" s="77"/>
      <c r="MPS126" s="77"/>
      <c r="MPT126" s="77"/>
      <c r="MPU126" s="77"/>
      <c r="MPV126" s="77"/>
      <c r="MPW126" s="77"/>
      <c r="MPX126" s="77"/>
      <c r="MPY126" s="77"/>
      <c r="MPZ126" s="77"/>
      <c r="MQA126" s="77"/>
      <c r="MQB126" s="77"/>
      <c r="MQC126" s="77"/>
      <c r="MQD126" s="77"/>
      <c r="MQE126" s="77"/>
      <c r="MQF126" s="77"/>
      <c r="MQG126" s="77"/>
      <c r="MQH126" s="77"/>
      <c r="MQI126" s="77"/>
      <c r="MQJ126" s="77"/>
      <c r="MQK126" s="77"/>
      <c r="MQL126" s="77"/>
      <c r="MQM126" s="77"/>
      <c r="MQN126" s="77"/>
      <c r="MQO126" s="77"/>
      <c r="MQP126" s="77"/>
      <c r="MQQ126" s="77"/>
      <c r="MQR126" s="77"/>
      <c r="MQS126" s="77"/>
      <c r="MQT126" s="77"/>
      <c r="MQU126" s="77"/>
      <c r="MQV126" s="77"/>
      <c r="MQW126" s="77"/>
      <c r="MQX126" s="77"/>
      <c r="MQY126" s="77"/>
      <c r="MQZ126" s="77"/>
      <c r="MRA126" s="77"/>
      <c r="MRB126" s="77"/>
      <c r="MRC126" s="77"/>
      <c r="MRD126" s="77"/>
      <c r="MRE126" s="77"/>
      <c r="MRF126" s="77"/>
      <c r="MRG126" s="77"/>
      <c r="MRH126" s="77"/>
      <c r="MRI126" s="77"/>
      <c r="MRJ126" s="77"/>
      <c r="MRK126" s="77"/>
      <c r="MRL126" s="77"/>
      <c r="MRM126" s="77"/>
      <c r="MRN126" s="77"/>
      <c r="MRO126" s="77"/>
      <c r="MRP126" s="77"/>
      <c r="MRQ126" s="77"/>
      <c r="MRR126" s="77"/>
      <c r="MRS126" s="77"/>
      <c r="MRT126" s="77"/>
      <c r="MRU126" s="77"/>
      <c r="MRV126" s="77"/>
      <c r="MRW126" s="77"/>
      <c r="MRX126" s="77"/>
      <c r="MRY126" s="77"/>
      <c r="MRZ126" s="77"/>
      <c r="MSA126" s="77"/>
      <c r="MSB126" s="77"/>
      <c r="MSC126" s="77"/>
      <c r="MSD126" s="77"/>
      <c r="MSE126" s="77"/>
      <c r="MSF126" s="77"/>
      <c r="MSG126" s="77"/>
      <c r="MSH126" s="77"/>
      <c r="MSI126" s="77"/>
      <c r="MSJ126" s="77"/>
      <c r="MSK126" s="77"/>
      <c r="MSL126" s="77"/>
      <c r="MSM126" s="77"/>
      <c r="MSN126" s="77"/>
      <c r="MSO126" s="77"/>
      <c r="MSP126" s="77"/>
      <c r="MSQ126" s="77"/>
      <c r="MSR126" s="77"/>
      <c r="MSS126" s="77"/>
      <c r="MST126" s="77"/>
      <c r="MSU126" s="77"/>
      <c r="MSV126" s="77"/>
      <c r="MSW126" s="77"/>
      <c r="MSX126" s="77"/>
      <c r="MSY126" s="77"/>
      <c r="MSZ126" s="77"/>
      <c r="MTA126" s="77"/>
      <c r="MTB126" s="77"/>
      <c r="MTC126" s="77"/>
      <c r="MTD126" s="77"/>
      <c r="MTE126" s="77"/>
      <c r="MTF126" s="77"/>
      <c r="MTG126" s="77"/>
      <c r="MTH126" s="77"/>
      <c r="MTI126" s="77"/>
      <c r="MTJ126" s="77"/>
      <c r="MTK126" s="77"/>
      <c r="MTL126" s="77"/>
      <c r="MTM126" s="77"/>
      <c r="MTN126" s="77"/>
      <c r="MTO126" s="77"/>
      <c r="MTP126" s="77"/>
      <c r="MTQ126" s="77"/>
      <c r="MTR126" s="77"/>
      <c r="MTS126" s="77"/>
      <c r="MTT126" s="77"/>
      <c r="MTU126" s="77"/>
      <c r="MTV126" s="77"/>
      <c r="MTW126" s="77"/>
      <c r="MTX126" s="77"/>
      <c r="MTY126" s="77"/>
      <c r="MTZ126" s="77"/>
      <c r="MUA126" s="77"/>
      <c r="MUB126" s="77"/>
      <c r="MUC126" s="77"/>
      <c r="MUD126" s="77"/>
      <c r="MUE126" s="77"/>
      <c r="MUF126" s="77"/>
      <c r="MUG126" s="77"/>
      <c r="MUH126" s="77"/>
      <c r="MUI126" s="77"/>
      <c r="MUJ126" s="77"/>
      <c r="MUK126" s="77"/>
      <c r="MUL126" s="77"/>
      <c r="MUM126" s="77"/>
      <c r="MUN126" s="77"/>
      <c r="MUO126" s="77"/>
      <c r="MUP126" s="77"/>
      <c r="MUQ126" s="77"/>
      <c r="MUR126" s="77"/>
      <c r="MUS126" s="77"/>
      <c r="MUT126" s="77"/>
      <c r="MUU126" s="77"/>
      <c r="MUV126" s="77"/>
      <c r="MUW126" s="77"/>
      <c r="MUX126" s="77"/>
      <c r="MUY126" s="77"/>
      <c r="MUZ126" s="77"/>
      <c r="MVA126" s="77"/>
      <c r="MVB126" s="77"/>
      <c r="MVC126" s="77"/>
      <c r="MVD126" s="77"/>
      <c r="MVE126" s="77"/>
      <c r="MVF126" s="77"/>
      <c r="MVG126" s="77"/>
      <c r="MVH126" s="77"/>
      <c r="MVI126" s="77"/>
      <c r="MVJ126" s="77"/>
      <c r="MVK126" s="77"/>
      <c r="MVL126" s="77"/>
      <c r="MVM126" s="77"/>
      <c r="MVN126" s="77"/>
      <c r="MVO126" s="77"/>
      <c r="MVP126" s="77"/>
      <c r="MVQ126" s="77"/>
      <c r="MVR126" s="77"/>
      <c r="MVS126" s="77"/>
      <c r="MVT126" s="77"/>
      <c r="MVU126" s="77"/>
      <c r="MVV126" s="77"/>
      <c r="MVW126" s="77"/>
      <c r="MVX126" s="77"/>
      <c r="MVY126" s="77"/>
      <c r="MVZ126" s="77"/>
      <c r="MWA126" s="77"/>
      <c r="MWB126" s="77"/>
      <c r="MWC126" s="77"/>
      <c r="MWD126" s="77"/>
      <c r="MWE126" s="77"/>
      <c r="MWF126" s="77"/>
      <c r="MWG126" s="77"/>
      <c r="MWH126" s="77"/>
      <c r="MWI126" s="77"/>
      <c r="MWJ126" s="77"/>
      <c r="MWK126" s="77"/>
      <c r="MWL126" s="77"/>
      <c r="MWM126" s="77"/>
      <c r="MWN126" s="77"/>
      <c r="MWO126" s="77"/>
      <c r="MWP126" s="77"/>
      <c r="MWQ126" s="77"/>
      <c r="MWR126" s="77"/>
      <c r="MWS126" s="77"/>
      <c r="MWT126" s="77"/>
      <c r="MWU126" s="77"/>
      <c r="MWV126" s="77"/>
      <c r="MWW126" s="77"/>
      <c r="MWX126" s="77"/>
      <c r="MWY126" s="77"/>
      <c r="MWZ126" s="77"/>
      <c r="MXA126" s="77"/>
      <c r="MXB126" s="77"/>
      <c r="MXC126" s="77"/>
      <c r="MXD126" s="77"/>
      <c r="MXE126" s="77"/>
      <c r="MXF126" s="77"/>
      <c r="MXG126" s="77"/>
      <c r="MXH126" s="77"/>
      <c r="MXI126" s="77"/>
      <c r="MXJ126" s="77"/>
      <c r="MXK126" s="77"/>
      <c r="MXL126" s="77"/>
      <c r="MXM126" s="77"/>
      <c r="MXN126" s="77"/>
      <c r="MXO126" s="77"/>
      <c r="MXP126" s="77"/>
      <c r="MXQ126" s="77"/>
      <c r="MXR126" s="77"/>
      <c r="MXS126" s="77"/>
      <c r="MXT126" s="77"/>
      <c r="MXU126" s="77"/>
      <c r="MXV126" s="77"/>
      <c r="MXW126" s="77"/>
      <c r="MXX126" s="77"/>
      <c r="MXY126" s="77"/>
      <c r="MXZ126" s="77"/>
      <c r="MYA126" s="77"/>
      <c r="MYB126" s="77"/>
      <c r="MYC126" s="77"/>
      <c r="MYD126" s="77"/>
      <c r="MYE126" s="77"/>
      <c r="MYF126" s="77"/>
      <c r="MYG126" s="77"/>
      <c r="MYH126" s="77"/>
      <c r="MYI126" s="77"/>
      <c r="MYJ126" s="77"/>
      <c r="MYK126" s="77"/>
      <c r="MYL126" s="77"/>
      <c r="MYM126" s="77"/>
      <c r="MYN126" s="77"/>
      <c r="MYO126" s="77"/>
      <c r="MYP126" s="77"/>
      <c r="MYQ126" s="77"/>
      <c r="MYR126" s="77"/>
      <c r="MYS126" s="77"/>
      <c r="MYT126" s="77"/>
      <c r="MYU126" s="77"/>
      <c r="MYV126" s="77"/>
      <c r="MYW126" s="77"/>
      <c r="MYX126" s="77"/>
      <c r="MYY126" s="77"/>
      <c r="MYZ126" s="77"/>
      <c r="MZA126" s="77"/>
      <c r="MZB126" s="77"/>
      <c r="MZC126" s="77"/>
      <c r="MZD126" s="77"/>
      <c r="MZE126" s="77"/>
      <c r="MZF126" s="77"/>
      <c r="MZG126" s="77"/>
      <c r="MZH126" s="77"/>
      <c r="MZI126" s="77"/>
      <c r="MZJ126" s="77"/>
      <c r="MZK126" s="77"/>
      <c r="MZL126" s="77"/>
      <c r="MZM126" s="77"/>
      <c r="MZN126" s="77"/>
      <c r="MZO126" s="77"/>
      <c r="MZP126" s="77"/>
      <c r="MZQ126" s="77"/>
      <c r="MZR126" s="77"/>
      <c r="MZS126" s="77"/>
      <c r="MZT126" s="77"/>
      <c r="MZU126" s="77"/>
      <c r="MZV126" s="77"/>
      <c r="MZW126" s="77"/>
      <c r="MZX126" s="77"/>
      <c r="MZY126" s="77"/>
      <c r="MZZ126" s="77"/>
      <c r="NAA126" s="77"/>
      <c r="NAB126" s="77"/>
      <c r="NAC126" s="77"/>
      <c r="NAD126" s="77"/>
      <c r="NAE126" s="77"/>
      <c r="NAF126" s="77"/>
      <c r="NAG126" s="77"/>
      <c r="NAH126" s="77"/>
      <c r="NAI126" s="77"/>
      <c r="NAJ126" s="77"/>
      <c r="NAK126" s="77"/>
      <c r="NAL126" s="77"/>
      <c r="NAM126" s="77"/>
      <c r="NAN126" s="77"/>
      <c r="NAO126" s="77"/>
      <c r="NAP126" s="77"/>
      <c r="NAQ126" s="77"/>
      <c r="NAR126" s="77"/>
      <c r="NAS126" s="77"/>
      <c r="NAT126" s="77"/>
      <c r="NAU126" s="77"/>
      <c r="NAV126" s="77"/>
      <c r="NAW126" s="77"/>
      <c r="NAX126" s="77"/>
      <c r="NAY126" s="77"/>
      <c r="NAZ126" s="77"/>
      <c r="NBA126" s="77"/>
      <c r="NBB126" s="77"/>
      <c r="NBC126" s="77"/>
      <c r="NBD126" s="77"/>
      <c r="NBE126" s="77"/>
      <c r="NBF126" s="77"/>
      <c r="NBG126" s="77"/>
      <c r="NBH126" s="77"/>
      <c r="NBI126" s="77"/>
      <c r="NBJ126" s="77"/>
      <c r="NBK126" s="77"/>
      <c r="NBL126" s="77"/>
      <c r="NBM126" s="77"/>
      <c r="NBN126" s="77"/>
      <c r="NBO126" s="77"/>
      <c r="NBP126" s="77"/>
      <c r="NBQ126" s="77"/>
      <c r="NBR126" s="77"/>
      <c r="NBS126" s="77"/>
      <c r="NBT126" s="77"/>
      <c r="NBU126" s="77"/>
      <c r="NBV126" s="77"/>
      <c r="NBW126" s="77"/>
      <c r="NBX126" s="77"/>
      <c r="NBY126" s="77"/>
      <c r="NBZ126" s="77"/>
      <c r="NCA126" s="77"/>
      <c r="NCB126" s="77"/>
      <c r="NCC126" s="77"/>
      <c r="NCD126" s="77"/>
      <c r="NCE126" s="77"/>
      <c r="NCF126" s="77"/>
      <c r="NCG126" s="77"/>
      <c r="NCH126" s="77"/>
      <c r="NCI126" s="77"/>
      <c r="NCJ126" s="77"/>
      <c r="NCK126" s="77"/>
      <c r="NCL126" s="77"/>
      <c r="NCM126" s="77"/>
      <c r="NCN126" s="77"/>
      <c r="NCO126" s="77"/>
      <c r="NCP126" s="77"/>
      <c r="NCQ126" s="77"/>
      <c r="NCR126" s="77"/>
      <c r="NCS126" s="77"/>
      <c r="NCT126" s="77"/>
      <c r="NCU126" s="77"/>
      <c r="NCV126" s="77"/>
      <c r="NCW126" s="77"/>
      <c r="NCX126" s="77"/>
      <c r="NCY126" s="77"/>
      <c r="NCZ126" s="77"/>
      <c r="NDA126" s="77"/>
      <c r="NDB126" s="77"/>
      <c r="NDC126" s="77"/>
      <c r="NDD126" s="77"/>
      <c r="NDE126" s="77"/>
      <c r="NDF126" s="77"/>
      <c r="NDG126" s="77"/>
      <c r="NDH126" s="77"/>
      <c r="NDI126" s="77"/>
      <c r="NDJ126" s="77"/>
      <c r="NDK126" s="77"/>
      <c r="NDL126" s="77"/>
      <c r="NDM126" s="77"/>
      <c r="NDN126" s="77"/>
      <c r="NDO126" s="77"/>
      <c r="NDP126" s="77"/>
      <c r="NDQ126" s="77"/>
      <c r="NDR126" s="77"/>
      <c r="NDS126" s="77"/>
      <c r="NDT126" s="77"/>
      <c r="NDU126" s="77"/>
      <c r="NDV126" s="77"/>
      <c r="NDW126" s="77"/>
      <c r="NDX126" s="77"/>
      <c r="NDY126" s="77"/>
      <c r="NDZ126" s="77"/>
      <c r="NEA126" s="77"/>
      <c r="NEB126" s="77"/>
      <c r="NEC126" s="77"/>
      <c r="NED126" s="77"/>
      <c r="NEE126" s="77"/>
      <c r="NEF126" s="77"/>
      <c r="NEG126" s="77"/>
      <c r="NEH126" s="77"/>
      <c r="NEI126" s="77"/>
      <c r="NEJ126" s="77"/>
      <c r="NEK126" s="77"/>
      <c r="NEL126" s="77"/>
      <c r="NEM126" s="77"/>
      <c r="NEN126" s="77"/>
      <c r="NEO126" s="77"/>
      <c r="NEP126" s="77"/>
      <c r="NEQ126" s="77"/>
      <c r="NER126" s="77"/>
      <c r="NES126" s="77"/>
      <c r="NET126" s="77"/>
      <c r="NEU126" s="77"/>
      <c r="NEV126" s="77"/>
      <c r="NEW126" s="77"/>
      <c r="NEX126" s="77"/>
      <c r="NEY126" s="77"/>
      <c r="NEZ126" s="77"/>
      <c r="NFA126" s="77"/>
      <c r="NFB126" s="77"/>
      <c r="NFC126" s="77"/>
      <c r="NFD126" s="77"/>
      <c r="NFE126" s="77"/>
      <c r="NFF126" s="77"/>
      <c r="NFG126" s="77"/>
      <c r="NFH126" s="77"/>
      <c r="NFI126" s="77"/>
      <c r="NFJ126" s="77"/>
      <c r="NFK126" s="77"/>
      <c r="NFL126" s="77"/>
      <c r="NFM126" s="77"/>
      <c r="NFN126" s="77"/>
      <c r="NFO126" s="77"/>
      <c r="NFP126" s="77"/>
      <c r="NFQ126" s="77"/>
      <c r="NFR126" s="77"/>
      <c r="NFS126" s="77"/>
      <c r="NFT126" s="77"/>
      <c r="NFU126" s="77"/>
      <c r="NFV126" s="77"/>
      <c r="NFW126" s="77"/>
      <c r="NFX126" s="77"/>
      <c r="NFY126" s="77"/>
      <c r="NFZ126" s="77"/>
      <c r="NGA126" s="77"/>
      <c r="NGB126" s="77"/>
      <c r="NGC126" s="77"/>
      <c r="NGD126" s="77"/>
      <c r="NGE126" s="77"/>
      <c r="NGF126" s="77"/>
      <c r="NGG126" s="77"/>
      <c r="NGH126" s="77"/>
      <c r="NGI126" s="77"/>
      <c r="NGJ126" s="77"/>
      <c r="NGK126" s="77"/>
      <c r="NGL126" s="77"/>
      <c r="NGM126" s="77"/>
      <c r="NGN126" s="77"/>
      <c r="NGO126" s="77"/>
      <c r="NGP126" s="77"/>
      <c r="NGQ126" s="77"/>
      <c r="NGR126" s="77"/>
      <c r="NGS126" s="77"/>
      <c r="NGT126" s="77"/>
      <c r="NGU126" s="77"/>
      <c r="NGV126" s="77"/>
      <c r="NGW126" s="77"/>
      <c r="NGX126" s="77"/>
      <c r="NGY126" s="77"/>
      <c r="NGZ126" s="77"/>
      <c r="NHA126" s="77"/>
      <c r="NHB126" s="77"/>
      <c r="NHC126" s="77"/>
      <c r="NHD126" s="77"/>
      <c r="NHE126" s="77"/>
      <c r="NHF126" s="77"/>
      <c r="NHG126" s="77"/>
      <c r="NHH126" s="77"/>
      <c r="NHI126" s="77"/>
      <c r="NHJ126" s="77"/>
      <c r="NHK126" s="77"/>
      <c r="NHL126" s="77"/>
      <c r="NHM126" s="77"/>
      <c r="NHN126" s="77"/>
      <c r="NHO126" s="77"/>
      <c r="NHP126" s="77"/>
      <c r="NHQ126" s="77"/>
      <c r="NHR126" s="77"/>
      <c r="NHS126" s="77"/>
      <c r="NHT126" s="77"/>
      <c r="NHU126" s="77"/>
      <c r="NHV126" s="77"/>
      <c r="NHW126" s="77"/>
      <c r="NHX126" s="77"/>
      <c r="NHY126" s="77"/>
      <c r="NHZ126" s="77"/>
      <c r="NIA126" s="77"/>
      <c r="NIB126" s="77"/>
      <c r="NIC126" s="77"/>
      <c r="NID126" s="77"/>
      <c r="NIE126" s="77"/>
      <c r="NIF126" s="77"/>
      <c r="NIG126" s="77"/>
      <c r="NIH126" s="77"/>
      <c r="NII126" s="77"/>
      <c r="NIJ126" s="77"/>
      <c r="NIK126" s="77"/>
      <c r="NIL126" s="77"/>
      <c r="NIM126" s="77"/>
      <c r="NIN126" s="77"/>
      <c r="NIO126" s="77"/>
      <c r="NIP126" s="77"/>
      <c r="NIQ126" s="77"/>
      <c r="NIR126" s="77"/>
      <c r="NIS126" s="77"/>
      <c r="NIT126" s="77"/>
      <c r="NIU126" s="77"/>
      <c r="NIV126" s="77"/>
      <c r="NIW126" s="77"/>
      <c r="NIX126" s="77"/>
      <c r="NIY126" s="77"/>
      <c r="NIZ126" s="77"/>
      <c r="NJA126" s="77"/>
      <c r="NJB126" s="77"/>
      <c r="NJC126" s="77"/>
      <c r="NJD126" s="77"/>
      <c r="NJE126" s="77"/>
      <c r="NJF126" s="77"/>
      <c r="NJG126" s="77"/>
      <c r="NJH126" s="77"/>
      <c r="NJI126" s="77"/>
      <c r="NJJ126" s="77"/>
      <c r="NJK126" s="77"/>
      <c r="NJL126" s="77"/>
      <c r="NJM126" s="77"/>
      <c r="NJN126" s="77"/>
      <c r="NJO126" s="77"/>
      <c r="NJP126" s="77"/>
      <c r="NJQ126" s="77"/>
      <c r="NJR126" s="77"/>
      <c r="NJS126" s="77"/>
      <c r="NJT126" s="77"/>
      <c r="NJU126" s="77"/>
      <c r="NJV126" s="77"/>
      <c r="NJW126" s="77"/>
      <c r="NJX126" s="77"/>
      <c r="NJY126" s="77"/>
      <c r="NJZ126" s="77"/>
      <c r="NKA126" s="77"/>
      <c r="NKB126" s="77"/>
      <c r="NKC126" s="77"/>
      <c r="NKD126" s="77"/>
      <c r="NKE126" s="77"/>
      <c r="NKF126" s="77"/>
      <c r="NKG126" s="77"/>
      <c r="NKH126" s="77"/>
      <c r="NKI126" s="77"/>
      <c r="NKJ126" s="77"/>
      <c r="NKK126" s="77"/>
      <c r="NKL126" s="77"/>
      <c r="NKM126" s="77"/>
      <c r="NKN126" s="77"/>
      <c r="NKO126" s="77"/>
      <c r="NKP126" s="77"/>
      <c r="NKQ126" s="77"/>
      <c r="NKR126" s="77"/>
      <c r="NKS126" s="77"/>
      <c r="NKT126" s="77"/>
      <c r="NKU126" s="77"/>
      <c r="NKV126" s="77"/>
      <c r="NKW126" s="77"/>
      <c r="NKX126" s="77"/>
      <c r="NKY126" s="77"/>
      <c r="NKZ126" s="77"/>
      <c r="NLA126" s="77"/>
      <c r="NLB126" s="77"/>
      <c r="NLC126" s="77"/>
      <c r="NLD126" s="77"/>
      <c r="NLE126" s="77"/>
      <c r="NLF126" s="77"/>
      <c r="NLG126" s="77"/>
      <c r="NLH126" s="77"/>
      <c r="NLI126" s="77"/>
      <c r="NLJ126" s="77"/>
      <c r="NLK126" s="77"/>
      <c r="NLL126" s="77"/>
      <c r="NLM126" s="77"/>
      <c r="NLN126" s="77"/>
      <c r="NLO126" s="77"/>
      <c r="NLP126" s="77"/>
      <c r="NLQ126" s="77"/>
      <c r="NLR126" s="77"/>
      <c r="NLS126" s="77"/>
      <c r="NLT126" s="77"/>
      <c r="NLU126" s="77"/>
      <c r="NLV126" s="77"/>
      <c r="NLW126" s="77"/>
      <c r="NLX126" s="77"/>
      <c r="NLY126" s="77"/>
      <c r="NLZ126" s="77"/>
      <c r="NMA126" s="77"/>
      <c r="NMB126" s="77"/>
      <c r="NMC126" s="77"/>
      <c r="NMD126" s="77"/>
      <c r="NME126" s="77"/>
      <c r="NMF126" s="77"/>
      <c r="NMG126" s="77"/>
      <c r="NMH126" s="77"/>
      <c r="NMI126" s="77"/>
      <c r="NMJ126" s="77"/>
      <c r="NMK126" s="77"/>
      <c r="NML126" s="77"/>
      <c r="NMM126" s="77"/>
      <c r="NMN126" s="77"/>
      <c r="NMO126" s="77"/>
      <c r="NMP126" s="77"/>
      <c r="NMQ126" s="77"/>
      <c r="NMR126" s="77"/>
      <c r="NMS126" s="77"/>
      <c r="NMT126" s="77"/>
      <c r="NMU126" s="77"/>
      <c r="NMV126" s="77"/>
      <c r="NMW126" s="77"/>
      <c r="NMX126" s="77"/>
      <c r="NMY126" s="77"/>
      <c r="NMZ126" s="77"/>
      <c r="NNA126" s="77"/>
      <c r="NNB126" s="77"/>
      <c r="NNC126" s="77"/>
      <c r="NND126" s="77"/>
      <c r="NNE126" s="77"/>
      <c r="NNF126" s="77"/>
      <c r="NNG126" s="77"/>
      <c r="NNH126" s="77"/>
      <c r="NNI126" s="77"/>
      <c r="NNJ126" s="77"/>
      <c r="NNK126" s="77"/>
      <c r="NNL126" s="77"/>
      <c r="NNM126" s="77"/>
      <c r="NNN126" s="77"/>
      <c r="NNO126" s="77"/>
      <c r="NNP126" s="77"/>
      <c r="NNQ126" s="77"/>
      <c r="NNR126" s="77"/>
      <c r="NNS126" s="77"/>
      <c r="NNT126" s="77"/>
      <c r="NNU126" s="77"/>
      <c r="NNV126" s="77"/>
      <c r="NNW126" s="77"/>
      <c r="NNX126" s="77"/>
      <c r="NNY126" s="77"/>
      <c r="NNZ126" s="77"/>
      <c r="NOA126" s="77"/>
      <c r="NOB126" s="77"/>
      <c r="NOC126" s="77"/>
      <c r="NOD126" s="77"/>
      <c r="NOE126" s="77"/>
      <c r="NOF126" s="77"/>
      <c r="NOG126" s="77"/>
      <c r="NOH126" s="77"/>
      <c r="NOI126" s="77"/>
      <c r="NOJ126" s="77"/>
      <c r="NOK126" s="77"/>
      <c r="NOL126" s="77"/>
      <c r="NOM126" s="77"/>
      <c r="NON126" s="77"/>
      <c r="NOO126" s="77"/>
      <c r="NOP126" s="77"/>
      <c r="NOQ126" s="77"/>
      <c r="NOR126" s="77"/>
      <c r="NOS126" s="77"/>
      <c r="NOT126" s="77"/>
      <c r="NOU126" s="77"/>
      <c r="NOV126" s="77"/>
      <c r="NOW126" s="77"/>
      <c r="NOX126" s="77"/>
      <c r="NOY126" s="77"/>
      <c r="NOZ126" s="77"/>
      <c r="NPA126" s="77"/>
      <c r="NPB126" s="77"/>
      <c r="NPC126" s="77"/>
      <c r="NPD126" s="77"/>
      <c r="NPE126" s="77"/>
      <c r="NPF126" s="77"/>
      <c r="NPG126" s="77"/>
      <c r="NPH126" s="77"/>
      <c r="NPI126" s="77"/>
      <c r="NPJ126" s="77"/>
      <c r="NPK126" s="77"/>
      <c r="NPL126" s="77"/>
      <c r="NPM126" s="77"/>
      <c r="NPN126" s="77"/>
      <c r="NPO126" s="77"/>
      <c r="NPP126" s="77"/>
      <c r="NPQ126" s="77"/>
      <c r="NPR126" s="77"/>
      <c r="NPS126" s="77"/>
      <c r="NPT126" s="77"/>
      <c r="NPU126" s="77"/>
      <c r="NPV126" s="77"/>
      <c r="NPW126" s="77"/>
      <c r="NPX126" s="77"/>
      <c r="NPY126" s="77"/>
      <c r="NPZ126" s="77"/>
      <c r="NQA126" s="77"/>
      <c r="NQB126" s="77"/>
      <c r="NQC126" s="77"/>
      <c r="NQD126" s="77"/>
      <c r="NQE126" s="77"/>
      <c r="NQF126" s="77"/>
      <c r="NQG126" s="77"/>
      <c r="NQH126" s="77"/>
      <c r="NQI126" s="77"/>
      <c r="NQJ126" s="77"/>
      <c r="NQK126" s="77"/>
      <c r="NQL126" s="77"/>
      <c r="NQM126" s="77"/>
      <c r="NQN126" s="77"/>
      <c r="NQO126" s="77"/>
      <c r="NQP126" s="77"/>
      <c r="NQQ126" s="77"/>
      <c r="NQR126" s="77"/>
      <c r="NQS126" s="77"/>
      <c r="NQT126" s="77"/>
      <c r="NQU126" s="77"/>
      <c r="NQV126" s="77"/>
      <c r="NQW126" s="77"/>
      <c r="NQX126" s="77"/>
      <c r="NQY126" s="77"/>
      <c r="NQZ126" s="77"/>
      <c r="NRA126" s="77"/>
      <c r="NRB126" s="77"/>
      <c r="NRC126" s="77"/>
      <c r="NRD126" s="77"/>
      <c r="NRE126" s="77"/>
      <c r="NRF126" s="77"/>
      <c r="NRG126" s="77"/>
      <c r="NRH126" s="77"/>
      <c r="NRI126" s="77"/>
      <c r="NRJ126" s="77"/>
      <c r="NRK126" s="77"/>
      <c r="NRL126" s="77"/>
      <c r="NRM126" s="77"/>
      <c r="NRN126" s="77"/>
      <c r="NRO126" s="77"/>
      <c r="NRP126" s="77"/>
      <c r="NRQ126" s="77"/>
      <c r="NRR126" s="77"/>
      <c r="NRS126" s="77"/>
      <c r="NRT126" s="77"/>
      <c r="NRU126" s="77"/>
      <c r="NRV126" s="77"/>
      <c r="NRW126" s="77"/>
      <c r="NRX126" s="77"/>
      <c r="NRY126" s="77"/>
      <c r="NRZ126" s="77"/>
      <c r="NSA126" s="77"/>
      <c r="NSB126" s="77"/>
      <c r="NSC126" s="77"/>
      <c r="NSD126" s="77"/>
      <c r="NSE126" s="77"/>
      <c r="NSF126" s="77"/>
      <c r="NSG126" s="77"/>
      <c r="NSH126" s="77"/>
      <c r="NSI126" s="77"/>
      <c r="NSJ126" s="77"/>
      <c r="NSK126" s="77"/>
      <c r="NSL126" s="77"/>
      <c r="NSM126" s="77"/>
      <c r="NSN126" s="77"/>
      <c r="NSO126" s="77"/>
      <c r="NSP126" s="77"/>
      <c r="NSQ126" s="77"/>
      <c r="NSR126" s="77"/>
      <c r="NSS126" s="77"/>
      <c r="NST126" s="77"/>
      <c r="NSU126" s="77"/>
      <c r="NSV126" s="77"/>
      <c r="NSW126" s="77"/>
      <c r="NSX126" s="77"/>
      <c r="NSY126" s="77"/>
      <c r="NSZ126" s="77"/>
      <c r="NTA126" s="77"/>
      <c r="NTB126" s="77"/>
      <c r="NTC126" s="77"/>
      <c r="NTD126" s="77"/>
      <c r="NTE126" s="77"/>
      <c r="NTF126" s="77"/>
      <c r="NTG126" s="77"/>
      <c r="NTH126" s="77"/>
      <c r="NTI126" s="77"/>
      <c r="NTJ126" s="77"/>
      <c r="NTK126" s="77"/>
      <c r="NTL126" s="77"/>
      <c r="NTM126" s="77"/>
      <c r="NTN126" s="77"/>
      <c r="NTO126" s="77"/>
      <c r="NTP126" s="77"/>
      <c r="NTQ126" s="77"/>
      <c r="NTR126" s="77"/>
      <c r="NTS126" s="77"/>
      <c r="NTT126" s="77"/>
      <c r="NTU126" s="77"/>
      <c r="NTV126" s="77"/>
      <c r="NTW126" s="77"/>
      <c r="NTX126" s="77"/>
      <c r="NTY126" s="77"/>
      <c r="NTZ126" s="77"/>
      <c r="NUA126" s="77"/>
      <c r="NUB126" s="77"/>
      <c r="NUC126" s="77"/>
      <c r="NUD126" s="77"/>
      <c r="NUE126" s="77"/>
      <c r="NUF126" s="77"/>
      <c r="NUG126" s="77"/>
      <c r="NUH126" s="77"/>
      <c r="NUI126" s="77"/>
      <c r="NUJ126" s="77"/>
      <c r="NUK126" s="77"/>
      <c r="NUL126" s="77"/>
      <c r="NUM126" s="77"/>
      <c r="NUN126" s="77"/>
      <c r="NUO126" s="77"/>
      <c r="NUP126" s="77"/>
      <c r="NUQ126" s="77"/>
      <c r="NUR126" s="77"/>
      <c r="NUS126" s="77"/>
      <c r="NUT126" s="77"/>
      <c r="NUU126" s="77"/>
      <c r="NUV126" s="77"/>
      <c r="NUW126" s="77"/>
      <c r="NUX126" s="77"/>
      <c r="NUY126" s="77"/>
      <c r="NUZ126" s="77"/>
      <c r="NVA126" s="77"/>
      <c r="NVB126" s="77"/>
      <c r="NVC126" s="77"/>
      <c r="NVD126" s="77"/>
      <c r="NVE126" s="77"/>
      <c r="NVF126" s="77"/>
      <c r="NVG126" s="77"/>
      <c r="NVH126" s="77"/>
      <c r="NVI126" s="77"/>
      <c r="NVJ126" s="77"/>
      <c r="NVK126" s="77"/>
      <c r="NVL126" s="77"/>
      <c r="NVM126" s="77"/>
      <c r="NVN126" s="77"/>
      <c r="NVO126" s="77"/>
      <c r="NVP126" s="77"/>
      <c r="NVQ126" s="77"/>
      <c r="NVR126" s="77"/>
      <c r="NVS126" s="77"/>
      <c r="NVT126" s="77"/>
      <c r="NVU126" s="77"/>
      <c r="NVV126" s="77"/>
      <c r="NVW126" s="77"/>
      <c r="NVX126" s="77"/>
      <c r="NVY126" s="77"/>
      <c r="NVZ126" s="77"/>
      <c r="NWA126" s="77"/>
      <c r="NWB126" s="77"/>
      <c r="NWC126" s="77"/>
      <c r="NWD126" s="77"/>
      <c r="NWE126" s="77"/>
      <c r="NWF126" s="77"/>
      <c r="NWG126" s="77"/>
      <c r="NWH126" s="77"/>
      <c r="NWI126" s="77"/>
      <c r="NWJ126" s="77"/>
      <c r="NWK126" s="77"/>
      <c r="NWL126" s="77"/>
      <c r="NWM126" s="77"/>
      <c r="NWN126" s="77"/>
      <c r="NWO126" s="77"/>
      <c r="NWP126" s="77"/>
      <c r="NWQ126" s="77"/>
      <c r="NWR126" s="77"/>
      <c r="NWS126" s="77"/>
      <c r="NWT126" s="77"/>
      <c r="NWU126" s="77"/>
      <c r="NWV126" s="77"/>
      <c r="NWW126" s="77"/>
      <c r="NWX126" s="77"/>
      <c r="NWY126" s="77"/>
      <c r="NWZ126" s="77"/>
      <c r="NXA126" s="77"/>
      <c r="NXB126" s="77"/>
      <c r="NXC126" s="77"/>
      <c r="NXD126" s="77"/>
      <c r="NXE126" s="77"/>
      <c r="NXF126" s="77"/>
      <c r="NXG126" s="77"/>
      <c r="NXH126" s="77"/>
      <c r="NXI126" s="77"/>
      <c r="NXJ126" s="77"/>
      <c r="NXK126" s="77"/>
      <c r="NXL126" s="77"/>
      <c r="NXM126" s="77"/>
      <c r="NXN126" s="77"/>
      <c r="NXO126" s="77"/>
      <c r="NXP126" s="77"/>
      <c r="NXQ126" s="77"/>
      <c r="NXR126" s="77"/>
      <c r="NXS126" s="77"/>
      <c r="NXT126" s="77"/>
      <c r="NXU126" s="77"/>
      <c r="NXV126" s="77"/>
      <c r="NXW126" s="77"/>
      <c r="NXX126" s="77"/>
      <c r="NXY126" s="77"/>
      <c r="NXZ126" s="77"/>
      <c r="NYA126" s="77"/>
      <c r="NYB126" s="77"/>
      <c r="NYC126" s="77"/>
      <c r="NYD126" s="77"/>
      <c r="NYE126" s="77"/>
      <c r="NYF126" s="77"/>
      <c r="NYG126" s="77"/>
      <c r="NYH126" s="77"/>
      <c r="NYI126" s="77"/>
      <c r="NYJ126" s="77"/>
      <c r="NYK126" s="77"/>
      <c r="NYL126" s="77"/>
      <c r="NYM126" s="77"/>
      <c r="NYN126" s="77"/>
      <c r="NYO126" s="77"/>
      <c r="NYP126" s="77"/>
      <c r="NYQ126" s="77"/>
      <c r="NYR126" s="77"/>
      <c r="NYS126" s="77"/>
      <c r="NYT126" s="77"/>
      <c r="NYU126" s="77"/>
      <c r="NYV126" s="77"/>
      <c r="NYW126" s="77"/>
      <c r="NYX126" s="77"/>
      <c r="NYY126" s="77"/>
      <c r="NYZ126" s="77"/>
      <c r="NZA126" s="77"/>
      <c r="NZB126" s="77"/>
      <c r="NZC126" s="77"/>
      <c r="NZD126" s="77"/>
      <c r="NZE126" s="77"/>
      <c r="NZF126" s="77"/>
      <c r="NZG126" s="77"/>
      <c r="NZH126" s="77"/>
      <c r="NZI126" s="77"/>
      <c r="NZJ126" s="77"/>
      <c r="NZK126" s="77"/>
      <c r="NZL126" s="77"/>
      <c r="NZM126" s="77"/>
      <c r="NZN126" s="77"/>
      <c r="NZO126" s="77"/>
      <c r="NZP126" s="77"/>
      <c r="NZQ126" s="77"/>
      <c r="NZR126" s="77"/>
      <c r="NZS126" s="77"/>
      <c r="NZT126" s="77"/>
      <c r="NZU126" s="77"/>
      <c r="NZV126" s="77"/>
      <c r="NZW126" s="77"/>
      <c r="NZX126" s="77"/>
      <c r="NZY126" s="77"/>
      <c r="NZZ126" s="77"/>
      <c r="OAA126" s="77"/>
      <c r="OAB126" s="77"/>
      <c r="OAC126" s="77"/>
      <c r="OAD126" s="77"/>
      <c r="OAE126" s="77"/>
      <c r="OAF126" s="77"/>
      <c r="OAG126" s="77"/>
      <c r="OAH126" s="77"/>
      <c r="OAI126" s="77"/>
      <c r="OAJ126" s="77"/>
      <c r="OAK126" s="77"/>
      <c r="OAL126" s="77"/>
      <c r="OAM126" s="77"/>
      <c r="OAN126" s="77"/>
      <c r="OAO126" s="77"/>
      <c r="OAP126" s="77"/>
      <c r="OAQ126" s="77"/>
      <c r="OAR126" s="77"/>
      <c r="OAS126" s="77"/>
      <c r="OAT126" s="77"/>
      <c r="OAU126" s="77"/>
      <c r="OAV126" s="77"/>
      <c r="OAW126" s="77"/>
      <c r="OAX126" s="77"/>
      <c r="OAY126" s="77"/>
      <c r="OAZ126" s="77"/>
      <c r="OBA126" s="77"/>
      <c r="OBB126" s="77"/>
      <c r="OBC126" s="77"/>
      <c r="OBD126" s="77"/>
      <c r="OBE126" s="77"/>
      <c r="OBF126" s="77"/>
      <c r="OBG126" s="77"/>
      <c r="OBH126" s="77"/>
      <c r="OBI126" s="77"/>
      <c r="OBJ126" s="77"/>
      <c r="OBK126" s="77"/>
      <c r="OBL126" s="77"/>
      <c r="OBM126" s="77"/>
      <c r="OBN126" s="77"/>
      <c r="OBO126" s="77"/>
      <c r="OBP126" s="77"/>
      <c r="OBQ126" s="77"/>
      <c r="OBR126" s="77"/>
      <c r="OBS126" s="77"/>
      <c r="OBT126" s="77"/>
      <c r="OBU126" s="77"/>
      <c r="OBV126" s="77"/>
      <c r="OBW126" s="77"/>
      <c r="OBX126" s="77"/>
      <c r="OBY126" s="77"/>
      <c r="OBZ126" s="77"/>
      <c r="OCA126" s="77"/>
      <c r="OCB126" s="77"/>
      <c r="OCC126" s="77"/>
      <c r="OCD126" s="77"/>
      <c r="OCE126" s="77"/>
      <c r="OCF126" s="77"/>
      <c r="OCG126" s="77"/>
      <c r="OCH126" s="77"/>
      <c r="OCI126" s="77"/>
      <c r="OCJ126" s="77"/>
      <c r="OCK126" s="77"/>
      <c r="OCL126" s="77"/>
      <c r="OCM126" s="77"/>
      <c r="OCN126" s="77"/>
      <c r="OCO126" s="77"/>
      <c r="OCP126" s="77"/>
      <c r="OCQ126" s="77"/>
      <c r="OCR126" s="77"/>
      <c r="OCS126" s="77"/>
      <c r="OCT126" s="77"/>
      <c r="OCU126" s="77"/>
      <c r="OCV126" s="77"/>
      <c r="OCW126" s="77"/>
      <c r="OCX126" s="77"/>
      <c r="OCY126" s="77"/>
      <c r="OCZ126" s="77"/>
      <c r="ODA126" s="77"/>
      <c r="ODB126" s="77"/>
      <c r="ODC126" s="77"/>
      <c r="ODD126" s="77"/>
      <c r="ODE126" s="77"/>
      <c r="ODF126" s="77"/>
      <c r="ODG126" s="77"/>
      <c r="ODH126" s="77"/>
      <c r="ODI126" s="77"/>
      <c r="ODJ126" s="77"/>
      <c r="ODK126" s="77"/>
      <c r="ODL126" s="77"/>
      <c r="ODM126" s="77"/>
      <c r="ODN126" s="77"/>
      <c r="ODO126" s="77"/>
      <c r="ODP126" s="77"/>
      <c r="ODQ126" s="77"/>
      <c r="ODR126" s="77"/>
      <c r="ODS126" s="77"/>
      <c r="ODT126" s="77"/>
      <c r="ODU126" s="77"/>
      <c r="ODV126" s="77"/>
      <c r="ODW126" s="77"/>
      <c r="ODX126" s="77"/>
      <c r="ODY126" s="77"/>
      <c r="ODZ126" s="77"/>
      <c r="OEA126" s="77"/>
      <c r="OEB126" s="77"/>
      <c r="OEC126" s="77"/>
      <c r="OED126" s="77"/>
      <c r="OEE126" s="77"/>
      <c r="OEF126" s="77"/>
      <c r="OEG126" s="77"/>
      <c r="OEH126" s="77"/>
      <c r="OEI126" s="77"/>
      <c r="OEJ126" s="77"/>
      <c r="OEK126" s="77"/>
      <c r="OEL126" s="77"/>
      <c r="OEM126" s="77"/>
      <c r="OEN126" s="77"/>
      <c r="OEO126" s="77"/>
      <c r="OEP126" s="77"/>
      <c r="OEQ126" s="77"/>
      <c r="OER126" s="77"/>
      <c r="OES126" s="77"/>
      <c r="OET126" s="77"/>
      <c r="OEU126" s="77"/>
      <c r="OEV126" s="77"/>
      <c r="OEW126" s="77"/>
      <c r="OEX126" s="77"/>
      <c r="OEY126" s="77"/>
      <c r="OEZ126" s="77"/>
      <c r="OFA126" s="77"/>
      <c r="OFB126" s="77"/>
      <c r="OFC126" s="77"/>
      <c r="OFD126" s="77"/>
      <c r="OFE126" s="77"/>
      <c r="OFF126" s="77"/>
      <c r="OFG126" s="77"/>
      <c r="OFH126" s="77"/>
      <c r="OFI126" s="77"/>
      <c r="OFJ126" s="77"/>
      <c r="OFK126" s="77"/>
      <c r="OFL126" s="77"/>
      <c r="OFM126" s="77"/>
      <c r="OFN126" s="77"/>
      <c r="OFO126" s="77"/>
      <c r="OFP126" s="77"/>
      <c r="OFQ126" s="77"/>
      <c r="OFR126" s="77"/>
      <c r="OFS126" s="77"/>
      <c r="OFT126" s="77"/>
      <c r="OFU126" s="77"/>
      <c r="OFV126" s="77"/>
      <c r="OFW126" s="77"/>
      <c r="OFX126" s="77"/>
      <c r="OFY126" s="77"/>
      <c r="OFZ126" s="77"/>
      <c r="OGA126" s="77"/>
      <c r="OGB126" s="77"/>
      <c r="OGC126" s="77"/>
      <c r="OGD126" s="77"/>
      <c r="OGE126" s="77"/>
      <c r="OGF126" s="77"/>
      <c r="OGG126" s="77"/>
      <c r="OGH126" s="77"/>
      <c r="OGI126" s="77"/>
      <c r="OGJ126" s="77"/>
      <c r="OGK126" s="77"/>
      <c r="OGL126" s="77"/>
      <c r="OGM126" s="77"/>
      <c r="OGN126" s="77"/>
      <c r="OGO126" s="77"/>
      <c r="OGP126" s="77"/>
      <c r="OGQ126" s="77"/>
      <c r="OGR126" s="77"/>
      <c r="OGS126" s="77"/>
      <c r="OGT126" s="77"/>
      <c r="OGU126" s="77"/>
      <c r="OGV126" s="77"/>
      <c r="OGW126" s="77"/>
      <c r="OGX126" s="77"/>
      <c r="OGY126" s="77"/>
      <c r="OGZ126" s="77"/>
      <c r="OHA126" s="77"/>
      <c r="OHB126" s="77"/>
      <c r="OHC126" s="77"/>
      <c r="OHD126" s="77"/>
      <c r="OHE126" s="77"/>
      <c r="OHF126" s="77"/>
      <c r="OHG126" s="77"/>
      <c r="OHH126" s="77"/>
      <c r="OHI126" s="77"/>
      <c r="OHJ126" s="77"/>
      <c r="OHK126" s="77"/>
      <c r="OHL126" s="77"/>
      <c r="OHM126" s="77"/>
      <c r="OHN126" s="77"/>
      <c r="OHO126" s="77"/>
      <c r="OHP126" s="77"/>
      <c r="OHQ126" s="77"/>
      <c r="OHR126" s="77"/>
      <c r="OHS126" s="77"/>
      <c r="OHT126" s="77"/>
      <c r="OHU126" s="77"/>
      <c r="OHV126" s="77"/>
      <c r="OHW126" s="77"/>
      <c r="OHX126" s="77"/>
      <c r="OHY126" s="77"/>
      <c r="OHZ126" s="77"/>
      <c r="OIA126" s="77"/>
      <c r="OIB126" s="77"/>
      <c r="OIC126" s="77"/>
      <c r="OID126" s="77"/>
      <c r="OIE126" s="77"/>
      <c r="OIF126" s="77"/>
      <c r="OIG126" s="77"/>
      <c r="OIH126" s="77"/>
      <c r="OII126" s="77"/>
      <c r="OIJ126" s="77"/>
      <c r="OIK126" s="77"/>
      <c r="OIL126" s="77"/>
      <c r="OIM126" s="77"/>
      <c r="OIN126" s="77"/>
      <c r="OIO126" s="77"/>
      <c r="OIP126" s="77"/>
      <c r="OIQ126" s="77"/>
      <c r="OIR126" s="77"/>
      <c r="OIS126" s="77"/>
      <c r="OIT126" s="77"/>
      <c r="OIU126" s="77"/>
      <c r="OIV126" s="77"/>
      <c r="OIW126" s="77"/>
      <c r="OIX126" s="77"/>
      <c r="OIY126" s="77"/>
      <c r="OIZ126" s="77"/>
      <c r="OJA126" s="77"/>
      <c r="OJB126" s="77"/>
      <c r="OJC126" s="77"/>
      <c r="OJD126" s="77"/>
      <c r="OJE126" s="77"/>
      <c r="OJF126" s="77"/>
      <c r="OJG126" s="77"/>
      <c r="OJH126" s="77"/>
      <c r="OJI126" s="77"/>
      <c r="OJJ126" s="77"/>
      <c r="OJK126" s="77"/>
      <c r="OJL126" s="77"/>
      <c r="OJM126" s="77"/>
      <c r="OJN126" s="77"/>
      <c r="OJO126" s="77"/>
      <c r="OJP126" s="77"/>
      <c r="OJQ126" s="77"/>
      <c r="OJR126" s="77"/>
      <c r="OJS126" s="77"/>
      <c r="OJT126" s="77"/>
      <c r="OJU126" s="77"/>
      <c r="OJV126" s="77"/>
      <c r="OJW126" s="77"/>
      <c r="OJX126" s="77"/>
      <c r="OJY126" s="77"/>
      <c r="OJZ126" s="77"/>
      <c r="OKA126" s="77"/>
      <c r="OKB126" s="77"/>
      <c r="OKC126" s="77"/>
      <c r="OKD126" s="77"/>
      <c r="OKE126" s="77"/>
      <c r="OKF126" s="77"/>
      <c r="OKG126" s="77"/>
      <c r="OKH126" s="77"/>
      <c r="OKI126" s="77"/>
      <c r="OKJ126" s="77"/>
      <c r="OKK126" s="77"/>
      <c r="OKL126" s="77"/>
      <c r="OKM126" s="77"/>
      <c r="OKN126" s="77"/>
      <c r="OKO126" s="77"/>
      <c r="OKP126" s="77"/>
      <c r="OKQ126" s="77"/>
      <c r="OKR126" s="77"/>
      <c r="OKS126" s="77"/>
      <c r="OKT126" s="77"/>
      <c r="OKU126" s="77"/>
      <c r="OKV126" s="77"/>
      <c r="OKW126" s="77"/>
      <c r="OKX126" s="77"/>
      <c r="OKY126" s="77"/>
      <c r="OKZ126" s="77"/>
      <c r="OLA126" s="77"/>
      <c r="OLB126" s="77"/>
      <c r="OLC126" s="77"/>
      <c r="OLD126" s="77"/>
      <c r="OLE126" s="77"/>
      <c r="OLF126" s="77"/>
      <c r="OLG126" s="77"/>
      <c r="OLH126" s="77"/>
      <c r="OLI126" s="77"/>
      <c r="OLJ126" s="77"/>
      <c r="OLK126" s="77"/>
      <c r="OLL126" s="77"/>
      <c r="OLM126" s="77"/>
      <c r="OLN126" s="77"/>
      <c r="OLO126" s="77"/>
      <c r="OLP126" s="77"/>
      <c r="OLQ126" s="77"/>
      <c r="OLR126" s="77"/>
      <c r="OLS126" s="77"/>
      <c r="OLT126" s="77"/>
      <c r="OLU126" s="77"/>
      <c r="OLV126" s="77"/>
      <c r="OLW126" s="77"/>
      <c r="OLX126" s="77"/>
      <c r="OLY126" s="77"/>
      <c r="OLZ126" s="77"/>
      <c r="OMA126" s="77"/>
      <c r="OMB126" s="77"/>
      <c r="OMC126" s="77"/>
      <c r="OMD126" s="77"/>
      <c r="OME126" s="77"/>
      <c r="OMF126" s="77"/>
      <c r="OMG126" s="77"/>
      <c r="OMH126" s="77"/>
      <c r="OMI126" s="77"/>
      <c r="OMJ126" s="77"/>
      <c r="OMK126" s="77"/>
      <c r="OML126" s="77"/>
      <c r="OMM126" s="77"/>
      <c r="OMN126" s="77"/>
      <c r="OMO126" s="77"/>
      <c r="OMP126" s="77"/>
      <c r="OMQ126" s="77"/>
      <c r="OMR126" s="77"/>
      <c r="OMS126" s="77"/>
      <c r="OMT126" s="77"/>
      <c r="OMU126" s="77"/>
      <c r="OMV126" s="77"/>
      <c r="OMW126" s="77"/>
      <c r="OMX126" s="77"/>
      <c r="OMY126" s="77"/>
      <c r="OMZ126" s="77"/>
      <c r="ONA126" s="77"/>
      <c r="ONB126" s="77"/>
      <c r="ONC126" s="77"/>
      <c r="OND126" s="77"/>
      <c r="ONE126" s="77"/>
      <c r="ONF126" s="77"/>
      <c r="ONG126" s="77"/>
      <c r="ONH126" s="77"/>
      <c r="ONI126" s="77"/>
      <c r="ONJ126" s="77"/>
      <c r="ONK126" s="77"/>
      <c r="ONL126" s="77"/>
      <c r="ONM126" s="77"/>
      <c r="ONN126" s="77"/>
      <c r="ONO126" s="77"/>
      <c r="ONP126" s="77"/>
      <c r="ONQ126" s="77"/>
      <c r="ONR126" s="77"/>
      <c r="ONS126" s="77"/>
      <c r="ONT126" s="77"/>
      <c r="ONU126" s="77"/>
      <c r="ONV126" s="77"/>
      <c r="ONW126" s="77"/>
      <c r="ONX126" s="77"/>
      <c r="ONY126" s="77"/>
      <c r="ONZ126" s="77"/>
      <c r="OOA126" s="77"/>
      <c r="OOB126" s="77"/>
      <c r="OOC126" s="77"/>
      <c r="OOD126" s="77"/>
      <c r="OOE126" s="77"/>
      <c r="OOF126" s="77"/>
      <c r="OOG126" s="77"/>
      <c r="OOH126" s="77"/>
      <c r="OOI126" s="77"/>
      <c r="OOJ126" s="77"/>
      <c r="OOK126" s="77"/>
      <c r="OOL126" s="77"/>
      <c r="OOM126" s="77"/>
      <c r="OON126" s="77"/>
      <c r="OOO126" s="77"/>
      <c r="OOP126" s="77"/>
      <c r="OOQ126" s="77"/>
      <c r="OOR126" s="77"/>
      <c r="OOS126" s="77"/>
      <c r="OOT126" s="77"/>
      <c r="OOU126" s="77"/>
      <c r="OOV126" s="77"/>
      <c r="OOW126" s="77"/>
      <c r="OOX126" s="77"/>
      <c r="OOY126" s="77"/>
      <c r="OOZ126" s="77"/>
      <c r="OPA126" s="77"/>
      <c r="OPB126" s="77"/>
      <c r="OPC126" s="77"/>
      <c r="OPD126" s="77"/>
      <c r="OPE126" s="77"/>
      <c r="OPF126" s="77"/>
      <c r="OPG126" s="77"/>
      <c r="OPH126" s="77"/>
      <c r="OPI126" s="77"/>
      <c r="OPJ126" s="77"/>
      <c r="OPK126" s="77"/>
      <c r="OPL126" s="77"/>
      <c r="OPM126" s="77"/>
      <c r="OPN126" s="77"/>
      <c r="OPO126" s="77"/>
      <c r="OPP126" s="77"/>
      <c r="OPQ126" s="77"/>
      <c r="OPR126" s="77"/>
      <c r="OPS126" s="77"/>
      <c r="OPT126" s="77"/>
      <c r="OPU126" s="77"/>
      <c r="OPV126" s="77"/>
      <c r="OPW126" s="77"/>
      <c r="OPX126" s="77"/>
      <c r="OPY126" s="77"/>
      <c r="OPZ126" s="77"/>
      <c r="OQA126" s="77"/>
      <c r="OQB126" s="77"/>
      <c r="OQC126" s="77"/>
      <c r="OQD126" s="77"/>
      <c r="OQE126" s="77"/>
      <c r="OQF126" s="77"/>
      <c r="OQG126" s="77"/>
      <c r="OQH126" s="77"/>
      <c r="OQI126" s="77"/>
      <c r="OQJ126" s="77"/>
      <c r="OQK126" s="77"/>
      <c r="OQL126" s="77"/>
      <c r="OQM126" s="77"/>
      <c r="OQN126" s="77"/>
      <c r="OQO126" s="77"/>
      <c r="OQP126" s="77"/>
      <c r="OQQ126" s="77"/>
      <c r="OQR126" s="77"/>
      <c r="OQS126" s="77"/>
      <c r="OQT126" s="77"/>
      <c r="OQU126" s="77"/>
      <c r="OQV126" s="77"/>
      <c r="OQW126" s="77"/>
      <c r="OQX126" s="77"/>
      <c r="OQY126" s="77"/>
      <c r="OQZ126" s="77"/>
      <c r="ORA126" s="77"/>
      <c r="ORB126" s="77"/>
      <c r="ORC126" s="77"/>
      <c r="ORD126" s="77"/>
      <c r="ORE126" s="77"/>
      <c r="ORF126" s="77"/>
      <c r="ORG126" s="77"/>
      <c r="ORH126" s="77"/>
      <c r="ORI126" s="77"/>
      <c r="ORJ126" s="77"/>
      <c r="ORK126" s="77"/>
      <c r="ORL126" s="77"/>
      <c r="ORM126" s="77"/>
      <c r="ORN126" s="77"/>
      <c r="ORO126" s="77"/>
      <c r="ORP126" s="77"/>
      <c r="ORQ126" s="77"/>
      <c r="ORR126" s="77"/>
      <c r="ORS126" s="77"/>
      <c r="ORT126" s="77"/>
      <c r="ORU126" s="77"/>
      <c r="ORV126" s="77"/>
      <c r="ORW126" s="77"/>
      <c r="ORX126" s="77"/>
      <c r="ORY126" s="77"/>
      <c r="ORZ126" s="77"/>
      <c r="OSA126" s="77"/>
      <c r="OSB126" s="77"/>
      <c r="OSC126" s="77"/>
      <c r="OSD126" s="77"/>
      <c r="OSE126" s="77"/>
      <c r="OSF126" s="77"/>
      <c r="OSG126" s="77"/>
      <c r="OSH126" s="77"/>
      <c r="OSI126" s="77"/>
      <c r="OSJ126" s="77"/>
      <c r="OSK126" s="77"/>
      <c r="OSL126" s="77"/>
      <c r="OSM126" s="77"/>
      <c r="OSN126" s="77"/>
      <c r="OSO126" s="77"/>
      <c r="OSP126" s="77"/>
      <c r="OSQ126" s="77"/>
      <c r="OSR126" s="77"/>
      <c r="OSS126" s="77"/>
      <c r="OST126" s="77"/>
      <c r="OSU126" s="77"/>
      <c r="OSV126" s="77"/>
      <c r="OSW126" s="77"/>
      <c r="OSX126" s="77"/>
      <c r="OSY126" s="77"/>
      <c r="OSZ126" s="77"/>
      <c r="OTA126" s="77"/>
      <c r="OTB126" s="77"/>
      <c r="OTC126" s="77"/>
      <c r="OTD126" s="77"/>
      <c r="OTE126" s="77"/>
      <c r="OTF126" s="77"/>
      <c r="OTG126" s="77"/>
      <c r="OTH126" s="77"/>
      <c r="OTI126" s="77"/>
      <c r="OTJ126" s="77"/>
      <c r="OTK126" s="77"/>
      <c r="OTL126" s="77"/>
      <c r="OTM126" s="77"/>
      <c r="OTN126" s="77"/>
      <c r="OTO126" s="77"/>
      <c r="OTP126" s="77"/>
      <c r="OTQ126" s="77"/>
      <c r="OTR126" s="77"/>
      <c r="OTS126" s="77"/>
      <c r="OTT126" s="77"/>
      <c r="OTU126" s="77"/>
      <c r="OTV126" s="77"/>
      <c r="OTW126" s="77"/>
      <c r="OTX126" s="77"/>
      <c r="OTY126" s="77"/>
      <c r="OTZ126" s="77"/>
      <c r="OUA126" s="77"/>
      <c r="OUB126" s="77"/>
      <c r="OUC126" s="77"/>
      <c r="OUD126" s="77"/>
      <c r="OUE126" s="77"/>
      <c r="OUF126" s="77"/>
      <c r="OUG126" s="77"/>
      <c r="OUH126" s="77"/>
      <c r="OUI126" s="77"/>
      <c r="OUJ126" s="77"/>
      <c r="OUK126" s="77"/>
      <c r="OUL126" s="77"/>
      <c r="OUM126" s="77"/>
      <c r="OUN126" s="77"/>
      <c r="OUO126" s="77"/>
      <c r="OUP126" s="77"/>
      <c r="OUQ126" s="77"/>
      <c r="OUR126" s="77"/>
      <c r="OUS126" s="77"/>
      <c r="OUT126" s="77"/>
      <c r="OUU126" s="77"/>
      <c r="OUV126" s="77"/>
      <c r="OUW126" s="77"/>
      <c r="OUX126" s="77"/>
      <c r="OUY126" s="77"/>
      <c r="OUZ126" s="77"/>
      <c r="OVA126" s="77"/>
      <c r="OVB126" s="77"/>
      <c r="OVC126" s="77"/>
      <c r="OVD126" s="77"/>
      <c r="OVE126" s="77"/>
      <c r="OVF126" s="77"/>
      <c r="OVG126" s="77"/>
      <c r="OVH126" s="77"/>
      <c r="OVI126" s="77"/>
      <c r="OVJ126" s="77"/>
      <c r="OVK126" s="77"/>
      <c r="OVL126" s="77"/>
      <c r="OVM126" s="77"/>
      <c r="OVN126" s="77"/>
      <c r="OVO126" s="77"/>
      <c r="OVP126" s="77"/>
      <c r="OVQ126" s="77"/>
      <c r="OVR126" s="77"/>
      <c r="OVS126" s="77"/>
      <c r="OVT126" s="77"/>
      <c r="OVU126" s="77"/>
      <c r="OVV126" s="77"/>
      <c r="OVW126" s="77"/>
      <c r="OVX126" s="77"/>
      <c r="OVY126" s="77"/>
      <c r="OVZ126" s="77"/>
      <c r="OWA126" s="77"/>
      <c r="OWB126" s="77"/>
      <c r="OWC126" s="77"/>
      <c r="OWD126" s="77"/>
      <c r="OWE126" s="77"/>
      <c r="OWF126" s="77"/>
      <c r="OWG126" s="77"/>
      <c r="OWH126" s="77"/>
      <c r="OWI126" s="77"/>
      <c r="OWJ126" s="77"/>
      <c r="OWK126" s="77"/>
      <c r="OWL126" s="77"/>
      <c r="OWM126" s="77"/>
      <c r="OWN126" s="77"/>
      <c r="OWO126" s="77"/>
      <c r="OWP126" s="77"/>
      <c r="OWQ126" s="77"/>
      <c r="OWR126" s="77"/>
      <c r="OWS126" s="77"/>
      <c r="OWT126" s="77"/>
      <c r="OWU126" s="77"/>
      <c r="OWV126" s="77"/>
      <c r="OWW126" s="77"/>
      <c r="OWX126" s="77"/>
      <c r="OWY126" s="77"/>
      <c r="OWZ126" s="77"/>
      <c r="OXA126" s="77"/>
      <c r="OXB126" s="77"/>
      <c r="OXC126" s="77"/>
      <c r="OXD126" s="77"/>
      <c r="OXE126" s="77"/>
      <c r="OXF126" s="77"/>
      <c r="OXG126" s="77"/>
      <c r="OXH126" s="77"/>
      <c r="OXI126" s="77"/>
      <c r="OXJ126" s="77"/>
      <c r="OXK126" s="77"/>
      <c r="OXL126" s="77"/>
      <c r="OXM126" s="77"/>
      <c r="OXN126" s="77"/>
      <c r="OXO126" s="77"/>
      <c r="OXP126" s="77"/>
      <c r="OXQ126" s="77"/>
      <c r="OXR126" s="77"/>
      <c r="OXS126" s="77"/>
      <c r="OXT126" s="77"/>
      <c r="OXU126" s="77"/>
      <c r="OXV126" s="77"/>
      <c r="OXW126" s="77"/>
      <c r="OXX126" s="77"/>
      <c r="OXY126" s="77"/>
      <c r="OXZ126" s="77"/>
      <c r="OYA126" s="77"/>
      <c r="OYB126" s="77"/>
      <c r="OYC126" s="77"/>
      <c r="OYD126" s="77"/>
      <c r="OYE126" s="77"/>
      <c r="OYF126" s="77"/>
      <c r="OYG126" s="77"/>
      <c r="OYH126" s="77"/>
      <c r="OYI126" s="77"/>
      <c r="OYJ126" s="77"/>
      <c r="OYK126" s="77"/>
      <c r="OYL126" s="77"/>
      <c r="OYM126" s="77"/>
      <c r="OYN126" s="77"/>
      <c r="OYO126" s="77"/>
      <c r="OYP126" s="77"/>
      <c r="OYQ126" s="77"/>
      <c r="OYR126" s="77"/>
      <c r="OYS126" s="77"/>
      <c r="OYT126" s="77"/>
      <c r="OYU126" s="77"/>
      <c r="OYV126" s="77"/>
      <c r="OYW126" s="77"/>
      <c r="OYX126" s="77"/>
      <c r="OYY126" s="77"/>
      <c r="OYZ126" s="77"/>
      <c r="OZA126" s="77"/>
      <c r="OZB126" s="77"/>
      <c r="OZC126" s="77"/>
      <c r="OZD126" s="77"/>
      <c r="OZE126" s="77"/>
      <c r="OZF126" s="77"/>
      <c r="OZG126" s="77"/>
      <c r="OZH126" s="77"/>
      <c r="OZI126" s="77"/>
      <c r="OZJ126" s="77"/>
      <c r="OZK126" s="77"/>
      <c r="OZL126" s="77"/>
      <c r="OZM126" s="77"/>
      <c r="OZN126" s="77"/>
      <c r="OZO126" s="77"/>
      <c r="OZP126" s="77"/>
      <c r="OZQ126" s="77"/>
      <c r="OZR126" s="77"/>
      <c r="OZS126" s="77"/>
      <c r="OZT126" s="77"/>
      <c r="OZU126" s="77"/>
      <c r="OZV126" s="77"/>
      <c r="OZW126" s="77"/>
      <c r="OZX126" s="77"/>
      <c r="OZY126" s="77"/>
      <c r="OZZ126" s="77"/>
      <c r="PAA126" s="77"/>
      <c r="PAB126" s="77"/>
      <c r="PAC126" s="77"/>
      <c r="PAD126" s="77"/>
      <c r="PAE126" s="77"/>
      <c r="PAF126" s="77"/>
      <c r="PAG126" s="77"/>
      <c r="PAH126" s="77"/>
      <c r="PAI126" s="77"/>
      <c r="PAJ126" s="77"/>
      <c r="PAK126" s="77"/>
      <c r="PAL126" s="77"/>
      <c r="PAM126" s="77"/>
      <c r="PAN126" s="77"/>
      <c r="PAO126" s="77"/>
      <c r="PAP126" s="77"/>
      <c r="PAQ126" s="77"/>
      <c r="PAR126" s="77"/>
      <c r="PAS126" s="77"/>
      <c r="PAT126" s="77"/>
      <c r="PAU126" s="77"/>
      <c r="PAV126" s="77"/>
      <c r="PAW126" s="77"/>
      <c r="PAX126" s="77"/>
      <c r="PAY126" s="77"/>
      <c r="PAZ126" s="77"/>
      <c r="PBA126" s="77"/>
      <c r="PBB126" s="77"/>
      <c r="PBC126" s="77"/>
      <c r="PBD126" s="77"/>
      <c r="PBE126" s="77"/>
      <c r="PBF126" s="77"/>
      <c r="PBG126" s="77"/>
      <c r="PBH126" s="77"/>
      <c r="PBI126" s="77"/>
      <c r="PBJ126" s="77"/>
      <c r="PBK126" s="77"/>
      <c r="PBL126" s="77"/>
      <c r="PBM126" s="77"/>
      <c r="PBN126" s="77"/>
      <c r="PBO126" s="77"/>
      <c r="PBP126" s="77"/>
      <c r="PBQ126" s="77"/>
      <c r="PBR126" s="77"/>
      <c r="PBS126" s="77"/>
      <c r="PBT126" s="77"/>
      <c r="PBU126" s="77"/>
      <c r="PBV126" s="77"/>
      <c r="PBW126" s="77"/>
      <c r="PBX126" s="77"/>
      <c r="PBY126" s="77"/>
      <c r="PBZ126" s="77"/>
      <c r="PCA126" s="77"/>
      <c r="PCB126" s="77"/>
      <c r="PCC126" s="77"/>
      <c r="PCD126" s="77"/>
      <c r="PCE126" s="77"/>
      <c r="PCF126" s="77"/>
      <c r="PCG126" s="77"/>
      <c r="PCH126" s="77"/>
      <c r="PCI126" s="77"/>
      <c r="PCJ126" s="77"/>
      <c r="PCK126" s="77"/>
      <c r="PCL126" s="77"/>
      <c r="PCM126" s="77"/>
      <c r="PCN126" s="77"/>
      <c r="PCO126" s="77"/>
      <c r="PCP126" s="77"/>
      <c r="PCQ126" s="77"/>
      <c r="PCR126" s="77"/>
      <c r="PCS126" s="77"/>
      <c r="PCT126" s="77"/>
      <c r="PCU126" s="77"/>
      <c r="PCV126" s="77"/>
      <c r="PCW126" s="77"/>
      <c r="PCX126" s="77"/>
      <c r="PCY126" s="77"/>
      <c r="PCZ126" s="77"/>
      <c r="PDA126" s="77"/>
      <c r="PDB126" s="77"/>
      <c r="PDC126" s="77"/>
      <c r="PDD126" s="77"/>
      <c r="PDE126" s="77"/>
      <c r="PDF126" s="77"/>
      <c r="PDG126" s="77"/>
      <c r="PDH126" s="77"/>
      <c r="PDI126" s="77"/>
      <c r="PDJ126" s="77"/>
      <c r="PDK126" s="77"/>
      <c r="PDL126" s="77"/>
      <c r="PDM126" s="77"/>
      <c r="PDN126" s="77"/>
      <c r="PDO126" s="77"/>
      <c r="PDP126" s="77"/>
      <c r="PDQ126" s="77"/>
      <c r="PDR126" s="77"/>
      <c r="PDS126" s="77"/>
      <c r="PDT126" s="77"/>
      <c r="PDU126" s="77"/>
      <c r="PDV126" s="77"/>
      <c r="PDW126" s="77"/>
      <c r="PDX126" s="77"/>
      <c r="PDY126" s="77"/>
      <c r="PDZ126" s="77"/>
      <c r="PEA126" s="77"/>
      <c r="PEB126" s="77"/>
      <c r="PEC126" s="77"/>
      <c r="PED126" s="77"/>
      <c r="PEE126" s="77"/>
      <c r="PEF126" s="77"/>
      <c r="PEG126" s="77"/>
      <c r="PEH126" s="77"/>
      <c r="PEI126" s="77"/>
      <c r="PEJ126" s="77"/>
      <c r="PEK126" s="77"/>
      <c r="PEL126" s="77"/>
      <c r="PEM126" s="77"/>
      <c r="PEN126" s="77"/>
      <c r="PEO126" s="77"/>
      <c r="PEP126" s="77"/>
      <c r="PEQ126" s="77"/>
      <c r="PER126" s="77"/>
      <c r="PES126" s="77"/>
      <c r="PET126" s="77"/>
      <c r="PEU126" s="77"/>
      <c r="PEV126" s="77"/>
      <c r="PEW126" s="77"/>
      <c r="PEX126" s="77"/>
      <c r="PEY126" s="77"/>
      <c r="PEZ126" s="77"/>
      <c r="PFA126" s="77"/>
      <c r="PFB126" s="77"/>
      <c r="PFC126" s="77"/>
      <c r="PFD126" s="77"/>
      <c r="PFE126" s="77"/>
      <c r="PFF126" s="77"/>
      <c r="PFG126" s="77"/>
      <c r="PFH126" s="77"/>
      <c r="PFI126" s="77"/>
      <c r="PFJ126" s="77"/>
      <c r="PFK126" s="77"/>
      <c r="PFL126" s="77"/>
      <c r="PFM126" s="77"/>
      <c r="PFN126" s="77"/>
      <c r="PFO126" s="77"/>
      <c r="PFP126" s="77"/>
      <c r="PFQ126" s="77"/>
      <c r="PFR126" s="77"/>
      <c r="PFS126" s="77"/>
      <c r="PFT126" s="77"/>
      <c r="PFU126" s="77"/>
      <c r="PFV126" s="77"/>
      <c r="PFW126" s="77"/>
      <c r="PFX126" s="77"/>
      <c r="PFY126" s="77"/>
      <c r="PFZ126" s="77"/>
      <c r="PGA126" s="77"/>
      <c r="PGB126" s="77"/>
      <c r="PGC126" s="77"/>
      <c r="PGD126" s="77"/>
      <c r="PGE126" s="77"/>
      <c r="PGF126" s="77"/>
      <c r="PGG126" s="77"/>
      <c r="PGH126" s="77"/>
      <c r="PGI126" s="77"/>
      <c r="PGJ126" s="77"/>
      <c r="PGK126" s="77"/>
      <c r="PGL126" s="77"/>
      <c r="PGM126" s="77"/>
      <c r="PGN126" s="77"/>
      <c r="PGO126" s="77"/>
      <c r="PGP126" s="77"/>
      <c r="PGQ126" s="77"/>
      <c r="PGR126" s="77"/>
      <c r="PGS126" s="77"/>
      <c r="PGT126" s="77"/>
      <c r="PGU126" s="77"/>
      <c r="PGV126" s="77"/>
      <c r="PGW126" s="77"/>
      <c r="PGX126" s="77"/>
      <c r="PGY126" s="77"/>
      <c r="PGZ126" s="77"/>
      <c r="PHA126" s="77"/>
      <c r="PHB126" s="77"/>
      <c r="PHC126" s="77"/>
      <c r="PHD126" s="77"/>
      <c r="PHE126" s="77"/>
      <c r="PHF126" s="77"/>
      <c r="PHG126" s="77"/>
      <c r="PHH126" s="77"/>
      <c r="PHI126" s="77"/>
      <c r="PHJ126" s="77"/>
      <c r="PHK126" s="77"/>
      <c r="PHL126" s="77"/>
      <c r="PHM126" s="77"/>
      <c r="PHN126" s="77"/>
      <c r="PHO126" s="77"/>
      <c r="PHP126" s="77"/>
      <c r="PHQ126" s="77"/>
      <c r="PHR126" s="77"/>
      <c r="PHS126" s="77"/>
      <c r="PHT126" s="77"/>
      <c r="PHU126" s="77"/>
      <c r="PHV126" s="77"/>
      <c r="PHW126" s="77"/>
      <c r="PHX126" s="77"/>
      <c r="PHY126" s="77"/>
      <c r="PHZ126" s="77"/>
      <c r="PIA126" s="77"/>
      <c r="PIB126" s="77"/>
      <c r="PIC126" s="77"/>
      <c r="PID126" s="77"/>
      <c r="PIE126" s="77"/>
      <c r="PIF126" s="77"/>
      <c r="PIG126" s="77"/>
      <c r="PIH126" s="77"/>
      <c r="PII126" s="77"/>
      <c r="PIJ126" s="77"/>
      <c r="PIK126" s="77"/>
      <c r="PIL126" s="77"/>
      <c r="PIM126" s="77"/>
      <c r="PIN126" s="77"/>
      <c r="PIO126" s="77"/>
      <c r="PIP126" s="77"/>
      <c r="PIQ126" s="77"/>
      <c r="PIR126" s="77"/>
      <c r="PIS126" s="77"/>
      <c r="PIT126" s="77"/>
      <c r="PIU126" s="77"/>
      <c r="PIV126" s="77"/>
      <c r="PIW126" s="77"/>
      <c r="PIX126" s="77"/>
      <c r="PIY126" s="77"/>
      <c r="PIZ126" s="77"/>
      <c r="PJA126" s="77"/>
      <c r="PJB126" s="77"/>
      <c r="PJC126" s="77"/>
      <c r="PJD126" s="77"/>
      <c r="PJE126" s="77"/>
      <c r="PJF126" s="77"/>
      <c r="PJG126" s="77"/>
      <c r="PJH126" s="77"/>
      <c r="PJI126" s="77"/>
      <c r="PJJ126" s="77"/>
      <c r="PJK126" s="77"/>
      <c r="PJL126" s="77"/>
      <c r="PJM126" s="77"/>
      <c r="PJN126" s="77"/>
      <c r="PJO126" s="77"/>
      <c r="PJP126" s="77"/>
      <c r="PJQ126" s="77"/>
      <c r="PJR126" s="77"/>
      <c r="PJS126" s="77"/>
      <c r="PJT126" s="77"/>
      <c r="PJU126" s="77"/>
      <c r="PJV126" s="77"/>
      <c r="PJW126" s="77"/>
      <c r="PJX126" s="77"/>
      <c r="PJY126" s="77"/>
      <c r="PJZ126" s="77"/>
      <c r="PKA126" s="77"/>
      <c r="PKB126" s="77"/>
      <c r="PKC126" s="77"/>
      <c r="PKD126" s="77"/>
      <c r="PKE126" s="77"/>
      <c r="PKF126" s="77"/>
      <c r="PKG126" s="77"/>
      <c r="PKH126" s="77"/>
      <c r="PKI126" s="77"/>
      <c r="PKJ126" s="77"/>
      <c r="PKK126" s="77"/>
      <c r="PKL126" s="77"/>
      <c r="PKM126" s="77"/>
      <c r="PKN126" s="77"/>
      <c r="PKO126" s="77"/>
      <c r="PKP126" s="77"/>
      <c r="PKQ126" s="77"/>
      <c r="PKR126" s="77"/>
      <c r="PKS126" s="77"/>
      <c r="PKT126" s="77"/>
      <c r="PKU126" s="77"/>
      <c r="PKV126" s="77"/>
      <c r="PKW126" s="77"/>
      <c r="PKX126" s="77"/>
      <c r="PKY126" s="77"/>
      <c r="PKZ126" s="77"/>
      <c r="PLA126" s="77"/>
      <c r="PLB126" s="77"/>
      <c r="PLC126" s="77"/>
      <c r="PLD126" s="77"/>
      <c r="PLE126" s="77"/>
      <c r="PLF126" s="77"/>
      <c r="PLG126" s="77"/>
      <c r="PLH126" s="77"/>
      <c r="PLI126" s="77"/>
      <c r="PLJ126" s="77"/>
      <c r="PLK126" s="77"/>
      <c r="PLL126" s="77"/>
      <c r="PLM126" s="77"/>
      <c r="PLN126" s="77"/>
      <c r="PLO126" s="77"/>
      <c r="PLP126" s="77"/>
      <c r="PLQ126" s="77"/>
      <c r="PLR126" s="77"/>
      <c r="PLS126" s="77"/>
      <c r="PLT126" s="77"/>
      <c r="PLU126" s="77"/>
      <c r="PLV126" s="77"/>
      <c r="PLW126" s="77"/>
      <c r="PLX126" s="77"/>
      <c r="PLY126" s="77"/>
      <c r="PLZ126" s="77"/>
      <c r="PMA126" s="77"/>
      <c r="PMB126" s="77"/>
      <c r="PMC126" s="77"/>
      <c r="PMD126" s="77"/>
      <c r="PME126" s="77"/>
      <c r="PMF126" s="77"/>
      <c r="PMG126" s="77"/>
      <c r="PMH126" s="77"/>
      <c r="PMI126" s="77"/>
      <c r="PMJ126" s="77"/>
      <c r="PMK126" s="77"/>
      <c r="PML126" s="77"/>
      <c r="PMM126" s="77"/>
      <c r="PMN126" s="77"/>
      <c r="PMO126" s="77"/>
      <c r="PMP126" s="77"/>
      <c r="PMQ126" s="77"/>
      <c r="PMR126" s="77"/>
      <c r="PMS126" s="77"/>
      <c r="PMT126" s="77"/>
      <c r="PMU126" s="77"/>
      <c r="PMV126" s="77"/>
      <c r="PMW126" s="77"/>
      <c r="PMX126" s="77"/>
      <c r="PMY126" s="77"/>
      <c r="PMZ126" s="77"/>
      <c r="PNA126" s="77"/>
      <c r="PNB126" s="77"/>
      <c r="PNC126" s="77"/>
      <c r="PND126" s="77"/>
      <c r="PNE126" s="77"/>
      <c r="PNF126" s="77"/>
      <c r="PNG126" s="77"/>
      <c r="PNH126" s="77"/>
      <c r="PNI126" s="77"/>
      <c r="PNJ126" s="77"/>
      <c r="PNK126" s="77"/>
      <c r="PNL126" s="77"/>
      <c r="PNM126" s="77"/>
      <c r="PNN126" s="77"/>
      <c r="PNO126" s="77"/>
      <c r="PNP126" s="77"/>
      <c r="PNQ126" s="77"/>
      <c r="PNR126" s="77"/>
      <c r="PNS126" s="77"/>
      <c r="PNT126" s="77"/>
      <c r="PNU126" s="77"/>
      <c r="PNV126" s="77"/>
      <c r="PNW126" s="77"/>
      <c r="PNX126" s="77"/>
      <c r="PNY126" s="77"/>
      <c r="PNZ126" s="77"/>
      <c r="POA126" s="77"/>
      <c r="POB126" s="77"/>
      <c r="POC126" s="77"/>
      <c r="POD126" s="77"/>
      <c r="POE126" s="77"/>
      <c r="POF126" s="77"/>
      <c r="POG126" s="77"/>
      <c r="POH126" s="77"/>
      <c r="POI126" s="77"/>
      <c r="POJ126" s="77"/>
      <c r="POK126" s="77"/>
      <c r="POL126" s="77"/>
      <c r="POM126" s="77"/>
      <c r="PON126" s="77"/>
      <c r="POO126" s="77"/>
      <c r="POP126" s="77"/>
      <c r="POQ126" s="77"/>
      <c r="POR126" s="77"/>
      <c r="POS126" s="77"/>
      <c r="POT126" s="77"/>
      <c r="POU126" s="77"/>
      <c r="POV126" s="77"/>
      <c r="POW126" s="77"/>
      <c r="POX126" s="77"/>
      <c r="POY126" s="77"/>
      <c r="POZ126" s="77"/>
      <c r="PPA126" s="77"/>
      <c r="PPB126" s="77"/>
      <c r="PPC126" s="77"/>
      <c r="PPD126" s="77"/>
      <c r="PPE126" s="77"/>
      <c r="PPF126" s="77"/>
      <c r="PPG126" s="77"/>
      <c r="PPH126" s="77"/>
      <c r="PPI126" s="77"/>
      <c r="PPJ126" s="77"/>
      <c r="PPK126" s="77"/>
      <c r="PPL126" s="77"/>
      <c r="PPM126" s="77"/>
      <c r="PPN126" s="77"/>
      <c r="PPO126" s="77"/>
      <c r="PPP126" s="77"/>
      <c r="PPQ126" s="77"/>
      <c r="PPR126" s="77"/>
      <c r="PPS126" s="77"/>
      <c r="PPT126" s="77"/>
      <c r="PPU126" s="77"/>
      <c r="PPV126" s="77"/>
      <c r="PPW126" s="77"/>
      <c r="PPX126" s="77"/>
      <c r="PPY126" s="77"/>
      <c r="PPZ126" s="77"/>
      <c r="PQA126" s="77"/>
      <c r="PQB126" s="77"/>
      <c r="PQC126" s="77"/>
      <c r="PQD126" s="77"/>
      <c r="PQE126" s="77"/>
      <c r="PQF126" s="77"/>
      <c r="PQG126" s="77"/>
      <c r="PQH126" s="77"/>
      <c r="PQI126" s="77"/>
      <c r="PQJ126" s="77"/>
      <c r="PQK126" s="77"/>
      <c r="PQL126" s="77"/>
      <c r="PQM126" s="77"/>
      <c r="PQN126" s="77"/>
      <c r="PQO126" s="77"/>
      <c r="PQP126" s="77"/>
      <c r="PQQ126" s="77"/>
      <c r="PQR126" s="77"/>
      <c r="PQS126" s="77"/>
      <c r="PQT126" s="77"/>
      <c r="PQU126" s="77"/>
      <c r="PQV126" s="77"/>
      <c r="PQW126" s="77"/>
      <c r="PQX126" s="77"/>
      <c r="PQY126" s="77"/>
      <c r="PQZ126" s="77"/>
      <c r="PRA126" s="77"/>
      <c r="PRB126" s="77"/>
      <c r="PRC126" s="77"/>
      <c r="PRD126" s="77"/>
      <c r="PRE126" s="77"/>
      <c r="PRF126" s="77"/>
      <c r="PRG126" s="77"/>
      <c r="PRH126" s="77"/>
      <c r="PRI126" s="77"/>
      <c r="PRJ126" s="77"/>
      <c r="PRK126" s="77"/>
      <c r="PRL126" s="77"/>
      <c r="PRM126" s="77"/>
      <c r="PRN126" s="77"/>
      <c r="PRO126" s="77"/>
      <c r="PRP126" s="77"/>
      <c r="PRQ126" s="77"/>
      <c r="PRR126" s="77"/>
      <c r="PRS126" s="77"/>
      <c r="PRT126" s="77"/>
      <c r="PRU126" s="77"/>
      <c r="PRV126" s="77"/>
      <c r="PRW126" s="77"/>
      <c r="PRX126" s="77"/>
      <c r="PRY126" s="77"/>
      <c r="PRZ126" s="77"/>
      <c r="PSA126" s="77"/>
      <c r="PSB126" s="77"/>
      <c r="PSC126" s="77"/>
      <c r="PSD126" s="77"/>
      <c r="PSE126" s="77"/>
      <c r="PSF126" s="77"/>
      <c r="PSG126" s="77"/>
      <c r="PSH126" s="77"/>
      <c r="PSI126" s="77"/>
      <c r="PSJ126" s="77"/>
      <c r="PSK126" s="77"/>
      <c r="PSL126" s="77"/>
      <c r="PSM126" s="77"/>
      <c r="PSN126" s="77"/>
      <c r="PSO126" s="77"/>
      <c r="PSP126" s="77"/>
      <c r="PSQ126" s="77"/>
      <c r="PSR126" s="77"/>
      <c r="PSS126" s="77"/>
      <c r="PST126" s="77"/>
      <c r="PSU126" s="77"/>
      <c r="PSV126" s="77"/>
      <c r="PSW126" s="77"/>
      <c r="PSX126" s="77"/>
      <c r="PSY126" s="77"/>
      <c r="PSZ126" s="77"/>
      <c r="PTA126" s="77"/>
      <c r="PTB126" s="77"/>
      <c r="PTC126" s="77"/>
      <c r="PTD126" s="77"/>
      <c r="PTE126" s="77"/>
      <c r="PTF126" s="77"/>
      <c r="PTG126" s="77"/>
      <c r="PTH126" s="77"/>
      <c r="PTI126" s="77"/>
      <c r="PTJ126" s="77"/>
      <c r="PTK126" s="77"/>
      <c r="PTL126" s="77"/>
      <c r="PTM126" s="77"/>
      <c r="PTN126" s="77"/>
      <c r="PTO126" s="77"/>
      <c r="PTP126" s="77"/>
      <c r="PTQ126" s="77"/>
      <c r="PTR126" s="77"/>
      <c r="PTS126" s="77"/>
      <c r="PTT126" s="77"/>
      <c r="PTU126" s="77"/>
      <c r="PTV126" s="77"/>
      <c r="PTW126" s="77"/>
      <c r="PTX126" s="77"/>
      <c r="PTY126" s="77"/>
      <c r="PTZ126" s="77"/>
      <c r="PUA126" s="77"/>
      <c r="PUB126" s="77"/>
      <c r="PUC126" s="77"/>
      <c r="PUD126" s="77"/>
      <c r="PUE126" s="77"/>
      <c r="PUF126" s="77"/>
      <c r="PUG126" s="77"/>
      <c r="PUH126" s="77"/>
      <c r="PUI126" s="77"/>
      <c r="PUJ126" s="77"/>
      <c r="PUK126" s="77"/>
      <c r="PUL126" s="77"/>
      <c r="PUM126" s="77"/>
      <c r="PUN126" s="77"/>
      <c r="PUO126" s="77"/>
      <c r="PUP126" s="77"/>
      <c r="PUQ126" s="77"/>
      <c r="PUR126" s="77"/>
      <c r="PUS126" s="77"/>
      <c r="PUT126" s="77"/>
      <c r="PUU126" s="77"/>
      <c r="PUV126" s="77"/>
      <c r="PUW126" s="77"/>
      <c r="PUX126" s="77"/>
      <c r="PUY126" s="77"/>
      <c r="PUZ126" s="77"/>
      <c r="PVA126" s="77"/>
      <c r="PVB126" s="77"/>
      <c r="PVC126" s="77"/>
      <c r="PVD126" s="77"/>
      <c r="PVE126" s="77"/>
      <c r="PVF126" s="77"/>
      <c r="PVG126" s="77"/>
      <c r="PVH126" s="77"/>
      <c r="PVI126" s="77"/>
      <c r="PVJ126" s="77"/>
      <c r="PVK126" s="77"/>
      <c r="PVL126" s="77"/>
      <c r="PVM126" s="77"/>
      <c r="PVN126" s="77"/>
      <c r="PVO126" s="77"/>
      <c r="PVP126" s="77"/>
      <c r="PVQ126" s="77"/>
      <c r="PVR126" s="77"/>
      <c r="PVS126" s="77"/>
      <c r="PVT126" s="77"/>
      <c r="PVU126" s="77"/>
      <c r="PVV126" s="77"/>
      <c r="PVW126" s="77"/>
      <c r="PVX126" s="77"/>
      <c r="PVY126" s="77"/>
      <c r="PVZ126" s="77"/>
      <c r="PWA126" s="77"/>
      <c r="PWB126" s="77"/>
      <c r="PWC126" s="77"/>
      <c r="PWD126" s="77"/>
      <c r="PWE126" s="77"/>
      <c r="PWF126" s="77"/>
      <c r="PWG126" s="77"/>
      <c r="PWH126" s="77"/>
      <c r="PWI126" s="77"/>
      <c r="PWJ126" s="77"/>
      <c r="PWK126" s="77"/>
      <c r="PWL126" s="77"/>
      <c r="PWM126" s="77"/>
      <c r="PWN126" s="77"/>
      <c r="PWO126" s="77"/>
      <c r="PWP126" s="77"/>
      <c r="PWQ126" s="77"/>
      <c r="PWR126" s="77"/>
      <c r="PWS126" s="77"/>
      <c r="PWT126" s="77"/>
      <c r="PWU126" s="77"/>
      <c r="PWV126" s="77"/>
      <c r="PWW126" s="77"/>
      <c r="PWX126" s="77"/>
      <c r="PWY126" s="77"/>
      <c r="PWZ126" s="77"/>
      <c r="PXA126" s="77"/>
      <c r="PXB126" s="77"/>
      <c r="PXC126" s="77"/>
      <c r="PXD126" s="77"/>
      <c r="PXE126" s="77"/>
      <c r="PXF126" s="77"/>
      <c r="PXG126" s="77"/>
      <c r="PXH126" s="77"/>
      <c r="PXI126" s="77"/>
      <c r="PXJ126" s="77"/>
      <c r="PXK126" s="77"/>
      <c r="PXL126" s="77"/>
      <c r="PXM126" s="77"/>
      <c r="PXN126" s="77"/>
      <c r="PXO126" s="77"/>
      <c r="PXP126" s="77"/>
      <c r="PXQ126" s="77"/>
      <c r="PXR126" s="77"/>
      <c r="PXS126" s="77"/>
      <c r="PXT126" s="77"/>
      <c r="PXU126" s="77"/>
      <c r="PXV126" s="77"/>
      <c r="PXW126" s="77"/>
      <c r="PXX126" s="77"/>
      <c r="PXY126" s="77"/>
      <c r="PXZ126" s="77"/>
      <c r="PYA126" s="77"/>
      <c r="PYB126" s="77"/>
      <c r="PYC126" s="77"/>
      <c r="PYD126" s="77"/>
      <c r="PYE126" s="77"/>
      <c r="PYF126" s="77"/>
      <c r="PYG126" s="77"/>
      <c r="PYH126" s="77"/>
      <c r="PYI126" s="77"/>
      <c r="PYJ126" s="77"/>
      <c r="PYK126" s="77"/>
      <c r="PYL126" s="77"/>
      <c r="PYM126" s="77"/>
      <c r="PYN126" s="77"/>
      <c r="PYO126" s="77"/>
      <c r="PYP126" s="77"/>
      <c r="PYQ126" s="77"/>
      <c r="PYR126" s="77"/>
      <c r="PYS126" s="77"/>
      <c r="PYT126" s="77"/>
      <c r="PYU126" s="77"/>
      <c r="PYV126" s="77"/>
      <c r="PYW126" s="77"/>
      <c r="PYX126" s="77"/>
      <c r="PYY126" s="77"/>
      <c r="PYZ126" s="77"/>
      <c r="PZA126" s="77"/>
      <c r="PZB126" s="77"/>
      <c r="PZC126" s="77"/>
      <c r="PZD126" s="77"/>
      <c r="PZE126" s="77"/>
      <c r="PZF126" s="77"/>
      <c r="PZG126" s="77"/>
      <c r="PZH126" s="77"/>
      <c r="PZI126" s="77"/>
      <c r="PZJ126" s="77"/>
      <c r="PZK126" s="77"/>
      <c r="PZL126" s="77"/>
      <c r="PZM126" s="77"/>
      <c r="PZN126" s="77"/>
      <c r="PZO126" s="77"/>
      <c r="PZP126" s="77"/>
      <c r="PZQ126" s="77"/>
      <c r="PZR126" s="77"/>
      <c r="PZS126" s="77"/>
      <c r="PZT126" s="77"/>
      <c r="PZU126" s="77"/>
      <c r="PZV126" s="77"/>
      <c r="PZW126" s="77"/>
      <c r="PZX126" s="77"/>
      <c r="PZY126" s="77"/>
      <c r="PZZ126" s="77"/>
      <c r="QAA126" s="77"/>
      <c r="QAB126" s="77"/>
      <c r="QAC126" s="77"/>
      <c r="QAD126" s="77"/>
      <c r="QAE126" s="77"/>
      <c r="QAF126" s="77"/>
      <c r="QAG126" s="77"/>
      <c r="QAH126" s="77"/>
      <c r="QAI126" s="77"/>
      <c r="QAJ126" s="77"/>
      <c r="QAK126" s="77"/>
      <c r="QAL126" s="77"/>
      <c r="QAM126" s="77"/>
      <c r="QAN126" s="77"/>
      <c r="QAO126" s="77"/>
      <c r="QAP126" s="77"/>
      <c r="QAQ126" s="77"/>
      <c r="QAR126" s="77"/>
      <c r="QAS126" s="77"/>
      <c r="QAT126" s="77"/>
      <c r="QAU126" s="77"/>
      <c r="QAV126" s="77"/>
      <c r="QAW126" s="77"/>
      <c r="QAX126" s="77"/>
      <c r="QAY126" s="77"/>
      <c r="QAZ126" s="77"/>
      <c r="QBA126" s="77"/>
      <c r="QBB126" s="77"/>
      <c r="QBC126" s="77"/>
      <c r="QBD126" s="77"/>
      <c r="QBE126" s="77"/>
      <c r="QBF126" s="77"/>
      <c r="QBG126" s="77"/>
      <c r="QBH126" s="77"/>
      <c r="QBI126" s="77"/>
      <c r="QBJ126" s="77"/>
      <c r="QBK126" s="77"/>
      <c r="QBL126" s="77"/>
      <c r="QBM126" s="77"/>
      <c r="QBN126" s="77"/>
      <c r="QBO126" s="77"/>
      <c r="QBP126" s="77"/>
      <c r="QBQ126" s="77"/>
      <c r="QBR126" s="77"/>
      <c r="QBS126" s="77"/>
      <c r="QBT126" s="77"/>
      <c r="QBU126" s="77"/>
      <c r="QBV126" s="77"/>
      <c r="QBW126" s="77"/>
      <c r="QBX126" s="77"/>
      <c r="QBY126" s="77"/>
      <c r="QBZ126" s="77"/>
      <c r="QCA126" s="77"/>
      <c r="QCB126" s="77"/>
      <c r="QCC126" s="77"/>
      <c r="QCD126" s="77"/>
      <c r="QCE126" s="77"/>
      <c r="QCF126" s="77"/>
      <c r="QCG126" s="77"/>
      <c r="QCH126" s="77"/>
      <c r="QCI126" s="77"/>
      <c r="QCJ126" s="77"/>
      <c r="QCK126" s="77"/>
      <c r="QCL126" s="77"/>
      <c r="QCM126" s="77"/>
      <c r="QCN126" s="77"/>
      <c r="QCO126" s="77"/>
      <c r="QCP126" s="77"/>
      <c r="QCQ126" s="77"/>
      <c r="QCR126" s="77"/>
      <c r="QCS126" s="77"/>
      <c r="QCT126" s="77"/>
      <c r="QCU126" s="77"/>
      <c r="QCV126" s="77"/>
      <c r="QCW126" s="77"/>
      <c r="QCX126" s="77"/>
      <c r="QCY126" s="77"/>
      <c r="QCZ126" s="77"/>
      <c r="QDA126" s="77"/>
      <c r="QDB126" s="77"/>
      <c r="QDC126" s="77"/>
      <c r="QDD126" s="77"/>
      <c r="QDE126" s="77"/>
      <c r="QDF126" s="77"/>
      <c r="QDG126" s="77"/>
      <c r="QDH126" s="77"/>
      <c r="QDI126" s="77"/>
      <c r="QDJ126" s="77"/>
      <c r="QDK126" s="77"/>
      <c r="QDL126" s="77"/>
      <c r="QDM126" s="77"/>
      <c r="QDN126" s="77"/>
      <c r="QDO126" s="77"/>
      <c r="QDP126" s="77"/>
      <c r="QDQ126" s="77"/>
      <c r="QDR126" s="77"/>
      <c r="QDS126" s="77"/>
      <c r="QDT126" s="77"/>
      <c r="QDU126" s="77"/>
      <c r="QDV126" s="77"/>
      <c r="QDW126" s="77"/>
      <c r="QDX126" s="77"/>
      <c r="QDY126" s="77"/>
      <c r="QDZ126" s="77"/>
      <c r="QEA126" s="77"/>
      <c r="QEB126" s="77"/>
      <c r="QEC126" s="77"/>
      <c r="QED126" s="77"/>
      <c r="QEE126" s="77"/>
      <c r="QEF126" s="77"/>
      <c r="QEG126" s="77"/>
      <c r="QEH126" s="77"/>
      <c r="QEI126" s="77"/>
      <c r="QEJ126" s="77"/>
      <c r="QEK126" s="77"/>
      <c r="QEL126" s="77"/>
      <c r="QEM126" s="77"/>
      <c r="QEN126" s="77"/>
      <c r="QEO126" s="77"/>
      <c r="QEP126" s="77"/>
      <c r="QEQ126" s="77"/>
      <c r="QER126" s="77"/>
      <c r="QES126" s="77"/>
      <c r="QET126" s="77"/>
      <c r="QEU126" s="77"/>
      <c r="QEV126" s="77"/>
      <c r="QEW126" s="77"/>
      <c r="QEX126" s="77"/>
      <c r="QEY126" s="77"/>
      <c r="QEZ126" s="77"/>
      <c r="QFA126" s="77"/>
      <c r="QFB126" s="77"/>
      <c r="QFC126" s="77"/>
      <c r="QFD126" s="77"/>
      <c r="QFE126" s="77"/>
      <c r="QFF126" s="77"/>
      <c r="QFG126" s="77"/>
      <c r="QFH126" s="77"/>
      <c r="QFI126" s="77"/>
      <c r="QFJ126" s="77"/>
      <c r="QFK126" s="77"/>
      <c r="QFL126" s="77"/>
      <c r="QFM126" s="77"/>
      <c r="QFN126" s="77"/>
      <c r="QFO126" s="77"/>
      <c r="QFP126" s="77"/>
      <c r="QFQ126" s="77"/>
      <c r="QFR126" s="77"/>
      <c r="QFS126" s="77"/>
      <c r="QFT126" s="77"/>
      <c r="QFU126" s="77"/>
      <c r="QFV126" s="77"/>
      <c r="QFW126" s="77"/>
      <c r="QFX126" s="77"/>
      <c r="QFY126" s="77"/>
      <c r="QFZ126" s="77"/>
      <c r="QGA126" s="77"/>
      <c r="QGB126" s="77"/>
      <c r="QGC126" s="77"/>
      <c r="QGD126" s="77"/>
      <c r="QGE126" s="77"/>
      <c r="QGF126" s="77"/>
      <c r="QGG126" s="77"/>
      <c r="QGH126" s="77"/>
      <c r="QGI126" s="77"/>
      <c r="QGJ126" s="77"/>
      <c r="QGK126" s="77"/>
      <c r="QGL126" s="77"/>
      <c r="QGM126" s="77"/>
      <c r="QGN126" s="77"/>
      <c r="QGO126" s="77"/>
      <c r="QGP126" s="77"/>
      <c r="QGQ126" s="77"/>
      <c r="QGR126" s="77"/>
      <c r="QGS126" s="77"/>
      <c r="QGT126" s="77"/>
      <c r="QGU126" s="77"/>
      <c r="QGV126" s="77"/>
      <c r="QGW126" s="77"/>
      <c r="QGX126" s="77"/>
      <c r="QGY126" s="77"/>
      <c r="QGZ126" s="77"/>
      <c r="QHA126" s="77"/>
      <c r="QHB126" s="77"/>
      <c r="QHC126" s="77"/>
      <c r="QHD126" s="77"/>
      <c r="QHE126" s="77"/>
      <c r="QHF126" s="77"/>
      <c r="QHG126" s="77"/>
      <c r="QHH126" s="77"/>
      <c r="QHI126" s="77"/>
      <c r="QHJ126" s="77"/>
      <c r="QHK126" s="77"/>
      <c r="QHL126" s="77"/>
      <c r="QHM126" s="77"/>
      <c r="QHN126" s="77"/>
      <c r="QHO126" s="77"/>
      <c r="QHP126" s="77"/>
      <c r="QHQ126" s="77"/>
      <c r="QHR126" s="77"/>
      <c r="QHS126" s="77"/>
      <c r="QHT126" s="77"/>
      <c r="QHU126" s="77"/>
      <c r="QHV126" s="77"/>
      <c r="QHW126" s="77"/>
      <c r="QHX126" s="77"/>
      <c r="QHY126" s="77"/>
      <c r="QHZ126" s="77"/>
      <c r="QIA126" s="77"/>
      <c r="QIB126" s="77"/>
      <c r="QIC126" s="77"/>
      <c r="QID126" s="77"/>
      <c r="QIE126" s="77"/>
      <c r="QIF126" s="77"/>
      <c r="QIG126" s="77"/>
      <c r="QIH126" s="77"/>
      <c r="QII126" s="77"/>
      <c r="QIJ126" s="77"/>
      <c r="QIK126" s="77"/>
      <c r="QIL126" s="77"/>
      <c r="QIM126" s="77"/>
      <c r="QIN126" s="77"/>
      <c r="QIO126" s="77"/>
      <c r="QIP126" s="77"/>
      <c r="QIQ126" s="77"/>
      <c r="QIR126" s="77"/>
      <c r="QIS126" s="77"/>
      <c r="QIT126" s="77"/>
      <c r="QIU126" s="77"/>
      <c r="QIV126" s="77"/>
      <c r="QIW126" s="77"/>
      <c r="QIX126" s="77"/>
      <c r="QIY126" s="77"/>
      <c r="QIZ126" s="77"/>
      <c r="QJA126" s="77"/>
      <c r="QJB126" s="77"/>
      <c r="QJC126" s="77"/>
      <c r="QJD126" s="77"/>
      <c r="QJE126" s="77"/>
      <c r="QJF126" s="77"/>
      <c r="QJG126" s="77"/>
      <c r="QJH126" s="77"/>
      <c r="QJI126" s="77"/>
      <c r="QJJ126" s="77"/>
      <c r="QJK126" s="77"/>
      <c r="QJL126" s="77"/>
      <c r="QJM126" s="77"/>
      <c r="QJN126" s="77"/>
      <c r="QJO126" s="77"/>
      <c r="QJP126" s="77"/>
      <c r="QJQ126" s="77"/>
      <c r="QJR126" s="77"/>
      <c r="QJS126" s="77"/>
      <c r="QJT126" s="77"/>
      <c r="QJU126" s="77"/>
      <c r="QJV126" s="77"/>
      <c r="QJW126" s="77"/>
      <c r="QJX126" s="77"/>
      <c r="QJY126" s="77"/>
      <c r="QJZ126" s="77"/>
      <c r="QKA126" s="77"/>
      <c r="QKB126" s="77"/>
      <c r="QKC126" s="77"/>
      <c r="QKD126" s="77"/>
      <c r="QKE126" s="77"/>
      <c r="QKF126" s="77"/>
      <c r="QKG126" s="77"/>
      <c r="QKH126" s="77"/>
      <c r="QKI126" s="77"/>
      <c r="QKJ126" s="77"/>
      <c r="QKK126" s="77"/>
      <c r="QKL126" s="77"/>
      <c r="QKM126" s="77"/>
      <c r="QKN126" s="77"/>
      <c r="QKO126" s="77"/>
      <c r="QKP126" s="77"/>
      <c r="QKQ126" s="77"/>
      <c r="QKR126" s="77"/>
      <c r="QKS126" s="77"/>
      <c r="QKT126" s="77"/>
      <c r="QKU126" s="77"/>
      <c r="QKV126" s="77"/>
      <c r="QKW126" s="77"/>
      <c r="QKX126" s="77"/>
      <c r="QKY126" s="77"/>
      <c r="QKZ126" s="77"/>
      <c r="QLA126" s="77"/>
      <c r="QLB126" s="77"/>
      <c r="QLC126" s="77"/>
      <c r="QLD126" s="77"/>
      <c r="QLE126" s="77"/>
      <c r="QLF126" s="77"/>
      <c r="QLG126" s="77"/>
      <c r="QLH126" s="77"/>
      <c r="QLI126" s="77"/>
      <c r="QLJ126" s="77"/>
      <c r="QLK126" s="77"/>
      <c r="QLL126" s="77"/>
      <c r="QLM126" s="77"/>
      <c r="QLN126" s="77"/>
      <c r="QLO126" s="77"/>
      <c r="QLP126" s="77"/>
      <c r="QLQ126" s="77"/>
      <c r="QLR126" s="77"/>
      <c r="QLS126" s="77"/>
      <c r="QLT126" s="77"/>
      <c r="QLU126" s="77"/>
      <c r="QLV126" s="77"/>
      <c r="QLW126" s="77"/>
      <c r="QLX126" s="77"/>
      <c r="QLY126" s="77"/>
      <c r="QLZ126" s="77"/>
      <c r="QMA126" s="77"/>
      <c r="QMB126" s="77"/>
      <c r="QMC126" s="77"/>
      <c r="QMD126" s="77"/>
      <c r="QME126" s="77"/>
      <c r="QMF126" s="77"/>
      <c r="QMG126" s="77"/>
      <c r="QMH126" s="77"/>
      <c r="QMI126" s="77"/>
      <c r="QMJ126" s="77"/>
      <c r="QMK126" s="77"/>
      <c r="QML126" s="77"/>
      <c r="QMM126" s="77"/>
      <c r="QMN126" s="77"/>
      <c r="QMO126" s="77"/>
      <c r="QMP126" s="77"/>
      <c r="QMQ126" s="77"/>
      <c r="QMR126" s="77"/>
      <c r="QMS126" s="77"/>
      <c r="QMT126" s="77"/>
      <c r="QMU126" s="77"/>
      <c r="QMV126" s="77"/>
      <c r="QMW126" s="77"/>
      <c r="QMX126" s="77"/>
      <c r="QMY126" s="77"/>
      <c r="QMZ126" s="77"/>
      <c r="QNA126" s="77"/>
      <c r="QNB126" s="77"/>
      <c r="QNC126" s="77"/>
      <c r="QND126" s="77"/>
      <c r="QNE126" s="77"/>
      <c r="QNF126" s="77"/>
      <c r="QNG126" s="77"/>
      <c r="QNH126" s="77"/>
      <c r="QNI126" s="77"/>
      <c r="QNJ126" s="77"/>
      <c r="QNK126" s="77"/>
      <c r="QNL126" s="77"/>
      <c r="QNM126" s="77"/>
      <c r="QNN126" s="77"/>
      <c r="QNO126" s="77"/>
      <c r="QNP126" s="77"/>
      <c r="QNQ126" s="77"/>
      <c r="QNR126" s="77"/>
      <c r="QNS126" s="77"/>
      <c r="QNT126" s="77"/>
      <c r="QNU126" s="77"/>
      <c r="QNV126" s="77"/>
      <c r="QNW126" s="77"/>
      <c r="QNX126" s="77"/>
      <c r="QNY126" s="77"/>
      <c r="QNZ126" s="77"/>
      <c r="QOA126" s="77"/>
      <c r="QOB126" s="77"/>
      <c r="QOC126" s="77"/>
      <c r="QOD126" s="77"/>
      <c r="QOE126" s="77"/>
      <c r="QOF126" s="77"/>
      <c r="QOG126" s="77"/>
      <c r="QOH126" s="77"/>
      <c r="QOI126" s="77"/>
      <c r="QOJ126" s="77"/>
      <c r="QOK126" s="77"/>
      <c r="QOL126" s="77"/>
      <c r="QOM126" s="77"/>
      <c r="QON126" s="77"/>
      <c r="QOO126" s="77"/>
      <c r="QOP126" s="77"/>
      <c r="QOQ126" s="77"/>
      <c r="QOR126" s="77"/>
      <c r="QOS126" s="77"/>
      <c r="QOT126" s="77"/>
      <c r="QOU126" s="77"/>
      <c r="QOV126" s="77"/>
      <c r="QOW126" s="77"/>
      <c r="QOX126" s="77"/>
      <c r="QOY126" s="77"/>
      <c r="QOZ126" s="77"/>
      <c r="QPA126" s="77"/>
      <c r="QPB126" s="77"/>
      <c r="QPC126" s="77"/>
      <c r="QPD126" s="77"/>
      <c r="QPE126" s="77"/>
      <c r="QPF126" s="77"/>
      <c r="QPG126" s="77"/>
      <c r="QPH126" s="77"/>
      <c r="QPI126" s="77"/>
      <c r="QPJ126" s="77"/>
      <c r="QPK126" s="77"/>
      <c r="QPL126" s="77"/>
      <c r="QPM126" s="77"/>
      <c r="QPN126" s="77"/>
      <c r="QPO126" s="77"/>
      <c r="QPP126" s="77"/>
      <c r="QPQ126" s="77"/>
      <c r="QPR126" s="77"/>
      <c r="QPS126" s="77"/>
      <c r="QPT126" s="77"/>
      <c r="QPU126" s="77"/>
      <c r="QPV126" s="77"/>
      <c r="QPW126" s="77"/>
      <c r="QPX126" s="77"/>
      <c r="QPY126" s="77"/>
      <c r="QPZ126" s="77"/>
      <c r="QQA126" s="77"/>
      <c r="QQB126" s="77"/>
      <c r="QQC126" s="77"/>
      <c r="QQD126" s="77"/>
      <c r="QQE126" s="77"/>
      <c r="QQF126" s="77"/>
      <c r="QQG126" s="77"/>
      <c r="QQH126" s="77"/>
      <c r="QQI126" s="77"/>
      <c r="QQJ126" s="77"/>
      <c r="QQK126" s="77"/>
      <c r="QQL126" s="77"/>
      <c r="QQM126" s="77"/>
      <c r="QQN126" s="77"/>
      <c r="QQO126" s="77"/>
      <c r="QQP126" s="77"/>
      <c r="QQQ126" s="77"/>
      <c r="QQR126" s="77"/>
      <c r="QQS126" s="77"/>
      <c r="QQT126" s="77"/>
      <c r="QQU126" s="77"/>
      <c r="QQV126" s="77"/>
      <c r="QQW126" s="77"/>
      <c r="QQX126" s="77"/>
      <c r="QQY126" s="77"/>
      <c r="QQZ126" s="77"/>
      <c r="QRA126" s="77"/>
      <c r="QRB126" s="77"/>
      <c r="QRC126" s="77"/>
      <c r="QRD126" s="77"/>
      <c r="QRE126" s="77"/>
      <c r="QRF126" s="77"/>
      <c r="QRG126" s="77"/>
      <c r="QRH126" s="77"/>
      <c r="QRI126" s="77"/>
      <c r="QRJ126" s="77"/>
      <c r="QRK126" s="77"/>
      <c r="QRL126" s="77"/>
      <c r="QRM126" s="77"/>
      <c r="QRN126" s="77"/>
      <c r="QRO126" s="77"/>
      <c r="QRP126" s="77"/>
      <c r="QRQ126" s="77"/>
      <c r="QRR126" s="77"/>
      <c r="QRS126" s="77"/>
      <c r="QRT126" s="77"/>
      <c r="QRU126" s="77"/>
      <c r="QRV126" s="77"/>
      <c r="QRW126" s="77"/>
      <c r="QRX126" s="77"/>
      <c r="QRY126" s="77"/>
      <c r="QRZ126" s="77"/>
      <c r="QSA126" s="77"/>
      <c r="QSB126" s="77"/>
      <c r="QSC126" s="77"/>
      <c r="QSD126" s="77"/>
      <c r="QSE126" s="77"/>
      <c r="QSF126" s="77"/>
      <c r="QSG126" s="77"/>
      <c r="QSH126" s="77"/>
      <c r="QSI126" s="77"/>
      <c r="QSJ126" s="77"/>
      <c r="QSK126" s="77"/>
      <c r="QSL126" s="77"/>
      <c r="QSM126" s="77"/>
      <c r="QSN126" s="77"/>
      <c r="QSO126" s="77"/>
      <c r="QSP126" s="77"/>
      <c r="QSQ126" s="77"/>
      <c r="QSR126" s="77"/>
      <c r="QSS126" s="77"/>
      <c r="QST126" s="77"/>
      <c r="QSU126" s="77"/>
      <c r="QSV126" s="77"/>
      <c r="QSW126" s="77"/>
      <c r="QSX126" s="77"/>
      <c r="QSY126" s="77"/>
      <c r="QSZ126" s="77"/>
      <c r="QTA126" s="77"/>
      <c r="QTB126" s="77"/>
      <c r="QTC126" s="77"/>
      <c r="QTD126" s="77"/>
      <c r="QTE126" s="77"/>
      <c r="QTF126" s="77"/>
      <c r="QTG126" s="77"/>
      <c r="QTH126" s="77"/>
      <c r="QTI126" s="77"/>
      <c r="QTJ126" s="77"/>
      <c r="QTK126" s="77"/>
      <c r="QTL126" s="77"/>
      <c r="QTM126" s="77"/>
      <c r="QTN126" s="77"/>
      <c r="QTO126" s="77"/>
      <c r="QTP126" s="77"/>
      <c r="QTQ126" s="77"/>
      <c r="QTR126" s="77"/>
      <c r="QTS126" s="77"/>
      <c r="QTT126" s="77"/>
      <c r="QTU126" s="77"/>
      <c r="QTV126" s="77"/>
      <c r="QTW126" s="77"/>
      <c r="QTX126" s="77"/>
      <c r="QTY126" s="77"/>
      <c r="QTZ126" s="77"/>
      <c r="QUA126" s="77"/>
      <c r="QUB126" s="77"/>
      <c r="QUC126" s="77"/>
      <c r="QUD126" s="77"/>
      <c r="QUE126" s="77"/>
      <c r="QUF126" s="77"/>
      <c r="QUG126" s="77"/>
      <c r="QUH126" s="77"/>
      <c r="QUI126" s="77"/>
      <c r="QUJ126" s="77"/>
      <c r="QUK126" s="77"/>
      <c r="QUL126" s="77"/>
      <c r="QUM126" s="77"/>
      <c r="QUN126" s="77"/>
      <c r="QUO126" s="77"/>
      <c r="QUP126" s="77"/>
      <c r="QUQ126" s="77"/>
      <c r="QUR126" s="77"/>
      <c r="QUS126" s="77"/>
      <c r="QUT126" s="77"/>
      <c r="QUU126" s="77"/>
      <c r="QUV126" s="77"/>
      <c r="QUW126" s="77"/>
      <c r="QUX126" s="77"/>
      <c r="QUY126" s="77"/>
      <c r="QUZ126" s="77"/>
      <c r="QVA126" s="77"/>
      <c r="QVB126" s="77"/>
      <c r="QVC126" s="77"/>
      <c r="QVD126" s="77"/>
      <c r="QVE126" s="77"/>
      <c r="QVF126" s="77"/>
      <c r="QVG126" s="77"/>
      <c r="QVH126" s="77"/>
      <c r="QVI126" s="77"/>
      <c r="QVJ126" s="77"/>
      <c r="QVK126" s="77"/>
      <c r="QVL126" s="77"/>
      <c r="QVM126" s="77"/>
      <c r="QVN126" s="77"/>
      <c r="QVO126" s="77"/>
      <c r="QVP126" s="77"/>
      <c r="QVQ126" s="77"/>
      <c r="QVR126" s="77"/>
      <c r="QVS126" s="77"/>
      <c r="QVT126" s="77"/>
      <c r="QVU126" s="77"/>
      <c r="QVV126" s="77"/>
      <c r="QVW126" s="77"/>
      <c r="QVX126" s="77"/>
      <c r="QVY126" s="77"/>
      <c r="QVZ126" s="77"/>
      <c r="QWA126" s="77"/>
      <c r="QWB126" s="77"/>
      <c r="QWC126" s="77"/>
      <c r="QWD126" s="77"/>
      <c r="QWE126" s="77"/>
      <c r="QWF126" s="77"/>
      <c r="QWG126" s="77"/>
      <c r="QWH126" s="77"/>
      <c r="QWI126" s="77"/>
      <c r="QWJ126" s="77"/>
      <c r="QWK126" s="77"/>
      <c r="QWL126" s="77"/>
      <c r="QWM126" s="77"/>
      <c r="QWN126" s="77"/>
      <c r="QWO126" s="77"/>
      <c r="QWP126" s="77"/>
      <c r="QWQ126" s="77"/>
      <c r="QWR126" s="77"/>
      <c r="QWS126" s="77"/>
      <c r="QWT126" s="77"/>
      <c r="QWU126" s="77"/>
      <c r="QWV126" s="77"/>
      <c r="QWW126" s="77"/>
      <c r="QWX126" s="77"/>
      <c r="QWY126" s="77"/>
      <c r="QWZ126" s="77"/>
      <c r="QXA126" s="77"/>
      <c r="QXB126" s="77"/>
      <c r="QXC126" s="77"/>
      <c r="QXD126" s="77"/>
      <c r="QXE126" s="77"/>
      <c r="QXF126" s="77"/>
      <c r="QXG126" s="77"/>
      <c r="QXH126" s="77"/>
      <c r="QXI126" s="77"/>
      <c r="QXJ126" s="77"/>
      <c r="QXK126" s="77"/>
      <c r="QXL126" s="77"/>
      <c r="QXM126" s="77"/>
      <c r="QXN126" s="77"/>
      <c r="QXO126" s="77"/>
      <c r="QXP126" s="77"/>
      <c r="QXQ126" s="77"/>
      <c r="QXR126" s="77"/>
      <c r="QXS126" s="77"/>
      <c r="QXT126" s="77"/>
      <c r="QXU126" s="77"/>
      <c r="QXV126" s="77"/>
      <c r="QXW126" s="77"/>
      <c r="QXX126" s="77"/>
      <c r="QXY126" s="77"/>
      <c r="QXZ126" s="77"/>
      <c r="QYA126" s="77"/>
      <c r="QYB126" s="77"/>
      <c r="QYC126" s="77"/>
      <c r="QYD126" s="77"/>
      <c r="QYE126" s="77"/>
      <c r="QYF126" s="77"/>
      <c r="QYG126" s="77"/>
      <c r="QYH126" s="77"/>
      <c r="QYI126" s="77"/>
      <c r="QYJ126" s="77"/>
      <c r="QYK126" s="77"/>
      <c r="QYL126" s="77"/>
      <c r="QYM126" s="77"/>
      <c r="QYN126" s="77"/>
      <c r="QYO126" s="77"/>
      <c r="QYP126" s="77"/>
      <c r="QYQ126" s="77"/>
      <c r="QYR126" s="77"/>
      <c r="QYS126" s="77"/>
      <c r="QYT126" s="77"/>
      <c r="QYU126" s="77"/>
      <c r="QYV126" s="77"/>
      <c r="QYW126" s="77"/>
      <c r="QYX126" s="77"/>
      <c r="QYY126" s="77"/>
      <c r="QYZ126" s="77"/>
      <c r="QZA126" s="77"/>
      <c r="QZB126" s="77"/>
      <c r="QZC126" s="77"/>
      <c r="QZD126" s="77"/>
      <c r="QZE126" s="77"/>
      <c r="QZF126" s="77"/>
      <c r="QZG126" s="77"/>
      <c r="QZH126" s="77"/>
      <c r="QZI126" s="77"/>
      <c r="QZJ126" s="77"/>
      <c r="QZK126" s="77"/>
      <c r="QZL126" s="77"/>
      <c r="QZM126" s="77"/>
      <c r="QZN126" s="77"/>
      <c r="QZO126" s="77"/>
      <c r="QZP126" s="77"/>
      <c r="QZQ126" s="77"/>
      <c r="QZR126" s="77"/>
      <c r="QZS126" s="77"/>
      <c r="QZT126" s="77"/>
      <c r="QZU126" s="77"/>
      <c r="QZV126" s="77"/>
      <c r="QZW126" s="77"/>
      <c r="QZX126" s="77"/>
      <c r="QZY126" s="77"/>
      <c r="QZZ126" s="77"/>
      <c r="RAA126" s="77"/>
      <c r="RAB126" s="77"/>
      <c r="RAC126" s="77"/>
      <c r="RAD126" s="77"/>
      <c r="RAE126" s="77"/>
      <c r="RAF126" s="77"/>
      <c r="RAG126" s="77"/>
      <c r="RAH126" s="77"/>
      <c r="RAI126" s="77"/>
      <c r="RAJ126" s="77"/>
      <c r="RAK126" s="77"/>
      <c r="RAL126" s="77"/>
      <c r="RAM126" s="77"/>
      <c r="RAN126" s="77"/>
      <c r="RAO126" s="77"/>
      <c r="RAP126" s="77"/>
      <c r="RAQ126" s="77"/>
      <c r="RAR126" s="77"/>
      <c r="RAS126" s="77"/>
      <c r="RAT126" s="77"/>
      <c r="RAU126" s="77"/>
      <c r="RAV126" s="77"/>
      <c r="RAW126" s="77"/>
      <c r="RAX126" s="77"/>
      <c r="RAY126" s="77"/>
      <c r="RAZ126" s="77"/>
      <c r="RBA126" s="77"/>
      <c r="RBB126" s="77"/>
      <c r="RBC126" s="77"/>
      <c r="RBD126" s="77"/>
      <c r="RBE126" s="77"/>
      <c r="RBF126" s="77"/>
      <c r="RBG126" s="77"/>
      <c r="RBH126" s="77"/>
      <c r="RBI126" s="77"/>
      <c r="RBJ126" s="77"/>
      <c r="RBK126" s="77"/>
      <c r="RBL126" s="77"/>
      <c r="RBM126" s="77"/>
      <c r="RBN126" s="77"/>
      <c r="RBO126" s="77"/>
      <c r="RBP126" s="77"/>
      <c r="RBQ126" s="77"/>
      <c r="RBR126" s="77"/>
      <c r="RBS126" s="77"/>
      <c r="RBT126" s="77"/>
      <c r="RBU126" s="77"/>
      <c r="RBV126" s="77"/>
      <c r="RBW126" s="77"/>
      <c r="RBX126" s="77"/>
      <c r="RBY126" s="77"/>
      <c r="RBZ126" s="77"/>
      <c r="RCA126" s="77"/>
      <c r="RCB126" s="77"/>
      <c r="RCC126" s="77"/>
      <c r="RCD126" s="77"/>
      <c r="RCE126" s="77"/>
      <c r="RCF126" s="77"/>
      <c r="RCG126" s="77"/>
      <c r="RCH126" s="77"/>
      <c r="RCI126" s="77"/>
      <c r="RCJ126" s="77"/>
      <c r="RCK126" s="77"/>
      <c r="RCL126" s="77"/>
      <c r="RCM126" s="77"/>
      <c r="RCN126" s="77"/>
      <c r="RCO126" s="77"/>
      <c r="RCP126" s="77"/>
      <c r="RCQ126" s="77"/>
      <c r="RCR126" s="77"/>
      <c r="RCS126" s="77"/>
      <c r="RCT126" s="77"/>
      <c r="RCU126" s="77"/>
      <c r="RCV126" s="77"/>
      <c r="RCW126" s="77"/>
      <c r="RCX126" s="77"/>
      <c r="RCY126" s="77"/>
      <c r="RCZ126" s="77"/>
      <c r="RDA126" s="77"/>
      <c r="RDB126" s="77"/>
      <c r="RDC126" s="77"/>
      <c r="RDD126" s="77"/>
      <c r="RDE126" s="77"/>
      <c r="RDF126" s="77"/>
      <c r="RDG126" s="77"/>
      <c r="RDH126" s="77"/>
      <c r="RDI126" s="77"/>
      <c r="RDJ126" s="77"/>
      <c r="RDK126" s="77"/>
      <c r="RDL126" s="77"/>
      <c r="RDM126" s="77"/>
      <c r="RDN126" s="77"/>
      <c r="RDO126" s="77"/>
      <c r="RDP126" s="77"/>
      <c r="RDQ126" s="77"/>
      <c r="RDR126" s="77"/>
      <c r="RDS126" s="77"/>
      <c r="RDT126" s="77"/>
      <c r="RDU126" s="77"/>
      <c r="RDV126" s="77"/>
      <c r="RDW126" s="77"/>
      <c r="RDX126" s="77"/>
      <c r="RDY126" s="77"/>
      <c r="RDZ126" s="77"/>
      <c r="REA126" s="77"/>
      <c r="REB126" s="77"/>
      <c r="REC126" s="77"/>
      <c r="RED126" s="77"/>
      <c r="REE126" s="77"/>
      <c r="REF126" s="77"/>
      <c r="REG126" s="77"/>
      <c r="REH126" s="77"/>
      <c r="REI126" s="77"/>
      <c r="REJ126" s="77"/>
      <c r="REK126" s="77"/>
      <c r="REL126" s="77"/>
      <c r="REM126" s="77"/>
      <c r="REN126" s="77"/>
      <c r="REO126" s="77"/>
      <c r="REP126" s="77"/>
      <c r="REQ126" s="77"/>
      <c r="RER126" s="77"/>
      <c r="RES126" s="77"/>
      <c r="RET126" s="77"/>
      <c r="REU126" s="77"/>
      <c r="REV126" s="77"/>
      <c r="REW126" s="77"/>
      <c r="REX126" s="77"/>
      <c r="REY126" s="77"/>
      <c r="REZ126" s="77"/>
      <c r="RFA126" s="77"/>
      <c r="RFB126" s="77"/>
      <c r="RFC126" s="77"/>
      <c r="RFD126" s="77"/>
      <c r="RFE126" s="77"/>
      <c r="RFF126" s="77"/>
      <c r="RFG126" s="77"/>
      <c r="RFH126" s="77"/>
      <c r="RFI126" s="77"/>
      <c r="RFJ126" s="77"/>
      <c r="RFK126" s="77"/>
      <c r="RFL126" s="77"/>
      <c r="RFM126" s="77"/>
      <c r="RFN126" s="77"/>
      <c r="RFO126" s="77"/>
      <c r="RFP126" s="77"/>
      <c r="RFQ126" s="77"/>
      <c r="RFR126" s="77"/>
      <c r="RFS126" s="77"/>
      <c r="RFT126" s="77"/>
      <c r="RFU126" s="77"/>
      <c r="RFV126" s="77"/>
      <c r="RFW126" s="77"/>
      <c r="RFX126" s="77"/>
      <c r="RFY126" s="77"/>
      <c r="RFZ126" s="77"/>
      <c r="RGA126" s="77"/>
      <c r="RGB126" s="77"/>
      <c r="RGC126" s="77"/>
      <c r="RGD126" s="77"/>
      <c r="RGE126" s="77"/>
      <c r="RGF126" s="77"/>
      <c r="RGG126" s="77"/>
      <c r="RGH126" s="77"/>
      <c r="RGI126" s="77"/>
      <c r="RGJ126" s="77"/>
      <c r="RGK126" s="77"/>
      <c r="RGL126" s="77"/>
      <c r="RGM126" s="77"/>
      <c r="RGN126" s="77"/>
      <c r="RGO126" s="77"/>
      <c r="RGP126" s="77"/>
      <c r="RGQ126" s="77"/>
      <c r="RGR126" s="77"/>
      <c r="RGS126" s="77"/>
      <c r="RGT126" s="77"/>
      <c r="RGU126" s="77"/>
      <c r="RGV126" s="77"/>
      <c r="RGW126" s="77"/>
      <c r="RGX126" s="77"/>
      <c r="RGY126" s="77"/>
      <c r="RGZ126" s="77"/>
      <c r="RHA126" s="77"/>
      <c r="RHB126" s="77"/>
      <c r="RHC126" s="77"/>
      <c r="RHD126" s="77"/>
      <c r="RHE126" s="77"/>
      <c r="RHF126" s="77"/>
      <c r="RHG126" s="77"/>
      <c r="RHH126" s="77"/>
      <c r="RHI126" s="77"/>
      <c r="RHJ126" s="77"/>
      <c r="RHK126" s="77"/>
      <c r="RHL126" s="77"/>
      <c r="RHM126" s="77"/>
      <c r="RHN126" s="77"/>
      <c r="RHO126" s="77"/>
      <c r="RHP126" s="77"/>
      <c r="RHQ126" s="77"/>
      <c r="RHR126" s="77"/>
      <c r="RHS126" s="77"/>
      <c r="RHT126" s="77"/>
      <c r="RHU126" s="77"/>
      <c r="RHV126" s="77"/>
      <c r="RHW126" s="77"/>
      <c r="RHX126" s="77"/>
      <c r="RHY126" s="77"/>
      <c r="RHZ126" s="77"/>
      <c r="RIA126" s="77"/>
      <c r="RIB126" s="77"/>
      <c r="RIC126" s="77"/>
      <c r="RID126" s="77"/>
      <c r="RIE126" s="77"/>
      <c r="RIF126" s="77"/>
      <c r="RIG126" s="77"/>
      <c r="RIH126" s="77"/>
      <c r="RII126" s="77"/>
      <c r="RIJ126" s="77"/>
      <c r="RIK126" s="77"/>
      <c r="RIL126" s="77"/>
      <c r="RIM126" s="77"/>
      <c r="RIN126" s="77"/>
      <c r="RIO126" s="77"/>
      <c r="RIP126" s="77"/>
      <c r="RIQ126" s="77"/>
      <c r="RIR126" s="77"/>
      <c r="RIS126" s="77"/>
      <c r="RIT126" s="77"/>
      <c r="RIU126" s="77"/>
      <c r="RIV126" s="77"/>
      <c r="RIW126" s="77"/>
      <c r="RIX126" s="77"/>
      <c r="RIY126" s="77"/>
      <c r="RIZ126" s="77"/>
      <c r="RJA126" s="77"/>
      <c r="RJB126" s="77"/>
      <c r="RJC126" s="77"/>
      <c r="RJD126" s="77"/>
      <c r="RJE126" s="77"/>
      <c r="RJF126" s="77"/>
      <c r="RJG126" s="77"/>
      <c r="RJH126" s="77"/>
      <c r="RJI126" s="77"/>
      <c r="RJJ126" s="77"/>
      <c r="RJK126" s="77"/>
      <c r="RJL126" s="77"/>
      <c r="RJM126" s="77"/>
      <c r="RJN126" s="77"/>
      <c r="RJO126" s="77"/>
      <c r="RJP126" s="77"/>
      <c r="RJQ126" s="77"/>
      <c r="RJR126" s="77"/>
      <c r="RJS126" s="77"/>
      <c r="RJT126" s="77"/>
      <c r="RJU126" s="77"/>
      <c r="RJV126" s="77"/>
      <c r="RJW126" s="77"/>
      <c r="RJX126" s="77"/>
      <c r="RJY126" s="77"/>
      <c r="RJZ126" s="77"/>
      <c r="RKA126" s="77"/>
      <c r="RKB126" s="77"/>
      <c r="RKC126" s="77"/>
      <c r="RKD126" s="77"/>
      <c r="RKE126" s="77"/>
      <c r="RKF126" s="77"/>
      <c r="RKG126" s="77"/>
      <c r="RKH126" s="77"/>
      <c r="RKI126" s="77"/>
      <c r="RKJ126" s="77"/>
      <c r="RKK126" s="77"/>
      <c r="RKL126" s="77"/>
      <c r="RKM126" s="77"/>
      <c r="RKN126" s="77"/>
      <c r="RKO126" s="77"/>
      <c r="RKP126" s="77"/>
      <c r="RKQ126" s="77"/>
      <c r="RKR126" s="77"/>
      <c r="RKS126" s="77"/>
      <c r="RKT126" s="77"/>
      <c r="RKU126" s="77"/>
      <c r="RKV126" s="77"/>
      <c r="RKW126" s="77"/>
      <c r="RKX126" s="77"/>
      <c r="RKY126" s="77"/>
      <c r="RKZ126" s="77"/>
      <c r="RLA126" s="77"/>
      <c r="RLB126" s="77"/>
      <c r="RLC126" s="77"/>
      <c r="RLD126" s="77"/>
      <c r="RLE126" s="77"/>
      <c r="RLF126" s="77"/>
      <c r="RLG126" s="77"/>
      <c r="RLH126" s="77"/>
      <c r="RLI126" s="77"/>
      <c r="RLJ126" s="77"/>
      <c r="RLK126" s="77"/>
      <c r="RLL126" s="77"/>
      <c r="RLM126" s="77"/>
      <c r="RLN126" s="77"/>
      <c r="RLO126" s="77"/>
      <c r="RLP126" s="77"/>
      <c r="RLQ126" s="77"/>
      <c r="RLR126" s="77"/>
      <c r="RLS126" s="77"/>
      <c r="RLT126" s="77"/>
      <c r="RLU126" s="77"/>
      <c r="RLV126" s="77"/>
      <c r="RLW126" s="77"/>
      <c r="RLX126" s="77"/>
      <c r="RLY126" s="77"/>
      <c r="RLZ126" s="77"/>
      <c r="RMA126" s="77"/>
      <c r="RMB126" s="77"/>
      <c r="RMC126" s="77"/>
      <c r="RMD126" s="77"/>
      <c r="RME126" s="77"/>
      <c r="RMF126" s="77"/>
      <c r="RMG126" s="77"/>
      <c r="RMH126" s="77"/>
      <c r="RMI126" s="77"/>
      <c r="RMJ126" s="77"/>
      <c r="RMK126" s="77"/>
      <c r="RML126" s="77"/>
      <c r="RMM126" s="77"/>
      <c r="RMN126" s="77"/>
      <c r="RMO126" s="77"/>
      <c r="RMP126" s="77"/>
      <c r="RMQ126" s="77"/>
      <c r="RMR126" s="77"/>
      <c r="RMS126" s="77"/>
      <c r="RMT126" s="77"/>
      <c r="RMU126" s="77"/>
      <c r="RMV126" s="77"/>
      <c r="RMW126" s="77"/>
      <c r="RMX126" s="77"/>
      <c r="RMY126" s="77"/>
      <c r="RMZ126" s="77"/>
      <c r="RNA126" s="77"/>
      <c r="RNB126" s="77"/>
      <c r="RNC126" s="77"/>
      <c r="RND126" s="77"/>
      <c r="RNE126" s="77"/>
      <c r="RNF126" s="77"/>
      <c r="RNG126" s="77"/>
      <c r="RNH126" s="77"/>
      <c r="RNI126" s="77"/>
      <c r="RNJ126" s="77"/>
      <c r="RNK126" s="77"/>
      <c r="RNL126" s="77"/>
      <c r="RNM126" s="77"/>
      <c r="RNN126" s="77"/>
      <c r="RNO126" s="77"/>
      <c r="RNP126" s="77"/>
      <c r="RNQ126" s="77"/>
      <c r="RNR126" s="77"/>
      <c r="RNS126" s="77"/>
      <c r="RNT126" s="77"/>
      <c r="RNU126" s="77"/>
      <c r="RNV126" s="77"/>
      <c r="RNW126" s="77"/>
      <c r="RNX126" s="77"/>
      <c r="RNY126" s="77"/>
      <c r="RNZ126" s="77"/>
      <c r="ROA126" s="77"/>
      <c r="ROB126" s="77"/>
      <c r="ROC126" s="77"/>
      <c r="ROD126" s="77"/>
      <c r="ROE126" s="77"/>
      <c r="ROF126" s="77"/>
      <c r="ROG126" s="77"/>
      <c r="ROH126" s="77"/>
      <c r="ROI126" s="77"/>
      <c r="ROJ126" s="77"/>
      <c r="ROK126" s="77"/>
      <c r="ROL126" s="77"/>
      <c r="ROM126" s="77"/>
      <c r="RON126" s="77"/>
      <c r="ROO126" s="77"/>
      <c r="ROP126" s="77"/>
      <c r="ROQ126" s="77"/>
      <c r="ROR126" s="77"/>
      <c r="ROS126" s="77"/>
      <c r="ROT126" s="77"/>
      <c r="ROU126" s="77"/>
      <c r="ROV126" s="77"/>
      <c r="ROW126" s="77"/>
      <c r="ROX126" s="77"/>
      <c r="ROY126" s="77"/>
      <c r="ROZ126" s="77"/>
      <c r="RPA126" s="77"/>
      <c r="RPB126" s="77"/>
      <c r="RPC126" s="77"/>
      <c r="RPD126" s="77"/>
      <c r="RPE126" s="77"/>
      <c r="RPF126" s="77"/>
      <c r="RPG126" s="77"/>
      <c r="RPH126" s="77"/>
      <c r="RPI126" s="77"/>
      <c r="RPJ126" s="77"/>
      <c r="RPK126" s="77"/>
      <c r="RPL126" s="77"/>
      <c r="RPM126" s="77"/>
      <c r="RPN126" s="77"/>
      <c r="RPO126" s="77"/>
      <c r="RPP126" s="77"/>
      <c r="RPQ126" s="77"/>
      <c r="RPR126" s="77"/>
      <c r="RPS126" s="77"/>
      <c r="RPT126" s="77"/>
      <c r="RPU126" s="77"/>
      <c r="RPV126" s="77"/>
      <c r="RPW126" s="77"/>
      <c r="RPX126" s="77"/>
      <c r="RPY126" s="77"/>
      <c r="RPZ126" s="77"/>
      <c r="RQA126" s="77"/>
      <c r="RQB126" s="77"/>
      <c r="RQC126" s="77"/>
      <c r="RQD126" s="77"/>
      <c r="RQE126" s="77"/>
      <c r="RQF126" s="77"/>
      <c r="RQG126" s="77"/>
      <c r="RQH126" s="77"/>
      <c r="RQI126" s="77"/>
      <c r="RQJ126" s="77"/>
      <c r="RQK126" s="77"/>
      <c r="RQL126" s="77"/>
      <c r="RQM126" s="77"/>
      <c r="RQN126" s="77"/>
      <c r="RQO126" s="77"/>
      <c r="RQP126" s="77"/>
      <c r="RQQ126" s="77"/>
      <c r="RQR126" s="77"/>
      <c r="RQS126" s="77"/>
      <c r="RQT126" s="77"/>
      <c r="RQU126" s="77"/>
      <c r="RQV126" s="77"/>
      <c r="RQW126" s="77"/>
      <c r="RQX126" s="77"/>
      <c r="RQY126" s="77"/>
      <c r="RQZ126" s="77"/>
      <c r="RRA126" s="77"/>
      <c r="RRB126" s="77"/>
      <c r="RRC126" s="77"/>
      <c r="RRD126" s="77"/>
      <c r="RRE126" s="77"/>
      <c r="RRF126" s="77"/>
      <c r="RRG126" s="77"/>
      <c r="RRH126" s="77"/>
      <c r="RRI126" s="77"/>
      <c r="RRJ126" s="77"/>
      <c r="RRK126" s="77"/>
      <c r="RRL126" s="77"/>
      <c r="RRM126" s="77"/>
      <c r="RRN126" s="77"/>
      <c r="RRO126" s="77"/>
      <c r="RRP126" s="77"/>
      <c r="RRQ126" s="77"/>
      <c r="RRR126" s="77"/>
      <c r="RRS126" s="77"/>
      <c r="RRT126" s="77"/>
      <c r="RRU126" s="77"/>
      <c r="RRV126" s="77"/>
      <c r="RRW126" s="77"/>
      <c r="RRX126" s="77"/>
      <c r="RRY126" s="77"/>
      <c r="RRZ126" s="77"/>
      <c r="RSA126" s="77"/>
      <c r="RSB126" s="77"/>
      <c r="RSC126" s="77"/>
      <c r="RSD126" s="77"/>
      <c r="RSE126" s="77"/>
      <c r="RSF126" s="77"/>
      <c r="RSG126" s="77"/>
      <c r="RSH126" s="77"/>
      <c r="RSI126" s="77"/>
      <c r="RSJ126" s="77"/>
      <c r="RSK126" s="77"/>
      <c r="RSL126" s="77"/>
      <c r="RSM126" s="77"/>
      <c r="RSN126" s="77"/>
      <c r="RSO126" s="77"/>
      <c r="RSP126" s="77"/>
      <c r="RSQ126" s="77"/>
      <c r="RSR126" s="77"/>
      <c r="RSS126" s="77"/>
      <c r="RST126" s="77"/>
      <c r="RSU126" s="77"/>
      <c r="RSV126" s="77"/>
      <c r="RSW126" s="77"/>
      <c r="RSX126" s="77"/>
      <c r="RSY126" s="77"/>
      <c r="RSZ126" s="77"/>
      <c r="RTA126" s="77"/>
      <c r="RTB126" s="77"/>
      <c r="RTC126" s="77"/>
      <c r="RTD126" s="77"/>
      <c r="RTE126" s="77"/>
      <c r="RTF126" s="77"/>
      <c r="RTG126" s="77"/>
      <c r="RTH126" s="77"/>
      <c r="RTI126" s="77"/>
      <c r="RTJ126" s="77"/>
      <c r="RTK126" s="77"/>
      <c r="RTL126" s="77"/>
      <c r="RTM126" s="77"/>
      <c r="RTN126" s="77"/>
      <c r="RTO126" s="77"/>
      <c r="RTP126" s="77"/>
      <c r="RTQ126" s="77"/>
      <c r="RTR126" s="77"/>
      <c r="RTS126" s="77"/>
      <c r="RTT126" s="77"/>
      <c r="RTU126" s="77"/>
      <c r="RTV126" s="77"/>
      <c r="RTW126" s="77"/>
      <c r="RTX126" s="77"/>
      <c r="RTY126" s="77"/>
      <c r="RTZ126" s="77"/>
      <c r="RUA126" s="77"/>
      <c r="RUB126" s="77"/>
      <c r="RUC126" s="77"/>
      <c r="RUD126" s="77"/>
      <c r="RUE126" s="77"/>
      <c r="RUF126" s="77"/>
      <c r="RUG126" s="77"/>
      <c r="RUH126" s="77"/>
      <c r="RUI126" s="77"/>
      <c r="RUJ126" s="77"/>
      <c r="RUK126" s="77"/>
      <c r="RUL126" s="77"/>
      <c r="RUM126" s="77"/>
      <c r="RUN126" s="77"/>
      <c r="RUO126" s="77"/>
      <c r="RUP126" s="77"/>
      <c r="RUQ126" s="77"/>
      <c r="RUR126" s="77"/>
      <c r="RUS126" s="77"/>
      <c r="RUT126" s="77"/>
      <c r="RUU126" s="77"/>
      <c r="RUV126" s="77"/>
      <c r="RUW126" s="77"/>
      <c r="RUX126" s="77"/>
      <c r="RUY126" s="77"/>
      <c r="RUZ126" s="77"/>
      <c r="RVA126" s="77"/>
      <c r="RVB126" s="77"/>
      <c r="RVC126" s="77"/>
      <c r="RVD126" s="77"/>
      <c r="RVE126" s="77"/>
      <c r="RVF126" s="77"/>
      <c r="RVG126" s="77"/>
      <c r="RVH126" s="77"/>
      <c r="RVI126" s="77"/>
      <c r="RVJ126" s="77"/>
      <c r="RVK126" s="77"/>
      <c r="RVL126" s="77"/>
      <c r="RVM126" s="77"/>
      <c r="RVN126" s="77"/>
      <c r="RVO126" s="77"/>
      <c r="RVP126" s="77"/>
      <c r="RVQ126" s="77"/>
      <c r="RVR126" s="77"/>
      <c r="RVS126" s="77"/>
      <c r="RVT126" s="77"/>
      <c r="RVU126" s="77"/>
      <c r="RVV126" s="77"/>
      <c r="RVW126" s="77"/>
      <c r="RVX126" s="77"/>
      <c r="RVY126" s="77"/>
      <c r="RVZ126" s="77"/>
      <c r="RWA126" s="77"/>
      <c r="RWB126" s="77"/>
      <c r="RWC126" s="77"/>
      <c r="RWD126" s="77"/>
      <c r="RWE126" s="77"/>
      <c r="RWF126" s="77"/>
      <c r="RWG126" s="77"/>
      <c r="RWH126" s="77"/>
      <c r="RWI126" s="77"/>
      <c r="RWJ126" s="77"/>
      <c r="RWK126" s="77"/>
      <c r="RWL126" s="77"/>
      <c r="RWM126" s="77"/>
      <c r="RWN126" s="77"/>
      <c r="RWO126" s="77"/>
      <c r="RWP126" s="77"/>
      <c r="RWQ126" s="77"/>
      <c r="RWR126" s="77"/>
      <c r="RWS126" s="77"/>
      <c r="RWT126" s="77"/>
      <c r="RWU126" s="77"/>
      <c r="RWV126" s="77"/>
      <c r="RWW126" s="77"/>
      <c r="RWX126" s="77"/>
      <c r="RWY126" s="77"/>
      <c r="RWZ126" s="77"/>
      <c r="RXA126" s="77"/>
      <c r="RXB126" s="77"/>
      <c r="RXC126" s="77"/>
      <c r="RXD126" s="77"/>
      <c r="RXE126" s="77"/>
      <c r="RXF126" s="77"/>
      <c r="RXG126" s="77"/>
      <c r="RXH126" s="77"/>
      <c r="RXI126" s="77"/>
      <c r="RXJ126" s="77"/>
      <c r="RXK126" s="77"/>
      <c r="RXL126" s="77"/>
      <c r="RXM126" s="77"/>
      <c r="RXN126" s="77"/>
      <c r="RXO126" s="77"/>
      <c r="RXP126" s="77"/>
      <c r="RXQ126" s="77"/>
      <c r="RXR126" s="77"/>
      <c r="RXS126" s="77"/>
      <c r="RXT126" s="77"/>
      <c r="RXU126" s="77"/>
      <c r="RXV126" s="77"/>
      <c r="RXW126" s="77"/>
      <c r="RXX126" s="77"/>
      <c r="RXY126" s="77"/>
      <c r="RXZ126" s="77"/>
      <c r="RYA126" s="77"/>
      <c r="RYB126" s="77"/>
      <c r="RYC126" s="77"/>
      <c r="RYD126" s="77"/>
      <c r="RYE126" s="77"/>
      <c r="RYF126" s="77"/>
      <c r="RYG126" s="77"/>
      <c r="RYH126" s="77"/>
      <c r="RYI126" s="77"/>
      <c r="RYJ126" s="77"/>
      <c r="RYK126" s="77"/>
      <c r="RYL126" s="77"/>
      <c r="RYM126" s="77"/>
      <c r="RYN126" s="77"/>
      <c r="RYO126" s="77"/>
      <c r="RYP126" s="77"/>
      <c r="RYQ126" s="77"/>
      <c r="RYR126" s="77"/>
      <c r="RYS126" s="77"/>
      <c r="RYT126" s="77"/>
      <c r="RYU126" s="77"/>
      <c r="RYV126" s="77"/>
      <c r="RYW126" s="77"/>
      <c r="RYX126" s="77"/>
      <c r="RYY126" s="77"/>
      <c r="RYZ126" s="77"/>
      <c r="RZA126" s="77"/>
      <c r="RZB126" s="77"/>
      <c r="RZC126" s="77"/>
      <c r="RZD126" s="77"/>
      <c r="RZE126" s="77"/>
      <c r="RZF126" s="77"/>
      <c r="RZG126" s="77"/>
      <c r="RZH126" s="77"/>
      <c r="RZI126" s="77"/>
      <c r="RZJ126" s="77"/>
      <c r="RZK126" s="77"/>
      <c r="RZL126" s="77"/>
      <c r="RZM126" s="77"/>
      <c r="RZN126" s="77"/>
      <c r="RZO126" s="77"/>
      <c r="RZP126" s="77"/>
      <c r="RZQ126" s="77"/>
      <c r="RZR126" s="77"/>
      <c r="RZS126" s="77"/>
      <c r="RZT126" s="77"/>
      <c r="RZU126" s="77"/>
      <c r="RZV126" s="77"/>
      <c r="RZW126" s="77"/>
      <c r="RZX126" s="77"/>
      <c r="RZY126" s="77"/>
      <c r="RZZ126" s="77"/>
      <c r="SAA126" s="77"/>
      <c r="SAB126" s="77"/>
      <c r="SAC126" s="77"/>
      <c r="SAD126" s="77"/>
      <c r="SAE126" s="77"/>
      <c r="SAF126" s="77"/>
      <c r="SAG126" s="77"/>
      <c r="SAH126" s="77"/>
      <c r="SAI126" s="77"/>
      <c r="SAJ126" s="77"/>
      <c r="SAK126" s="77"/>
      <c r="SAL126" s="77"/>
      <c r="SAM126" s="77"/>
      <c r="SAN126" s="77"/>
      <c r="SAO126" s="77"/>
      <c r="SAP126" s="77"/>
      <c r="SAQ126" s="77"/>
      <c r="SAR126" s="77"/>
      <c r="SAS126" s="77"/>
      <c r="SAT126" s="77"/>
      <c r="SAU126" s="77"/>
      <c r="SAV126" s="77"/>
      <c r="SAW126" s="77"/>
      <c r="SAX126" s="77"/>
      <c r="SAY126" s="77"/>
      <c r="SAZ126" s="77"/>
      <c r="SBA126" s="77"/>
      <c r="SBB126" s="77"/>
      <c r="SBC126" s="77"/>
      <c r="SBD126" s="77"/>
      <c r="SBE126" s="77"/>
      <c r="SBF126" s="77"/>
      <c r="SBG126" s="77"/>
      <c r="SBH126" s="77"/>
      <c r="SBI126" s="77"/>
      <c r="SBJ126" s="77"/>
      <c r="SBK126" s="77"/>
      <c r="SBL126" s="77"/>
      <c r="SBM126" s="77"/>
      <c r="SBN126" s="77"/>
      <c r="SBO126" s="77"/>
      <c r="SBP126" s="77"/>
      <c r="SBQ126" s="77"/>
      <c r="SBR126" s="77"/>
      <c r="SBS126" s="77"/>
      <c r="SBT126" s="77"/>
      <c r="SBU126" s="77"/>
      <c r="SBV126" s="77"/>
      <c r="SBW126" s="77"/>
      <c r="SBX126" s="77"/>
      <c r="SBY126" s="77"/>
      <c r="SBZ126" s="77"/>
      <c r="SCA126" s="77"/>
      <c r="SCB126" s="77"/>
      <c r="SCC126" s="77"/>
      <c r="SCD126" s="77"/>
      <c r="SCE126" s="77"/>
      <c r="SCF126" s="77"/>
      <c r="SCG126" s="77"/>
      <c r="SCH126" s="77"/>
      <c r="SCI126" s="77"/>
      <c r="SCJ126" s="77"/>
      <c r="SCK126" s="77"/>
      <c r="SCL126" s="77"/>
      <c r="SCM126" s="77"/>
      <c r="SCN126" s="77"/>
      <c r="SCO126" s="77"/>
      <c r="SCP126" s="77"/>
      <c r="SCQ126" s="77"/>
      <c r="SCR126" s="77"/>
      <c r="SCS126" s="77"/>
      <c r="SCT126" s="77"/>
      <c r="SCU126" s="77"/>
      <c r="SCV126" s="77"/>
      <c r="SCW126" s="77"/>
      <c r="SCX126" s="77"/>
      <c r="SCY126" s="77"/>
      <c r="SCZ126" s="77"/>
      <c r="SDA126" s="77"/>
      <c r="SDB126" s="77"/>
      <c r="SDC126" s="77"/>
      <c r="SDD126" s="77"/>
      <c r="SDE126" s="77"/>
      <c r="SDF126" s="77"/>
      <c r="SDG126" s="77"/>
      <c r="SDH126" s="77"/>
      <c r="SDI126" s="77"/>
      <c r="SDJ126" s="77"/>
      <c r="SDK126" s="77"/>
      <c r="SDL126" s="77"/>
      <c r="SDM126" s="77"/>
      <c r="SDN126" s="77"/>
      <c r="SDO126" s="77"/>
      <c r="SDP126" s="77"/>
      <c r="SDQ126" s="77"/>
      <c r="SDR126" s="77"/>
      <c r="SDS126" s="77"/>
      <c r="SDT126" s="77"/>
      <c r="SDU126" s="77"/>
      <c r="SDV126" s="77"/>
      <c r="SDW126" s="77"/>
      <c r="SDX126" s="77"/>
      <c r="SDY126" s="77"/>
      <c r="SDZ126" s="77"/>
      <c r="SEA126" s="77"/>
      <c r="SEB126" s="77"/>
      <c r="SEC126" s="77"/>
      <c r="SED126" s="77"/>
      <c r="SEE126" s="77"/>
      <c r="SEF126" s="77"/>
      <c r="SEG126" s="77"/>
      <c r="SEH126" s="77"/>
      <c r="SEI126" s="77"/>
      <c r="SEJ126" s="77"/>
      <c r="SEK126" s="77"/>
      <c r="SEL126" s="77"/>
      <c r="SEM126" s="77"/>
      <c r="SEN126" s="77"/>
      <c r="SEO126" s="77"/>
      <c r="SEP126" s="77"/>
      <c r="SEQ126" s="77"/>
      <c r="SER126" s="77"/>
      <c r="SES126" s="77"/>
      <c r="SET126" s="77"/>
      <c r="SEU126" s="77"/>
      <c r="SEV126" s="77"/>
      <c r="SEW126" s="77"/>
      <c r="SEX126" s="77"/>
      <c r="SEY126" s="77"/>
      <c r="SEZ126" s="77"/>
      <c r="SFA126" s="77"/>
      <c r="SFB126" s="77"/>
      <c r="SFC126" s="77"/>
      <c r="SFD126" s="77"/>
      <c r="SFE126" s="77"/>
      <c r="SFF126" s="77"/>
      <c r="SFG126" s="77"/>
      <c r="SFH126" s="77"/>
      <c r="SFI126" s="77"/>
      <c r="SFJ126" s="77"/>
      <c r="SFK126" s="77"/>
      <c r="SFL126" s="77"/>
      <c r="SFM126" s="77"/>
      <c r="SFN126" s="77"/>
      <c r="SFO126" s="77"/>
      <c r="SFP126" s="77"/>
      <c r="SFQ126" s="77"/>
      <c r="SFR126" s="77"/>
      <c r="SFS126" s="77"/>
      <c r="SFT126" s="77"/>
      <c r="SFU126" s="77"/>
      <c r="SFV126" s="77"/>
      <c r="SFW126" s="77"/>
      <c r="SFX126" s="77"/>
      <c r="SFY126" s="77"/>
      <c r="SFZ126" s="77"/>
      <c r="SGA126" s="77"/>
      <c r="SGB126" s="77"/>
      <c r="SGC126" s="77"/>
      <c r="SGD126" s="77"/>
      <c r="SGE126" s="77"/>
      <c r="SGF126" s="77"/>
      <c r="SGG126" s="77"/>
      <c r="SGH126" s="77"/>
      <c r="SGI126" s="77"/>
      <c r="SGJ126" s="77"/>
      <c r="SGK126" s="77"/>
      <c r="SGL126" s="77"/>
      <c r="SGM126" s="77"/>
      <c r="SGN126" s="77"/>
      <c r="SGO126" s="77"/>
      <c r="SGP126" s="77"/>
      <c r="SGQ126" s="77"/>
      <c r="SGR126" s="77"/>
      <c r="SGS126" s="77"/>
      <c r="SGT126" s="77"/>
      <c r="SGU126" s="77"/>
      <c r="SGV126" s="77"/>
      <c r="SGW126" s="77"/>
      <c r="SGX126" s="77"/>
      <c r="SGY126" s="77"/>
      <c r="SGZ126" s="77"/>
      <c r="SHA126" s="77"/>
      <c r="SHB126" s="77"/>
      <c r="SHC126" s="77"/>
      <c r="SHD126" s="77"/>
      <c r="SHE126" s="77"/>
      <c r="SHF126" s="77"/>
      <c r="SHG126" s="77"/>
      <c r="SHH126" s="77"/>
      <c r="SHI126" s="77"/>
      <c r="SHJ126" s="77"/>
      <c r="SHK126" s="77"/>
      <c r="SHL126" s="77"/>
      <c r="SHM126" s="77"/>
      <c r="SHN126" s="77"/>
      <c r="SHO126" s="77"/>
      <c r="SHP126" s="77"/>
      <c r="SHQ126" s="77"/>
      <c r="SHR126" s="77"/>
      <c r="SHS126" s="77"/>
      <c r="SHT126" s="77"/>
      <c r="SHU126" s="77"/>
      <c r="SHV126" s="77"/>
      <c r="SHW126" s="77"/>
      <c r="SHX126" s="77"/>
      <c r="SHY126" s="77"/>
      <c r="SHZ126" s="77"/>
      <c r="SIA126" s="77"/>
      <c r="SIB126" s="77"/>
      <c r="SIC126" s="77"/>
      <c r="SID126" s="77"/>
      <c r="SIE126" s="77"/>
      <c r="SIF126" s="77"/>
      <c r="SIG126" s="77"/>
      <c r="SIH126" s="77"/>
      <c r="SII126" s="77"/>
      <c r="SIJ126" s="77"/>
      <c r="SIK126" s="77"/>
      <c r="SIL126" s="77"/>
      <c r="SIM126" s="77"/>
      <c r="SIN126" s="77"/>
      <c r="SIO126" s="77"/>
      <c r="SIP126" s="77"/>
      <c r="SIQ126" s="77"/>
      <c r="SIR126" s="77"/>
      <c r="SIS126" s="77"/>
      <c r="SIT126" s="77"/>
      <c r="SIU126" s="77"/>
      <c r="SIV126" s="77"/>
      <c r="SIW126" s="77"/>
      <c r="SIX126" s="77"/>
      <c r="SIY126" s="77"/>
      <c r="SIZ126" s="77"/>
      <c r="SJA126" s="77"/>
      <c r="SJB126" s="77"/>
      <c r="SJC126" s="77"/>
      <c r="SJD126" s="77"/>
      <c r="SJE126" s="77"/>
      <c r="SJF126" s="77"/>
      <c r="SJG126" s="77"/>
      <c r="SJH126" s="77"/>
      <c r="SJI126" s="77"/>
      <c r="SJJ126" s="77"/>
      <c r="SJK126" s="77"/>
      <c r="SJL126" s="77"/>
      <c r="SJM126" s="77"/>
      <c r="SJN126" s="77"/>
      <c r="SJO126" s="77"/>
      <c r="SJP126" s="77"/>
      <c r="SJQ126" s="77"/>
      <c r="SJR126" s="77"/>
      <c r="SJS126" s="77"/>
      <c r="SJT126" s="77"/>
      <c r="SJU126" s="77"/>
      <c r="SJV126" s="77"/>
      <c r="SJW126" s="77"/>
      <c r="SJX126" s="77"/>
      <c r="SJY126" s="77"/>
      <c r="SJZ126" s="77"/>
      <c r="SKA126" s="77"/>
      <c r="SKB126" s="77"/>
      <c r="SKC126" s="77"/>
      <c r="SKD126" s="77"/>
      <c r="SKE126" s="77"/>
      <c r="SKF126" s="77"/>
      <c r="SKG126" s="77"/>
      <c r="SKH126" s="77"/>
      <c r="SKI126" s="77"/>
      <c r="SKJ126" s="77"/>
      <c r="SKK126" s="77"/>
      <c r="SKL126" s="77"/>
      <c r="SKM126" s="77"/>
      <c r="SKN126" s="77"/>
      <c r="SKO126" s="77"/>
      <c r="SKP126" s="77"/>
      <c r="SKQ126" s="77"/>
      <c r="SKR126" s="77"/>
      <c r="SKS126" s="77"/>
      <c r="SKT126" s="77"/>
      <c r="SKU126" s="77"/>
      <c r="SKV126" s="77"/>
      <c r="SKW126" s="77"/>
      <c r="SKX126" s="77"/>
      <c r="SKY126" s="77"/>
      <c r="SKZ126" s="77"/>
      <c r="SLA126" s="77"/>
      <c r="SLB126" s="77"/>
      <c r="SLC126" s="77"/>
      <c r="SLD126" s="77"/>
      <c r="SLE126" s="77"/>
      <c r="SLF126" s="77"/>
      <c r="SLG126" s="77"/>
      <c r="SLH126" s="77"/>
      <c r="SLI126" s="77"/>
      <c r="SLJ126" s="77"/>
      <c r="SLK126" s="77"/>
      <c r="SLL126" s="77"/>
      <c r="SLM126" s="77"/>
      <c r="SLN126" s="77"/>
      <c r="SLO126" s="77"/>
      <c r="SLP126" s="77"/>
      <c r="SLQ126" s="77"/>
      <c r="SLR126" s="77"/>
      <c r="SLS126" s="77"/>
      <c r="SLT126" s="77"/>
      <c r="SLU126" s="77"/>
      <c r="SLV126" s="77"/>
      <c r="SLW126" s="77"/>
      <c r="SLX126" s="77"/>
      <c r="SLY126" s="77"/>
      <c r="SLZ126" s="77"/>
      <c r="SMA126" s="77"/>
      <c r="SMB126" s="77"/>
      <c r="SMC126" s="77"/>
      <c r="SMD126" s="77"/>
      <c r="SME126" s="77"/>
      <c r="SMF126" s="77"/>
      <c r="SMG126" s="77"/>
      <c r="SMH126" s="77"/>
      <c r="SMI126" s="77"/>
      <c r="SMJ126" s="77"/>
      <c r="SMK126" s="77"/>
      <c r="SML126" s="77"/>
      <c r="SMM126" s="77"/>
      <c r="SMN126" s="77"/>
      <c r="SMO126" s="77"/>
      <c r="SMP126" s="77"/>
      <c r="SMQ126" s="77"/>
      <c r="SMR126" s="77"/>
      <c r="SMS126" s="77"/>
      <c r="SMT126" s="77"/>
      <c r="SMU126" s="77"/>
      <c r="SMV126" s="77"/>
      <c r="SMW126" s="77"/>
      <c r="SMX126" s="77"/>
      <c r="SMY126" s="77"/>
      <c r="SMZ126" s="77"/>
      <c r="SNA126" s="77"/>
      <c r="SNB126" s="77"/>
      <c r="SNC126" s="77"/>
      <c r="SND126" s="77"/>
      <c r="SNE126" s="77"/>
      <c r="SNF126" s="77"/>
      <c r="SNG126" s="77"/>
      <c r="SNH126" s="77"/>
      <c r="SNI126" s="77"/>
      <c r="SNJ126" s="77"/>
      <c r="SNK126" s="77"/>
      <c r="SNL126" s="77"/>
      <c r="SNM126" s="77"/>
      <c r="SNN126" s="77"/>
      <c r="SNO126" s="77"/>
      <c r="SNP126" s="77"/>
      <c r="SNQ126" s="77"/>
      <c r="SNR126" s="77"/>
      <c r="SNS126" s="77"/>
      <c r="SNT126" s="77"/>
      <c r="SNU126" s="77"/>
      <c r="SNV126" s="77"/>
      <c r="SNW126" s="77"/>
      <c r="SNX126" s="77"/>
      <c r="SNY126" s="77"/>
      <c r="SNZ126" s="77"/>
      <c r="SOA126" s="77"/>
      <c r="SOB126" s="77"/>
      <c r="SOC126" s="77"/>
      <c r="SOD126" s="77"/>
      <c r="SOE126" s="77"/>
      <c r="SOF126" s="77"/>
      <c r="SOG126" s="77"/>
      <c r="SOH126" s="77"/>
      <c r="SOI126" s="77"/>
      <c r="SOJ126" s="77"/>
      <c r="SOK126" s="77"/>
      <c r="SOL126" s="77"/>
      <c r="SOM126" s="77"/>
      <c r="SON126" s="77"/>
      <c r="SOO126" s="77"/>
      <c r="SOP126" s="77"/>
      <c r="SOQ126" s="77"/>
      <c r="SOR126" s="77"/>
      <c r="SOS126" s="77"/>
      <c r="SOT126" s="77"/>
      <c r="SOU126" s="77"/>
      <c r="SOV126" s="77"/>
      <c r="SOW126" s="77"/>
      <c r="SOX126" s="77"/>
      <c r="SOY126" s="77"/>
      <c r="SOZ126" s="77"/>
      <c r="SPA126" s="77"/>
      <c r="SPB126" s="77"/>
      <c r="SPC126" s="77"/>
      <c r="SPD126" s="77"/>
      <c r="SPE126" s="77"/>
      <c r="SPF126" s="77"/>
      <c r="SPG126" s="77"/>
      <c r="SPH126" s="77"/>
      <c r="SPI126" s="77"/>
      <c r="SPJ126" s="77"/>
      <c r="SPK126" s="77"/>
      <c r="SPL126" s="77"/>
      <c r="SPM126" s="77"/>
      <c r="SPN126" s="77"/>
      <c r="SPO126" s="77"/>
      <c r="SPP126" s="77"/>
      <c r="SPQ126" s="77"/>
      <c r="SPR126" s="77"/>
      <c r="SPS126" s="77"/>
      <c r="SPT126" s="77"/>
      <c r="SPU126" s="77"/>
      <c r="SPV126" s="77"/>
      <c r="SPW126" s="77"/>
      <c r="SPX126" s="77"/>
      <c r="SPY126" s="77"/>
      <c r="SPZ126" s="77"/>
      <c r="SQA126" s="77"/>
      <c r="SQB126" s="77"/>
      <c r="SQC126" s="77"/>
      <c r="SQD126" s="77"/>
      <c r="SQE126" s="77"/>
      <c r="SQF126" s="77"/>
      <c r="SQG126" s="77"/>
      <c r="SQH126" s="77"/>
      <c r="SQI126" s="77"/>
      <c r="SQJ126" s="77"/>
      <c r="SQK126" s="77"/>
      <c r="SQL126" s="77"/>
      <c r="SQM126" s="77"/>
      <c r="SQN126" s="77"/>
      <c r="SQO126" s="77"/>
      <c r="SQP126" s="77"/>
      <c r="SQQ126" s="77"/>
      <c r="SQR126" s="77"/>
      <c r="SQS126" s="77"/>
      <c r="SQT126" s="77"/>
      <c r="SQU126" s="77"/>
      <c r="SQV126" s="77"/>
      <c r="SQW126" s="77"/>
      <c r="SQX126" s="77"/>
      <c r="SQY126" s="77"/>
      <c r="SQZ126" s="77"/>
      <c r="SRA126" s="77"/>
      <c r="SRB126" s="77"/>
      <c r="SRC126" s="77"/>
      <c r="SRD126" s="77"/>
      <c r="SRE126" s="77"/>
      <c r="SRF126" s="77"/>
      <c r="SRG126" s="77"/>
      <c r="SRH126" s="77"/>
      <c r="SRI126" s="77"/>
      <c r="SRJ126" s="77"/>
      <c r="SRK126" s="77"/>
      <c r="SRL126" s="77"/>
      <c r="SRM126" s="77"/>
      <c r="SRN126" s="77"/>
      <c r="SRO126" s="77"/>
      <c r="SRP126" s="77"/>
      <c r="SRQ126" s="77"/>
      <c r="SRR126" s="77"/>
      <c r="SRS126" s="77"/>
      <c r="SRT126" s="77"/>
      <c r="SRU126" s="77"/>
      <c r="SRV126" s="77"/>
      <c r="SRW126" s="77"/>
      <c r="SRX126" s="77"/>
      <c r="SRY126" s="77"/>
      <c r="SRZ126" s="77"/>
      <c r="SSA126" s="77"/>
      <c r="SSB126" s="77"/>
      <c r="SSC126" s="77"/>
      <c r="SSD126" s="77"/>
      <c r="SSE126" s="77"/>
      <c r="SSF126" s="77"/>
      <c r="SSG126" s="77"/>
      <c r="SSH126" s="77"/>
      <c r="SSI126" s="77"/>
      <c r="SSJ126" s="77"/>
      <c r="SSK126" s="77"/>
      <c r="SSL126" s="77"/>
      <c r="SSM126" s="77"/>
      <c r="SSN126" s="77"/>
      <c r="SSO126" s="77"/>
      <c r="SSP126" s="77"/>
      <c r="SSQ126" s="77"/>
      <c r="SSR126" s="77"/>
      <c r="SSS126" s="77"/>
      <c r="SST126" s="77"/>
      <c r="SSU126" s="77"/>
      <c r="SSV126" s="77"/>
      <c r="SSW126" s="77"/>
      <c r="SSX126" s="77"/>
      <c r="SSY126" s="77"/>
      <c r="SSZ126" s="77"/>
      <c r="STA126" s="77"/>
      <c r="STB126" s="77"/>
      <c r="STC126" s="77"/>
      <c r="STD126" s="77"/>
      <c r="STE126" s="77"/>
      <c r="STF126" s="77"/>
      <c r="STG126" s="77"/>
      <c r="STH126" s="77"/>
      <c r="STI126" s="77"/>
      <c r="STJ126" s="77"/>
      <c r="STK126" s="77"/>
      <c r="STL126" s="77"/>
      <c r="STM126" s="77"/>
      <c r="STN126" s="77"/>
      <c r="STO126" s="77"/>
      <c r="STP126" s="77"/>
      <c r="STQ126" s="77"/>
      <c r="STR126" s="77"/>
      <c r="STS126" s="77"/>
      <c r="STT126" s="77"/>
      <c r="STU126" s="77"/>
      <c r="STV126" s="77"/>
      <c r="STW126" s="77"/>
      <c r="STX126" s="77"/>
      <c r="STY126" s="77"/>
      <c r="STZ126" s="77"/>
      <c r="SUA126" s="77"/>
      <c r="SUB126" s="77"/>
      <c r="SUC126" s="77"/>
      <c r="SUD126" s="77"/>
      <c r="SUE126" s="77"/>
      <c r="SUF126" s="77"/>
      <c r="SUG126" s="77"/>
      <c r="SUH126" s="77"/>
      <c r="SUI126" s="77"/>
      <c r="SUJ126" s="77"/>
      <c r="SUK126" s="77"/>
      <c r="SUL126" s="77"/>
      <c r="SUM126" s="77"/>
      <c r="SUN126" s="77"/>
      <c r="SUO126" s="77"/>
      <c r="SUP126" s="77"/>
      <c r="SUQ126" s="77"/>
      <c r="SUR126" s="77"/>
      <c r="SUS126" s="77"/>
      <c r="SUT126" s="77"/>
      <c r="SUU126" s="77"/>
      <c r="SUV126" s="77"/>
      <c r="SUW126" s="77"/>
      <c r="SUX126" s="77"/>
      <c r="SUY126" s="77"/>
      <c r="SUZ126" s="77"/>
      <c r="SVA126" s="77"/>
      <c r="SVB126" s="77"/>
      <c r="SVC126" s="77"/>
      <c r="SVD126" s="77"/>
      <c r="SVE126" s="77"/>
      <c r="SVF126" s="77"/>
      <c r="SVG126" s="77"/>
      <c r="SVH126" s="77"/>
      <c r="SVI126" s="77"/>
      <c r="SVJ126" s="77"/>
      <c r="SVK126" s="77"/>
      <c r="SVL126" s="77"/>
      <c r="SVM126" s="77"/>
      <c r="SVN126" s="77"/>
      <c r="SVO126" s="77"/>
      <c r="SVP126" s="77"/>
      <c r="SVQ126" s="77"/>
      <c r="SVR126" s="77"/>
      <c r="SVS126" s="77"/>
      <c r="SVT126" s="77"/>
      <c r="SVU126" s="77"/>
      <c r="SVV126" s="77"/>
      <c r="SVW126" s="77"/>
      <c r="SVX126" s="77"/>
      <c r="SVY126" s="77"/>
      <c r="SVZ126" s="77"/>
      <c r="SWA126" s="77"/>
      <c r="SWB126" s="77"/>
      <c r="SWC126" s="77"/>
      <c r="SWD126" s="77"/>
      <c r="SWE126" s="77"/>
      <c r="SWF126" s="77"/>
      <c r="SWG126" s="77"/>
      <c r="SWH126" s="77"/>
      <c r="SWI126" s="77"/>
      <c r="SWJ126" s="77"/>
      <c r="SWK126" s="77"/>
      <c r="SWL126" s="77"/>
      <c r="SWM126" s="77"/>
      <c r="SWN126" s="77"/>
      <c r="SWO126" s="77"/>
      <c r="SWP126" s="77"/>
      <c r="SWQ126" s="77"/>
      <c r="SWR126" s="77"/>
      <c r="SWS126" s="77"/>
      <c r="SWT126" s="77"/>
      <c r="SWU126" s="77"/>
      <c r="SWV126" s="77"/>
      <c r="SWW126" s="77"/>
      <c r="SWX126" s="77"/>
      <c r="SWY126" s="77"/>
      <c r="SWZ126" s="77"/>
      <c r="SXA126" s="77"/>
      <c r="SXB126" s="77"/>
      <c r="SXC126" s="77"/>
      <c r="SXD126" s="77"/>
      <c r="SXE126" s="77"/>
      <c r="SXF126" s="77"/>
      <c r="SXG126" s="77"/>
      <c r="SXH126" s="77"/>
      <c r="SXI126" s="77"/>
      <c r="SXJ126" s="77"/>
      <c r="SXK126" s="77"/>
      <c r="SXL126" s="77"/>
      <c r="SXM126" s="77"/>
      <c r="SXN126" s="77"/>
      <c r="SXO126" s="77"/>
      <c r="SXP126" s="77"/>
      <c r="SXQ126" s="77"/>
      <c r="SXR126" s="77"/>
      <c r="SXS126" s="77"/>
      <c r="SXT126" s="77"/>
      <c r="SXU126" s="77"/>
      <c r="SXV126" s="77"/>
      <c r="SXW126" s="77"/>
      <c r="SXX126" s="77"/>
      <c r="SXY126" s="77"/>
      <c r="SXZ126" s="77"/>
      <c r="SYA126" s="77"/>
      <c r="SYB126" s="77"/>
      <c r="SYC126" s="77"/>
      <c r="SYD126" s="77"/>
      <c r="SYE126" s="77"/>
      <c r="SYF126" s="77"/>
      <c r="SYG126" s="77"/>
      <c r="SYH126" s="77"/>
      <c r="SYI126" s="77"/>
      <c r="SYJ126" s="77"/>
      <c r="SYK126" s="77"/>
      <c r="SYL126" s="77"/>
      <c r="SYM126" s="77"/>
      <c r="SYN126" s="77"/>
      <c r="SYO126" s="77"/>
      <c r="SYP126" s="77"/>
      <c r="SYQ126" s="77"/>
      <c r="SYR126" s="77"/>
      <c r="SYS126" s="77"/>
      <c r="SYT126" s="77"/>
      <c r="SYU126" s="77"/>
      <c r="SYV126" s="77"/>
      <c r="SYW126" s="77"/>
      <c r="SYX126" s="77"/>
      <c r="SYY126" s="77"/>
      <c r="SYZ126" s="77"/>
      <c r="SZA126" s="77"/>
      <c r="SZB126" s="77"/>
      <c r="SZC126" s="77"/>
      <c r="SZD126" s="77"/>
      <c r="SZE126" s="77"/>
      <c r="SZF126" s="77"/>
      <c r="SZG126" s="77"/>
      <c r="SZH126" s="77"/>
      <c r="SZI126" s="77"/>
      <c r="SZJ126" s="77"/>
      <c r="SZK126" s="77"/>
      <c r="SZL126" s="77"/>
      <c r="SZM126" s="77"/>
      <c r="SZN126" s="77"/>
      <c r="SZO126" s="77"/>
      <c r="SZP126" s="77"/>
      <c r="SZQ126" s="77"/>
      <c r="SZR126" s="77"/>
      <c r="SZS126" s="77"/>
      <c r="SZT126" s="77"/>
      <c r="SZU126" s="77"/>
      <c r="SZV126" s="77"/>
      <c r="SZW126" s="77"/>
      <c r="SZX126" s="77"/>
      <c r="SZY126" s="77"/>
      <c r="SZZ126" s="77"/>
      <c r="TAA126" s="77"/>
      <c r="TAB126" s="77"/>
      <c r="TAC126" s="77"/>
      <c r="TAD126" s="77"/>
      <c r="TAE126" s="77"/>
      <c r="TAF126" s="77"/>
      <c r="TAG126" s="77"/>
      <c r="TAH126" s="77"/>
      <c r="TAI126" s="77"/>
      <c r="TAJ126" s="77"/>
      <c r="TAK126" s="77"/>
      <c r="TAL126" s="77"/>
      <c r="TAM126" s="77"/>
      <c r="TAN126" s="77"/>
      <c r="TAO126" s="77"/>
      <c r="TAP126" s="77"/>
      <c r="TAQ126" s="77"/>
      <c r="TAR126" s="77"/>
      <c r="TAS126" s="77"/>
      <c r="TAT126" s="77"/>
      <c r="TAU126" s="77"/>
      <c r="TAV126" s="77"/>
      <c r="TAW126" s="77"/>
      <c r="TAX126" s="77"/>
      <c r="TAY126" s="77"/>
      <c r="TAZ126" s="77"/>
      <c r="TBA126" s="77"/>
      <c r="TBB126" s="77"/>
      <c r="TBC126" s="77"/>
      <c r="TBD126" s="77"/>
      <c r="TBE126" s="77"/>
      <c r="TBF126" s="77"/>
      <c r="TBG126" s="77"/>
      <c r="TBH126" s="77"/>
      <c r="TBI126" s="77"/>
      <c r="TBJ126" s="77"/>
      <c r="TBK126" s="77"/>
      <c r="TBL126" s="77"/>
      <c r="TBM126" s="77"/>
      <c r="TBN126" s="77"/>
      <c r="TBO126" s="77"/>
      <c r="TBP126" s="77"/>
      <c r="TBQ126" s="77"/>
      <c r="TBR126" s="77"/>
      <c r="TBS126" s="77"/>
      <c r="TBT126" s="77"/>
      <c r="TBU126" s="77"/>
      <c r="TBV126" s="77"/>
      <c r="TBW126" s="77"/>
      <c r="TBX126" s="77"/>
      <c r="TBY126" s="77"/>
      <c r="TBZ126" s="77"/>
      <c r="TCA126" s="77"/>
      <c r="TCB126" s="77"/>
      <c r="TCC126" s="77"/>
      <c r="TCD126" s="77"/>
      <c r="TCE126" s="77"/>
      <c r="TCF126" s="77"/>
      <c r="TCG126" s="77"/>
      <c r="TCH126" s="77"/>
      <c r="TCI126" s="77"/>
      <c r="TCJ126" s="77"/>
      <c r="TCK126" s="77"/>
      <c r="TCL126" s="77"/>
      <c r="TCM126" s="77"/>
      <c r="TCN126" s="77"/>
      <c r="TCO126" s="77"/>
      <c r="TCP126" s="77"/>
      <c r="TCQ126" s="77"/>
      <c r="TCR126" s="77"/>
      <c r="TCS126" s="77"/>
      <c r="TCT126" s="77"/>
      <c r="TCU126" s="77"/>
      <c r="TCV126" s="77"/>
      <c r="TCW126" s="77"/>
      <c r="TCX126" s="77"/>
      <c r="TCY126" s="77"/>
      <c r="TCZ126" s="77"/>
      <c r="TDA126" s="77"/>
      <c r="TDB126" s="77"/>
      <c r="TDC126" s="77"/>
      <c r="TDD126" s="77"/>
      <c r="TDE126" s="77"/>
      <c r="TDF126" s="77"/>
      <c r="TDG126" s="77"/>
      <c r="TDH126" s="77"/>
      <c r="TDI126" s="77"/>
      <c r="TDJ126" s="77"/>
      <c r="TDK126" s="77"/>
      <c r="TDL126" s="77"/>
      <c r="TDM126" s="77"/>
      <c r="TDN126" s="77"/>
      <c r="TDO126" s="77"/>
      <c r="TDP126" s="77"/>
      <c r="TDQ126" s="77"/>
      <c r="TDR126" s="77"/>
      <c r="TDS126" s="77"/>
      <c r="TDT126" s="77"/>
      <c r="TDU126" s="77"/>
      <c r="TDV126" s="77"/>
      <c r="TDW126" s="77"/>
      <c r="TDX126" s="77"/>
      <c r="TDY126" s="77"/>
      <c r="TDZ126" s="77"/>
      <c r="TEA126" s="77"/>
      <c r="TEB126" s="77"/>
      <c r="TEC126" s="77"/>
      <c r="TED126" s="77"/>
      <c r="TEE126" s="77"/>
      <c r="TEF126" s="77"/>
      <c r="TEG126" s="77"/>
      <c r="TEH126" s="77"/>
      <c r="TEI126" s="77"/>
      <c r="TEJ126" s="77"/>
      <c r="TEK126" s="77"/>
      <c r="TEL126" s="77"/>
      <c r="TEM126" s="77"/>
      <c r="TEN126" s="77"/>
      <c r="TEO126" s="77"/>
      <c r="TEP126" s="77"/>
      <c r="TEQ126" s="77"/>
      <c r="TER126" s="77"/>
      <c r="TES126" s="77"/>
      <c r="TET126" s="77"/>
      <c r="TEU126" s="77"/>
      <c r="TEV126" s="77"/>
      <c r="TEW126" s="77"/>
      <c r="TEX126" s="77"/>
      <c r="TEY126" s="77"/>
      <c r="TEZ126" s="77"/>
      <c r="TFA126" s="77"/>
      <c r="TFB126" s="77"/>
      <c r="TFC126" s="77"/>
      <c r="TFD126" s="77"/>
      <c r="TFE126" s="77"/>
      <c r="TFF126" s="77"/>
      <c r="TFG126" s="77"/>
      <c r="TFH126" s="77"/>
      <c r="TFI126" s="77"/>
      <c r="TFJ126" s="77"/>
      <c r="TFK126" s="77"/>
      <c r="TFL126" s="77"/>
      <c r="TFM126" s="77"/>
      <c r="TFN126" s="77"/>
      <c r="TFO126" s="77"/>
      <c r="TFP126" s="77"/>
      <c r="TFQ126" s="77"/>
      <c r="TFR126" s="77"/>
      <c r="TFS126" s="77"/>
      <c r="TFT126" s="77"/>
      <c r="TFU126" s="77"/>
      <c r="TFV126" s="77"/>
      <c r="TFW126" s="77"/>
      <c r="TFX126" s="77"/>
      <c r="TFY126" s="77"/>
      <c r="TFZ126" s="77"/>
      <c r="TGA126" s="77"/>
      <c r="TGB126" s="77"/>
      <c r="TGC126" s="77"/>
      <c r="TGD126" s="77"/>
      <c r="TGE126" s="77"/>
      <c r="TGF126" s="77"/>
      <c r="TGG126" s="77"/>
      <c r="TGH126" s="77"/>
      <c r="TGI126" s="77"/>
      <c r="TGJ126" s="77"/>
      <c r="TGK126" s="77"/>
      <c r="TGL126" s="77"/>
      <c r="TGM126" s="77"/>
      <c r="TGN126" s="77"/>
      <c r="TGO126" s="77"/>
      <c r="TGP126" s="77"/>
      <c r="TGQ126" s="77"/>
      <c r="TGR126" s="77"/>
      <c r="TGS126" s="77"/>
      <c r="TGT126" s="77"/>
      <c r="TGU126" s="77"/>
      <c r="TGV126" s="77"/>
      <c r="TGW126" s="77"/>
      <c r="TGX126" s="77"/>
      <c r="TGY126" s="77"/>
      <c r="TGZ126" s="77"/>
      <c r="THA126" s="77"/>
      <c r="THB126" s="77"/>
      <c r="THC126" s="77"/>
      <c r="THD126" s="77"/>
      <c r="THE126" s="77"/>
      <c r="THF126" s="77"/>
      <c r="THG126" s="77"/>
      <c r="THH126" s="77"/>
      <c r="THI126" s="77"/>
      <c r="THJ126" s="77"/>
      <c r="THK126" s="77"/>
      <c r="THL126" s="77"/>
      <c r="THM126" s="77"/>
      <c r="THN126" s="77"/>
      <c r="THO126" s="77"/>
      <c r="THP126" s="77"/>
      <c r="THQ126" s="77"/>
      <c r="THR126" s="77"/>
      <c r="THS126" s="77"/>
      <c r="THT126" s="77"/>
      <c r="THU126" s="77"/>
      <c r="THV126" s="77"/>
      <c r="THW126" s="77"/>
      <c r="THX126" s="77"/>
      <c r="THY126" s="77"/>
      <c r="THZ126" s="77"/>
      <c r="TIA126" s="77"/>
      <c r="TIB126" s="77"/>
      <c r="TIC126" s="77"/>
      <c r="TID126" s="77"/>
      <c r="TIE126" s="77"/>
      <c r="TIF126" s="77"/>
      <c r="TIG126" s="77"/>
      <c r="TIH126" s="77"/>
      <c r="TII126" s="77"/>
      <c r="TIJ126" s="77"/>
      <c r="TIK126" s="77"/>
      <c r="TIL126" s="77"/>
      <c r="TIM126" s="77"/>
      <c r="TIN126" s="77"/>
      <c r="TIO126" s="77"/>
      <c r="TIP126" s="77"/>
      <c r="TIQ126" s="77"/>
      <c r="TIR126" s="77"/>
      <c r="TIS126" s="77"/>
      <c r="TIT126" s="77"/>
      <c r="TIU126" s="77"/>
      <c r="TIV126" s="77"/>
      <c r="TIW126" s="77"/>
      <c r="TIX126" s="77"/>
      <c r="TIY126" s="77"/>
      <c r="TIZ126" s="77"/>
      <c r="TJA126" s="77"/>
      <c r="TJB126" s="77"/>
      <c r="TJC126" s="77"/>
      <c r="TJD126" s="77"/>
      <c r="TJE126" s="77"/>
      <c r="TJF126" s="77"/>
      <c r="TJG126" s="77"/>
      <c r="TJH126" s="77"/>
      <c r="TJI126" s="77"/>
      <c r="TJJ126" s="77"/>
      <c r="TJK126" s="77"/>
      <c r="TJL126" s="77"/>
      <c r="TJM126" s="77"/>
      <c r="TJN126" s="77"/>
      <c r="TJO126" s="77"/>
      <c r="TJP126" s="77"/>
      <c r="TJQ126" s="77"/>
      <c r="TJR126" s="77"/>
      <c r="TJS126" s="77"/>
      <c r="TJT126" s="77"/>
      <c r="TJU126" s="77"/>
      <c r="TJV126" s="77"/>
      <c r="TJW126" s="77"/>
      <c r="TJX126" s="77"/>
      <c r="TJY126" s="77"/>
      <c r="TJZ126" s="77"/>
      <c r="TKA126" s="77"/>
      <c r="TKB126" s="77"/>
      <c r="TKC126" s="77"/>
      <c r="TKD126" s="77"/>
      <c r="TKE126" s="77"/>
      <c r="TKF126" s="77"/>
      <c r="TKG126" s="77"/>
      <c r="TKH126" s="77"/>
      <c r="TKI126" s="77"/>
      <c r="TKJ126" s="77"/>
      <c r="TKK126" s="77"/>
      <c r="TKL126" s="77"/>
      <c r="TKM126" s="77"/>
      <c r="TKN126" s="77"/>
      <c r="TKO126" s="77"/>
      <c r="TKP126" s="77"/>
      <c r="TKQ126" s="77"/>
      <c r="TKR126" s="77"/>
      <c r="TKS126" s="77"/>
      <c r="TKT126" s="77"/>
      <c r="TKU126" s="77"/>
      <c r="TKV126" s="77"/>
      <c r="TKW126" s="77"/>
      <c r="TKX126" s="77"/>
      <c r="TKY126" s="77"/>
      <c r="TKZ126" s="77"/>
      <c r="TLA126" s="77"/>
      <c r="TLB126" s="77"/>
      <c r="TLC126" s="77"/>
      <c r="TLD126" s="77"/>
      <c r="TLE126" s="77"/>
      <c r="TLF126" s="77"/>
      <c r="TLG126" s="77"/>
      <c r="TLH126" s="77"/>
      <c r="TLI126" s="77"/>
      <c r="TLJ126" s="77"/>
      <c r="TLK126" s="77"/>
      <c r="TLL126" s="77"/>
      <c r="TLM126" s="77"/>
      <c r="TLN126" s="77"/>
      <c r="TLO126" s="77"/>
      <c r="TLP126" s="77"/>
      <c r="TLQ126" s="77"/>
      <c r="TLR126" s="77"/>
      <c r="TLS126" s="77"/>
      <c r="TLT126" s="77"/>
      <c r="TLU126" s="77"/>
      <c r="TLV126" s="77"/>
      <c r="TLW126" s="77"/>
      <c r="TLX126" s="77"/>
      <c r="TLY126" s="77"/>
      <c r="TLZ126" s="77"/>
      <c r="TMA126" s="77"/>
      <c r="TMB126" s="77"/>
      <c r="TMC126" s="77"/>
      <c r="TMD126" s="77"/>
      <c r="TME126" s="77"/>
      <c r="TMF126" s="77"/>
      <c r="TMG126" s="77"/>
      <c r="TMH126" s="77"/>
      <c r="TMI126" s="77"/>
      <c r="TMJ126" s="77"/>
      <c r="TMK126" s="77"/>
      <c r="TML126" s="77"/>
      <c r="TMM126" s="77"/>
      <c r="TMN126" s="77"/>
      <c r="TMO126" s="77"/>
      <c r="TMP126" s="77"/>
      <c r="TMQ126" s="77"/>
      <c r="TMR126" s="77"/>
      <c r="TMS126" s="77"/>
      <c r="TMT126" s="77"/>
      <c r="TMU126" s="77"/>
      <c r="TMV126" s="77"/>
      <c r="TMW126" s="77"/>
      <c r="TMX126" s="77"/>
      <c r="TMY126" s="77"/>
      <c r="TMZ126" s="77"/>
      <c r="TNA126" s="77"/>
      <c r="TNB126" s="77"/>
      <c r="TNC126" s="77"/>
      <c r="TND126" s="77"/>
      <c r="TNE126" s="77"/>
      <c r="TNF126" s="77"/>
      <c r="TNG126" s="77"/>
      <c r="TNH126" s="77"/>
      <c r="TNI126" s="77"/>
      <c r="TNJ126" s="77"/>
      <c r="TNK126" s="77"/>
      <c r="TNL126" s="77"/>
      <c r="TNM126" s="77"/>
      <c r="TNN126" s="77"/>
      <c r="TNO126" s="77"/>
      <c r="TNP126" s="77"/>
      <c r="TNQ126" s="77"/>
      <c r="TNR126" s="77"/>
      <c r="TNS126" s="77"/>
      <c r="TNT126" s="77"/>
      <c r="TNU126" s="77"/>
      <c r="TNV126" s="77"/>
      <c r="TNW126" s="77"/>
      <c r="TNX126" s="77"/>
      <c r="TNY126" s="77"/>
      <c r="TNZ126" s="77"/>
      <c r="TOA126" s="77"/>
      <c r="TOB126" s="77"/>
      <c r="TOC126" s="77"/>
      <c r="TOD126" s="77"/>
      <c r="TOE126" s="77"/>
      <c r="TOF126" s="77"/>
      <c r="TOG126" s="77"/>
      <c r="TOH126" s="77"/>
      <c r="TOI126" s="77"/>
      <c r="TOJ126" s="77"/>
      <c r="TOK126" s="77"/>
      <c r="TOL126" s="77"/>
      <c r="TOM126" s="77"/>
      <c r="TON126" s="77"/>
      <c r="TOO126" s="77"/>
      <c r="TOP126" s="77"/>
      <c r="TOQ126" s="77"/>
      <c r="TOR126" s="77"/>
      <c r="TOS126" s="77"/>
      <c r="TOT126" s="77"/>
      <c r="TOU126" s="77"/>
      <c r="TOV126" s="77"/>
      <c r="TOW126" s="77"/>
      <c r="TOX126" s="77"/>
      <c r="TOY126" s="77"/>
      <c r="TOZ126" s="77"/>
      <c r="TPA126" s="77"/>
      <c r="TPB126" s="77"/>
      <c r="TPC126" s="77"/>
      <c r="TPD126" s="77"/>
      <c r="TPE126" s="77"/>
      <c r="TPF126" s="77"/>
      <c r="TPG126" s="77"/>
      <c r="TPH126" s="77"/>
      <c r="TPI126" s="77"/>
      <c r="TPJ126" s="77"/>
      <c r="TPK126" s="77"/>
      <c r="TPL126" s="77"/>
      <c r="TPM126" s="77"/>
      <c r="TPN126" s="77"/>
      <c r="TPO126" s="77"/>
      <c r="TPP126" s="77"/>
      <c r="TPQ126" s="77"/>
      <c r="TPR126" s="77"/>
      <c r="TPS126" s="77"/>
      <c r="TPT126" s="77"/>
      <c r="TPU126" s="77"/>
      <c r="TPV126" s="77"/>
      <c r="TPW126" s="77"/>
      <c r="TPX126" s="77"/>
      <c r="TPY126" s="77"/>
      <c r="TPZ126" s="77"/>
      <c r="TQA126" s="77"/>
      <c r="TQB126" s="77"/>
      <c r="TQC126" s="77"/>
      <c r="TQD126" s="77"/>
      <c r="TQE126" s="77"/>
      <c r="TQF126" s="77"/>
      <c r="TQG126" s="77"/>
      <c r="TQH126" s="77"/>
      <c r="TQI126" s="77"/>
      <c r="TQJ126" s="77"/>
      <c r="TQK126" s="77"/>
      <c r="TQL126" s="77"/>
      <c r="TQM126" s="77"/>
      <c r="TQN126" s="77"/>
      <c r="TQO126" s="77"/>
      <c r="TQP126" s="77"/>
      <c r="TQQ126" s="77"/>
      <c r="TQR126" s="77"/>
      <c r="TQS126" s="77"/>
      <c r="TQT126" s="77"/>
      <c r="TQU126" s="77"/>
      <c r="TQV126" s="77"/>
      <c r="TQW126" s="77"/>
      <c r="TQX126" s="77"/>
      <c r="TQY126" s="77"/>
      <c r="TQZ126" s="77"/>
      <c r="TRA126" s="77"/>
      <c r="TRB126" s="77"/>
      <c r="TRC126" s="77"/>
      <c r="TRD126" s="77"/>
      <c r="TRE126" s="77"/>
      <c r="TRF126" s="77"/>
      <c r="TRG126" s="77"/>
      <c r="TRH126" s="77"/>
      <c r="TRI126" s="77"/>
      <c r="TRJ126" s="77"/>
      <c r="TRK126" s="77"/>
      <c r="TRL126" s="77"/>
      <c r="TRM126" s="77"/>
      <c r="TRN126" s="77"/>
      <c r="TRO126" s="77"/>
      <c r="TRP126" s="77"/>
      <c r="TRQ126" s="77"/>
      <c r="TRR126" s="77"/>
      <c r="TRS126" s="77"/>
      <c r="TRT126" s="77"/>
      <c r="TRU126" s="77"/>
      <c r="TRV126" s="77"/>
      <c r="TRW126" s="77"/>
      <c r="TRX126" s="77"/>
      <c r="TRY126" s="77"/>
      <c r="TRZ126" s="77"/>
      <c r="TSA126" s="77"/>
      <c r="TSB126" s="77"/>
      <c r="TSC126" s="77"/>
      <c r="TSD126" s="77"/>
      <c r="TSE126" s="77"/>
      <c r="TSF126" s="77"/>
      <c r="TSG126" s="77"/>
      <c r="TSH126" s="77"/>
      <c r="TSI126" s="77"/>
      <c r="TSJ126" s="77"/>
      <c r="TSK126" s="77"/>
      <c r="TSL126" s="77"/>
      <c r="TSM126" s="77"/>
      <c r="TSN126" s="77"/>
      <c r="TSO126" s="77"/>
      <c r="TSP126" s="77"/>
      <c r="TSQ126" s="77"/>
      <c r="TSR126" s="77"/>
      <c r="TSS126" s="77"/>
      <c r="TST126" s="77"/>
      <c r="TSU126" s="77"/>
      <c r="TSV126" s="77"/>
      <c r="TSW126" s="77"/>
      <c r="TSX126" s="77"/>
      <c r="TSY126" s="77"/>
      <c r="TSZ126" s="77"/>
      <c r="TTA126" s="77"/>
      <c r="TTB126" s="77"/>
      <c r="TTC126" s="77"/>
      <c r="TTD126" s="77"/>
      <c r="TTE126" s="77"/>
      <c r="TTF126" s="77"/>
      <c r="TTG126" s="77"/>
      <c r="TTH126" s="77"/>
      <c r="TTI126" s="77"/>
      <c r="TTJ126" s="77"/>
      <c r="TTK126" s="77"/>
      <c r="TTL126" s="77"/>
      <c r="TTM126" s="77"/>
      <c r="TTN126" s="77"/>
      <c r="TTO126" s="77"/>
      <c r="TTP126" s="77"/>
      <c r="TTQ126" s="77"/>
      <c r="TTR126" s="77"/>
      <c r="TTS126" s="77"/>
      <c r="TTT126" s="77"/>
      <c r="TTU126" s="77"/>
      <c r="TTV126" s="77"/>
      <c r="TTW126" s="77"/>
      <c r="TTX126" s="77"/>
      <c r="TTY126" s="77"/>
      <c r="TTZ126" s="77"/>
      <c r="TUA126" s="77"/>
      <c r="TUB126" s="77"/>
      <c r="TUC126" s="77"/>
      <c r="TUD126" s="77"/>
      <c r="TUE126" s="77"/>
      <c r="TUF126" s="77"/>
      <c r="TUG126" s="77"/>
      <c r="TUH126" s="77"/>
      <c r="TUI126" s="77"/>
      <c r="TUJ126" s="77"/>
      <c r="TUK126" s="77"/>
      <c r="TUL126" s="77"/>
      <c r="TUM126" s="77"/>
      <c r="TUN126" s="77"/>
      <c r="TUO126" s="77"/>
      <c r="TUP126" s="77"/>
      <c r="TUQ126" s="77"/>
      <c r="TUR126" s="77"/>
      <c r="TUS126" s="77"/>
      <c r="TUT126" s="77"/>
      <c r="TUU126" s="77"/>
      <c r="TUV126" s="77"/>
      <c r="TUW126" s="77"/>
      <c r="TUX126" s="77"/>
      <c r="TUY126" s="77"/>
      <c r="TUZ126" s="77"/>
      <c r="TVA126" s="77"/>
      <c r="TVB126" s="77"/>
      <c r="TVC126" s="77"/>
      <c r="TVD126" s="77"/>
      <c r="TVE126" s="77"/>
      <c r="TVF126" s="77"/>
      <c r="TVG126" s="77"/>
      <c r="TVH126" s="77"/>
      <c r="TVI126" s="77"/>
      <c r="TVJ126" s="77"/>
      <c r="TVK126" s="77"/>
      <c r="TVL126" s="77"/>
      <c r="TVM126" s="77"/>
      <c r="TVN126" s="77"/>
      <c r="TVO126" s="77"/>
      <c r="TVP126" s="77"/>
      <c r="TVQ126" s="77"/>
      <c r="TVR126" s="77"/>
      <c r="TVS126" s="77"/>
      <c r="TVT126" s="77"/>
      <c r="TVU126" s="77"/>
      <c r="TVV126" s="77"/>
      <c r="TVW126" s="77"/>
      <c r="TVX126" s="77"/>
      <c r="TVY126" s="77"/>
      <c r="TVZ126" s="77"/>
      <c r="TWA126" s="77"/>
      <c r="TWB126" s="77"/>
      <c r="TWC126" s="77"/>
      <c r="TWD126" s="77"/>
      <c r="TWE126" s="77"/>
      <c r="TWF126" s="77"/>
      <c r="TWG126" s="77"/>
      <c r="TWH126" s="77"/>
      <c r="TWI126" s="77"/>
      <c r="TWJ126" s="77"/>
      <c r="TWK126" s="77"/>
      <c r="TWL126" s="77"/>
      <c r="TWM126" s="77"/>
      <c r="TWN126" s="77"/>
      <c r="TWO126" s="77"/>
      <c r="TWP126" s="77"/>
      <c r="TWQ126" s="77"/>
      <c r="TWR126" s="77"/>
      <c r="TWS126" s="77"/>
      <c r="TWT126" s="77"/>
      <c r="TWU126" s="77"/>
      <c r="TWV126" s="77"/>
      <c r="TWW126" s="77"/>
      <c r="TWX126" s="77"/>
      <c r="TWY126" s="77"/>
      <c r="TWZ126" s="77"/>
      <c r="TXA126" s="77"/>
      <c r="TXB126" s="77"/>
      <c r="TXC126" s="77"/>
      <c r="TXD126" s="77"/>
      <c r="TXE126" s="77"/>
      <c r="TXF126" s="77"/>
      <c r="TXG126" s="77"/>
      <c r="TXH126" s="77"/>
      <c r="TXI126" s="77"/>
      <c r="TXJ126" s="77"/>
      <c r="TXK126" s="77"/>
      <c r="TXL126" s="77"/>
      <c r="TXM126" s="77"/>
      <c r="TXN126" s="77"/>
      <c r="TXO126" s="77"/>
      <c r="TXP126" s="77"/>
      <c r="TXQ126" s="77"/>
      <c r="TXR126" s="77"/>
      <c r="TXS126" s="77"/>
      <c r="TXT126" s="77"/>
      <c r="TXU126" s="77"/>
      <c r="TXV126" s="77"/>
      <c r="TXW126" s="77"/>
      <c r="TXX126" s="77"/>
      <c r="TXY126" s="77"/>
      <c r="TXZ126" s="77"/>
      <c r="TYA126" s="77"/>
      <c r="TYB126" s="77"/>
      <c r="TYC126" s="77"/>
      <c r="TYD126" s="77"/>
      <c r="TYE126" s="77"/>
      <c r="TYF126" s="77"/>
      <c r="TYG126" s="77"/>
      <c r="TYH126" s="77"/>
      <c r="TYI126" s="77"/>
      <c r="TYJ126" s="77"/>
      <c r="TYK126" s="77"/>
      <c r="TYL126" s="77"/>
      <c r="TYM126" s="77"/>
      <c r="TYN126" s="77"/>
      <c r="TYO126" s="77"/>
      <c r="TYP126" s="77"/>
      <c r="TYQ126" s="77"/>
      <c r="TYR126" s="77"/>
      <c r="TYS126" s="77"/>
      <c r="TYT126" s="77"/>
      <c r="TYU126" s="77"/>
      <c r="TYV126" s="77"/>
      <c r="TYW126" s="77"/>
      <c r="TYX126" s="77"/>
      <c r="TYY126" s="77"/>
      <c r="TYZ126" s="77"/>
      <c r="TZA126" s="77"/>
      <c r="TZB126" s="77"/>
      <c r="TZC126" s="77"/>
      <c r="TZD126" s="77"/>
      <c r="TZE126" s="77"/>
      <c r="TZF126" s="77"/>
      <c r="TZG126" s="77"/>
      <c r="TZH126" s="77"/>
      <c r="TZI126" s="77"/>
      <c r="TZJ126" s="77"/>
      <c r="TZK126" s="77"/>
      <c r="TZL126" s="77"/>
      <c r="TZM126" s="77"/>
      <c r="TZN126" s="77"/>
      <c r="TZO126" s="77"/>
      <c r="TZP126" s="77"/>
      <c r="TZQ126" s="77"/>
      <c r="TZR126" s="77"/>
      <c r="TZS126" s="77"/>
      <c r="TZT126" s="77"/>
      <c r="TZU126" s="77"/>
      <c r="TZV126" s="77"/>
      <c r="TZW126" s="77"/>
      <c r="TZX126" s="77"/>
      <c r="TZY126" s="77"/>
      <c r="TZZ126" s="77"/>
      <c r="UAA126" s="77"/>
      <c r="UAB126" s="77"/>
      <c r="UAC126" s="77"/>
      <c r="UAD126" s="77"/>
      <c r="UAE126" s="77"/>
      <c r="UAF126" s="77"/>
      <c r="UAG126" s="77"/>
      <c r="UAH126" s="77"/>
      <c r="UAI126" s="77"/>
      <c r="UAJ126" s="77"/>
      <c r="UAK126" s="77"/>
      <c r="UAL126" s="77"/>
      <c r="UAM126" s="77"/>
      <c r="UAN126" s="77"/>
      <c r="UAO126" s="77"/>
      <c r="UAP126" s="77"/>
      <c r="UAQ126" s="77"/>
      <c r="UAR126" s="77"/>
      <c r="UAS126" s="77"/>
      <c r="UAT126" s="77"/>
      <c r="UAU126" s="77"/>
      <c r="UAV126" s="77"/>
      <c r="UAW126" s="77"/>
      <c r="UAX126" s="77"/>
      <c r="UAY126" s="77"/>
      <c r="UAZ126" s="77"/>
      <c r="UBA126" s="77"/>
      <c r="UBB126" s="77"/>
      <c r="UBC126" s="77"/>
      <c r="UBD126" s="77"/>
      <c r="UBE126" s="77"/>
      <c r="UBF126" s="77"/>
      <c r="UBG126" s="77"/>
      <c r="UBH126" s="77"/>
      <c r="UBI126" s="77"/>
      <c r="UBJ126" s="77"/>
      <c r="UBK126" s="77"/>
      <c r="UBL126" s="77"/>
      <c r="UBM126" s="77"/>
      <c r="UBN126" s="77"/>
      <c r="UBO126" s="77"/>
      <c r="UBP126" s="77"/>
      <c r="UBQ126" s="77"/>
      <c r="UBR126" s="77"/>
      <c r="UBS126" s="77"/>
      <c r="UBT126" s="77"/>
      <c r="UBU126" s="77"/>
      <c r="UBV126" s="77"/>
      <c r="UBW126" s="77"/>
      <c r="UBX126" s="77"/>
      <c r="UBY126" s="77"/>
      <c r="UBZ126" s="77"/>
      <c r="UCA126" s="77"/>
      <c r="UCB126" s="77"/>
      <c r="UCC126" s="77"/>
      <c r="UCD126" s="77"/>
      <c r="UCE126" s="77"/>
      <c r="UCF126" s="77"/>
      <c r="UCG126" s="77"/>
      <c r="UCH126" s="77"/>
      <c r="UCI126" s="77"/>
      <c r="UCJ126" s="77"/>
      <c r="UCK126" s="77"/>
      <c r="UCL126" s="77"/>
      <c r="UCM126" s="77"/>
      <c r="UCN126" s="77"/>
      <c r="UCO126" s="77"/>
      <c r="UCP126" s="77"/>
      <c r="UCQ126" s="77"/>
      <c r="UCR126" s="77"/>
      <c r="UCS126" s="77"/>
      <c r="UCT126" s="77"/>
      <c r="UCU126" s="77"/>
      <c r="UCV126" s="77"/>
      <c r="UCW126" s="77"/>
      <c r="UCX126" s="77"/>
      <c r="UCY126" s="77"/>
      <c r="UCZ126" s="77"/>
      <c r="UDA126" s="77"/>
      <c r="UDB126" s="77"/>
      <c r="UDC126" s="77"/>
      <c r="UDD126" s="77"/>
      <c r="UDE126" s="77"/>
      <c r="UDF126" s="77"/>
      <c r="UDG126" s="77"/>
      <c r="UDH126" s="77"/>
      <c r="UDI126" s="77"/>
      <c r="UDJ126" s="77"/>
      <c r="UDK126" s="77"/>
      <c r="UDL126" s="77"/>
      <c r="UDM126" s="77"/>
      <c r="UDN126" s="77"/>
      <c r="UDO126" s="77"/>
      <c r="UDP126" s="77"/>
      <c r="UDQ126" s="77"/>
      <c r="UDR126" s="77"/>
      <c r="UDS126" s="77"/>
      <c r="UDT126" s="77"/>
      <c r="UDU126" s="77"/>
      <c r="UDV126" s="77"/>
      <c r="UDW126" s="77"/>
      <c r="UDX126" s="77"/>
      <c r="UDY126" s="77"/>
      <c r="UDZ126" s="77"/>
      <c r="UEA126" s="77"/>
      <c r="UEB126" s="77"/>
      <c r="UEC126" s="77"/>
      <c r="UED126" s="77"/>
      <c r="UEE126" s="77"/>
      <c r="UEF126" s="77"/>
      <c r="UEG126" s="77"/>
      <c r="UEH126" s="77"/>
      <c r="UEI126" s="77"/>
      <c r="UEJ126" s="77"/>
      <c r="UEK126" s="77"/>
      <c r="UEL126" s="77"/>
      <c r="UEM126" s="77"/>
      <c r="UEN126" s="77"/>
      <c r="UEO126" s="77"/>
      <c r="UEP126" s="77"/>
      <c r="UEQ126" s="77"/>
      <c r="UER126" s="77"/>
      <c r="UES126" s="77"/>
      <c r="UET126" s="77"/>
      <c r="UEU126" s="77"/>
      <c r="UEV126" s="77"/>
      <c r="UEW126" s="77"/>
      <c r="UEX126" s="77"/>
      <c r="UEY126" s="77"/>
      <c r="UEZ126" s="77"/>
      <c r="UFA126" s="77"/>
      <c r="UFB126" s="77"/>
      <c r="UFC126" s="77"/>
      <c r="UFD126" s="77"/>
      <c r="UFE126" s="77"/>
      <c r="UFF126" s="77"/>
      <c r="UFG126" s="77"/>
      <c r="UFH126" s="77"/>
      <c r="UFI126" s="77"/>
      <c r="UFJ126" s="77"/>
      <c r="UFK126" s="77"/>
      <c r="UFL126" s="77"/>
      <c r="UFM126" s="77"/>
      <c r="UFN126" s="77"/>
      <c r="UFO126" s="77"/>
      <c r="UFP126" s="77"/>
      <c r="UFQ126" s="77"/>
      <c r="UFR126" s="77"/>
      <c r="UFS126" s="77"/>
      <c r="UFT126" s="77"/>
      <c r="UFU126" s="77"/>
      <c r="UFV126" s="77"/>
      <c r="UFW126" s="77"/>
      <c r="UFX126" s="77"/>
      <c r="UFY126" s="77"/>
      <c r="UFZ126" s="77"/>
      <c r="UGA126" s="77"/>
      <c r="UGB126" s="77"/>
      <c r="UGC126" s="77"/>
      <c r="UGD126" s="77"/>
      <c r="UGE126" s="77"/>
      <c r="UGF126" s="77"/>
      <c r="UGG126" s="77"/>
      <c r="UGH126" s="77"/>
      <c r="UGI126" s="77"/>
      <c r="UGJ126" s="77"/>
      <c r="UGK126" s="77"/>
      <c r="UGL126" s="77"/>
      <c r="UGM126" s="77"/>
      <c r="UGN126" s="77"/>
      <c r="UGO126" s="77"/>
      <c r="UGP126" s="77"/>
      <c r="UGQ126" s="77"/>
      <c r="UGR126" s="77"/>
      <c r="UGS126" s="77"/>
      <c r="UGT126" s="77"/>
      <c r="UGU126" s="77"/>
      <c r="UGV126" s="77"/>
      <c r="UGW126" s="77"/>
      <c r="UGX126" s="77"/>
      <c r="UGY126" s="77"/>
      <c r="UGZ126" s="77"/>
      <c r="UHA126" s="77"/>
      <c r="UHB126" s="77"/>
      <c r="UHC126" s="77"/>
      <c r="UHD126" s="77"/>
      <c r="UHE126" s="77"/>
      <c r="UHF126" s="77"/>
      <c r="UHG126" s="77"/>
      <c r="UHH126" s="77"/>
      <c r="UHI126" s="77"/>
      <c r="UHJ126" s="77"/>
      <c r="UHK126" s="77"/>
      <c r="UHL126" s="77"/>
      <c r="UHM126" s="77"/>
      <c r="UHN126" s="77"/>
      <c r="UHO126" s="77"/>
      <c r="UHP126" s="77"/>
      <c r="UHQ126" s="77"/>
      <c r="UHR126" s="77"/>
      <c r="UHS126" s="77"/>
      <c r="UHT126" s="77"/>
      <c r="UHU126" s="77"/>
      <c r="UHV126" s="77"/>
      <c r="UHW126" s="77"/>
      <c r="UHX126" s="77"/>
      <c r="UHY126" s="77"/>
      <c r="UHZ126" s="77"/>
      <c r="UIA126" s="77"/>
      <c r="UIB126" s="77"/>
      <c r="UIC126" s="77"/>
      <c r="UID126" s="77"/>
      <c r="UIE126" s="77"/>
      <c r="UIF126" s="77"/>
      <c r="UIG126" s="77"/>
      <c r="UIH126" s="77"/>
      <c r="UII126" s="77"/>
      <c r="UIJ126" s="77"/>
      <c r="UIK126" s="77"/>
      <c r="UIL126" s="77"/>
      <c r="UIM126" s="77"/>
      <c r="UIN126" s="77"/>
      <c r="UIO126" s="77"/>
      <c r="UIP126" s="77"/>
      <c r="UIQ126" s="77"/>
      <c r="UIR126" s="77"/>
      <c r="UIS126" s="77"/>
      <c r="UIT126" s="77"/>
      <c r="UIU126" s="77"/>
      <c r="UIV126" s="77"/>
      <c r="UIW126" s="77"/>
      <c r="UIX126" s="77"/>
      <c r="UIY126" s="77"/>
      <c r="UIZ126" s="77"/>
      <c r="UJA126" s="77"/>
      <c r="UJB126" s="77"/>
      <c r="UJC126" s="77"/>
      <c r="UJD126" s="77"/>
      <c r="UJE126" s="77"/>
      <c r="UJF126" s="77"/>
      <c r="UJG126" s="77"/>
      <c r="UJH126" s="77"/>
      <c r="UJI126" s="77"/>
      <c r="UJJ126" s="77"/>
      <c r="UJK126" s="77"/>
      <c r="UJL126" s="77"/>
      <c r="UJM126" s="77"/>
      <c r="UJN126" s="77"/>
      <c r="UJO126" s="77"/>
      <c r="UJP126" s="77"/>
      <c r="UJQ126" s="77"/>
      <c r="UJR126" s="77"/>
      <c r="UJS126" s="77"/>
      <c r="UJT126" s="77"/>
      <c r="UJU126" s="77"/>
      <c r="UJV126" s="77"/>
      <c r="UJW126" s="77"/>
      <c r="UJX126" s="77"/>
      <c r="UJY126" s="77"/>
      <c r="UJZ126" s="77"/>
      <c r="UKA126" s="77"/>
      <c r="UKB126" s="77"/>
      <c r="UKC126" s="77"/>
      <c r="UKD126" s="77"/>
      <c r="UKE126" s="77"/>
      <c r="UKF126" s="77"/>
      <c r="UKG126" s="77"/>
      <c r="UKH126" s="77"/>
      <c r="UKI126" s="77"/>
      <c r="UKJ126" s="77"/>
      <c r="UKK126" s="77"/>
      <c r="UKL126" s="77"/>
      <c r="UKM126" s="77"/>
      <c r="UKN126" s="77"/>
      <c r="UKO126" s="77"/>
      <c r="UKP126" s="77"/>
      <c r="UKQ126" s="77"/>
      <c r="UKR126" s="77"/>
      <c r="UKS126" s="77"/>
      <c r="UKT126" s="77"/>
      <c r="UKU126" s="77"/>
      <c r="UKV126" s="77"/>
      <c r="UKW126" s="77"/>
      <c r="UKX126" s="77"/>
      <c r="UKY126" s="77"/>
      <c r="UKZ126" s="77"/>
      <c r="ULA126" s="77"/>
      <c r="ULB126" s="77"/>
      <c r="ULC126" s="77"/>
      <c r="ULD126" s="77"/>
      <c r="ULE126" s="77"/>
      <c r="ULF126" s="77"/>
      <c r="ULG126" s="77"/>
      <c r="ULH126" s="77"/>
      <c r="ULI126" s="77"/>
      <c r="ULJ126" s="77"/>
      <c r="ULK126" s="77"/>
      <c r="ULL126" s="77"/>
      <c r="ULM126" s="77"/>
      <c r="ULN126" s="77"/>
      <c r="ULO126" s="77"/>
      <c r="ULP126" s="77"/>
      <c r="ULQ126" s="77"/>
      <c r="ULR126" s="77"/>
      <c r="ULS126" s="77"/>
      <c r="ULT126" s="77"/>
      <c r="ULU126" s="77"/>
      <c r="ULV126" s="77"/>
      <c r="ULW126" s="77"/>
      <c r="ULX126" s="77"/>
      <c r="ULY126" s="77"/>
      <c r="ULZ126" s="77"/>
      <c r="UMA126" s="77"/>
      <c r="UMB126" s="77"/>
      <c r="UMC126" s="77"/>
      <c r="UMD126" s="77"/>
      <c r="UME126" s="77"/>
      <c r="UMF126" s="77"/>
      <c r="UMG126" s="77"/>
      <c r="UMH126" s="77"/>
      <c r="UMI126" s="77"/>
      <c r="UMJ126" s="77"/>
      <c r="UMK126" s="77"/>
      <c r="UML126" s="77"/>
      <c r="UMM126" s="77"/>
      <c r="UMN126" s="77"/>
      <c r="UMO126" s="77"/>
      <c r="UMP126" s="77"/>
      <c r="UMQ126" s="77"/>
      <c r="UMR126" s="77"/>
      <c r="UMS126" s="77"/>
      <c r="UMT126" s="77"/>
      <c r="UMU126" s="77"/>
      <c r="UMV126" s="77"/>
      <c r="UMW126" s="77"/>
      <c r="UMX126" s="77"/>
      <c r="UMY126" s="77"/>
      <c r="UMZ126" s="77"/>
      <c r="UNA126" s="77"/>
      <c r="UNB126" s="77"/>
      <c r="UNC126" s="77"/>
      <c r="UND126" s="77"/>
      <c r="UNE126" s="77"/>
      <c r="UNF126" s="77"/>
      <c r="UNG126" s="77"/>
      <c r="UNH126" s="77"/>
      <c r="UNI126" s="77"/>
      <c r="UNJ126" s="77"/>
      <c r="UNK126" s="77"/>
      <c r="UNL126" s="77"/>
      <c r="UNM126" s="77"/>
      <c r="UNN126" s="77"/>
      <c r="UNO126" s="77"/>
      <c r="UNP126" s="77"/>
      <c r="UNQ126" s="77"/>
      <c r="UNR126" s="77"/>
      <c r="UNS126" s="77"/>
      <c r="UNT126" s="77"/>
      <c r="UNU126" s="77"/>
      <c r="UNV126" s="77"/>
      <c r="UNW126" s="77"/>
      <c r="UNX126" s="77"/>
      <c r="UNY126" s="77"/>
      <c r="UNZ126" s="77"/>
      <c r="UOA126" s="77"/>
      <c r="UOB126" s="77"/>
      <c r="UOC126" s="77"/>
      <c r="UOD126" s="77"/>
      <c r="UOE126" s="77"/>
      <c r="UOF126" s="77"/>
      <c r="UOG126" s="77"/>
      <c r="UOH126" s="77"/>
      <c r="UOI126" s="77"/>
      <c r="UOJ126" s="77"/>
      <c r="UOK126" s="77"/>
      <c r="UOL126" s="77"/>
      <c r="UOM126" s="77"/>
      <c r="UON126" s="77"/>
      <c r="UOO126" s="77"/>
      <c r="UOP126" s="77"/>
      <c r="UOQ126" s="77"/>
      <c r="UOR126" s="77"/>
      <c r="UOS126" s="77"/>
      <c r="UOT126" s="77"/>
      <c r="UOU126" s="77"/>
      <c r="UOV126" s="77"/>
      <c r="UOW126" s="77"/>
      <c r="UOX126" s="77"/>
      <c r="UOY126" s="77"/>
      <c r="UOZ126" s="77"/>
      <c r="UPA126" s="77"/>
      <c r="UPB126" s="77"/>
      <c r="UPC126" s="77"/>
      <c r="UPD126" s="77"/>
      <c r="UPE126" s="77"/>
      <c r="UPF126" s="77"/>
      <c r="UPG126" s="77"/>
      <c r="UPH126" s="77"/>
      <c r="UPI126" s="77"/>
      <c r="UPJ126" s="77"/>
      <c r="UPK126" s="77"/>
      <c r="UPL126" s="77"/>
      <c r="UPM126" s="77"/>
      <c r="UPN126" s="77"/>
      <c r="UPO126" s="77"/>
      <c r="UPP126" s="77"/>
      <c r="UPQ126" s="77"/>
      <c r="UPR126" s="77"/>
      <c r="UPS126" s="77"/>
      <c r="UPT126" s="77"/>
      <c r="UPU126" s="77"/>
      <c r="UPV126" s="77"/>
      <c r="UPW126" s="77"/>
      <c r="UPX126" s="77"/>
      <c r="UPY126" s="77"/>
      <c r="UPZ126" s="77"/>
      <c r="UQA126" s="77"/>
      <c r="UQB126" s="77"/>
      <c r="UQC126" s="77"/>
      <c r="UQD126" s="77"/>
      <c r="UQE126" s="77"/>
      <c r="UQF126" s="77"/>
      <c r="UQG126" s="77"/>
      <c r="UQH126" s="77"/>
      <c r="UQI126" s="77"/>
      <c r="UQJ126" s="77"/>
      <c r="UQK126" s="77"/>
      <c r="UQL126" s="77"/>
      <c r="UQM126" s="77"/>
      <c r="UQN126" s="77"/>
      <c r="UQO126" s="77"/>
      <c r="UQP126" s="77"/>
      <c r="UQQ126" s="77"/>
      <c r="UQR126" s="77"/>
      <c r="UQS126" s="77"/>
      <c r="UQT126" s="77"/>
      <c r="UQU126" s="77"/>
      <c r="UQV126" s="77"/>
      <c r="UQW126" s="77"/>
      <c r="UQX126" s="77"/>
      <c r="UQY126" s="77"/>
      <c r="UQZ126" s="77"/>
      <c r="URA126" s="77"/>
      <c r="URB126" s="77"/>
      <c r="URC126" s="77"/>
      <c r="URD126" s="77"/>
      <c r="URE126" s="77"/>
      <c r="URF126" s="77"/>
      <c r="URG126" s="77"/>
      <c r="URH126" s="77"/>
      <c r="URI126" s="77"/>
      <c r="URJ126" s="77"/>
      <c r="URK126" s="77"/>
      <c r="URL126" s="77"/>
      <c r="URM126" s="77"/>
      <c r="URN126" s="77"/>
      <c r="URO126" s="77"/>
      <c r="URP126" s="77"/>
      <c r="URQ126" s="77"/>
      <c r="URR126" s="77"/>
      <c r="URS126" s="77"/>
      <c r="URT126" s="77"/>
      <c r="URU126" s="77"/>
      <c r="URV126" s="77"/>
      <c r="URW126" s="77"/>
      <c r="URX126" s="77"/>
      <c r="URY126" s="77"/>
      <c r="URZ126" s="77"/>
      <c r="USA126" s="77"/>
      <c r="USB126" s="77"/>
      <c r="USC126" s="77"/>
      <c r="USD126" s="77"/>
      <c r="USE126" s="77"/>
      <c r="USF126" s="77"/>
      <c r="USG126" s="77"/>
      <c r="USH126" s="77"/>
      <c r="USI126" s="77"/>
      <c r="USJ126" s="77"/>
      <c r="USK126" s="77"/>
      <c r="USL126" s="77"/>
      <c r="USM126" s="77"/>
      <c r="USN126" s="77"/>
      <c r="USO126" s="77"/>
      <c r="USP126" s="77"/>
      <c r="USQ126" s="77"/>
      <c r="USR126" s="77"/>
      <c r="USS126" s="77"/>
      <c r="UST126" s="77"/>
      <c r="USU126" s="77"/>
      <c r="USV126" s="77"/>
      <c r="USW126" s="77"/>
      <c r="USX126" s="77"/>
      <c r="USY126" s="77"/>
      <c r="USZ126" s="77"/>
      <c r="UTA126" s="77"/>
      <c r="UTB126" s="77"/>
      <c r="UTC126" s="77"/>
      <c r="UTD126" s="77"/>
      <c r="UTE126" s="77"/>
      <c r="UTF126" s="77"/>
      <c r="UTG126" s="77"/>
      <c r="UTH126" s="77"/>
      <c r="UTI126" s="77"/>
      <c r="UTJ126" s="77"/>
      <c r="UTK126" s="77"/>
      <c r="UTL126" s="77"/>
      <c r="UTM126" s="77"/>
      <c r="UTN126" s="77"/>
      <c r="UTO126" s="77"/>
      <c r="UTP126" s="77"/>
      <c r="UTQ126" s="77"/>
      <c r="UTR126" s="77"/>
      <c r="UTS126" s="77"/>
      <c r="UTT126" s="77"/>
      <c r="UTU126" s="77"/>
      <c r="UTV126" s="77"/>
      <c r="UTW126" s="77"/>
      <c r="UTX126" s="77"/>
      <c r="UTY126" s="77"/>
      <c r="UTZ126" s="77"/>
      <c r="UUA126" s="77"/>
      <c r="UUB126" s="77"/>
      <c r="UUC126" s="77"/>
      <c r="UUD126" s="77"/>
      <c r="UUE126" s="77"/>
      <c r="UUF126" s="77"/>
      <c r="UUG126" s="77"/>
      <c r="UUH126" s="77"/>
      <c r="UUI126" s="77"/>
      <c r="UUJ126" s="77"/>
      <c r="UUK126" s="77"/>
      <c r="UUL126" s="77"/>
      <c r="UUM126" s="77"/>
      <c r="UUN126" s="77"/>
      <c r="UUO126" s="77"/>
      <c r="UUP126" s="77"/>
      <c r="UUQ126" s="77"/>
      <c r="UUR126" s="77"/>
      <c r="UUS126" s="77"/>
      <c r="UUT126" s="77"/>
      <c r="UUU126" s="77"/>
      <c r="UUV126" s="77"/>
      <c r="UUW126" s="77"/>
      <c r="UUX126" s="77"/>
      <c r="UUY126" s="77"/>
      <c r="UUZ126" s="77"/>
      <c r="UVA126" s="77"/>
      <c r="UVB126" s="77"/>
      <c r="UVC126" s="77"/>
      <c r="UVD126" s="77"/>
      <c r="UVE126" s="77"/>
      <c r="UVF126" s="77"/>
      <c r="UVG126" s="77"/>
      <c r="UVH126" s="77"/>
      <c r="UVI126" s="77"/>
      <c r="UVJ126" s="77"/>
      <c r="UVK126" s="77"/>
      <c r="UVL126" s="77"/>
      <c r="UVM126" s="77"/>
      <c r="UVN126" s="77"/>
      <c r="UVO126" s="77"/>
      <c r="UVP126" s="77"/>
      <c r="UVQ126" s="77"/>
      <c r="UVR126" s="77"/>
      <c r="UVS126" s="77"/>
      <c r="UVT126" s="77"/>
      <c r="UVU126" s="77"/>
      <c r="UVV126" s="77"/>
      <c r="UVW126" s="77"/>
      <c r="UVX126" s="77"/>
      <c r="UVY126" s="77"/>
      <c r="UVZ126" s="77"/>
      <c r="UWA126" s="77"/>
      <c r="UWB126" s="77"/>
      <c r="UWC126" s="77"/>
      <c r="UWD126" s="77"/>
      <c r="UWE126" s="77"/>
      <c r="UWF126" s="77"/>
      <c r="UWG126" s="77"/>
      <c r="UWH126" s="77"/>
      <c r="UWI126" s="77"/>
      <c r="UWJ126" s="77"/>
      <c r="UWK126" s="77"/>
      <c r="UWL126" s="77"/>
      <c r="UWM126" s="77"/>
      <c r="UWN126" s="77"/>
      <c r="UWO126" s="77"/>
      <c r="UWP126" s="77"/>
      <c r="UWQ126" s="77"/>
      <c r="UWR126" s="77"/>
      <c r="UWS126" s="77"/>
      <c r="UWT126" s="77"/>
      <c r="UWU126" s="77"/>
      <c r="UWV126" s="77"/>
      <c r="UWW126" s="77"/>
      <c r="UWX126" s="77"/>
      <c r="UWY126" s="77"/>
      <c r="UWZ126" s="77"/>
      <c r="UXA126" s="77"/>
      <c r="UXB126" s="77"/>
      <c r="UXC126" s="77"/>
      <c r="UXD126" s="77"/>
      <c r="UXE126" s="77"/>
      <c r="UXF126" s="77"/>
      <c r="UXG126" s="77"/>
      <c r="UXH126" s="77"/>
      <c r="UXI126" s="77"/>
      <c r="UXJ126" s="77"/>
      <c r="UXK126" s="77"/>
      <c r="UXL126" s="77"/>
      <c r="UXM126" s="77"/>
      <c r="UXN126" s="77"/>
      <c r="UXO126" s="77"/>
      <c r="UXP126" s="77"/>
      <c r="UXQ126" s="77"/>
      <c r="UXR126" s="77"/>
      <c r="UXS126" s="77"/>
      <c r="UXT126" s="77"/>
      <c r="UXU126" s="77"/>
      <c r="UXV126" s="77"/>
      <c r="UXW126" s="77"/>
      <c r="UXX126" s="77"/>
      <c r="UXY126" s="77"/>
      <c r="UXZ126" s="77"/>
      <c r="UYA126" s="77"/>
      <c r="UYB126" s="77"/>
      <c r="UYC126" s="77"/>
      <c r="UYD126" s="77"/>
      <c r="UYE126" s="77"/>
      <c r="UYF126" s="77"/>
      <c r="UYG126" s="77"/>
      <c r="UYH126" s="77"/>
      <c r="UYI126" s="77"/>
      <c r="UYJ126" s="77"/>
      <c r="UYK126" s="77"/>
      <c r="UYL126" s="77"/>
      <c r="UYM126" s="77"/>
      <c r="UYN126" s="77"/>
      <c r="UYO126" s="77"/>
      <c r="UYP126" s="77"/>
      <c r="UYQ126" s="77"/>
      <c r="UYR126" s="77"/>
      <c r="UYS126" s="77"/>
      <c r="UYT126" s="77"/>
      <c r="UYU126" s="77"/>
      <c r="UYV126" s="77"/>
      <c r="UYW126" s="77"/>
      <c r="UYX126" s="77"/>
      <c r="UYY126" s="77"/>
      <c r="UYZ126" s="77"/>
      <c r="UZA126" s="77"/>
      <c r="UZB126" s="77"/>
      <c r="UZC126" s="77"/>
      <c r="UZD126" s="77"/>
      <c r="UZE126" s="77"/>
      <c r="UZF126" s="77"/>
      <c r="UZG126" s="77"/>
      <c r="UZH126" s="77"/>
      <c r="UZI126" s="77"/>
      <c r="UZJ126" s="77"/>
      <c r="UZK126" s="77"/>
      <c r="UZL126" s="77"/>
      <c r="UZM126" s="77"/>
      <c r="UZN126" s="77"/>
      <c r="UZO126" s="77"/>
      <c r="UZP126" s="77"/>
      <c r="UZQ126" s="77"/>
      <c r="UZR126" s="77"/>
      <c r="UZS126" s="77"/>
      <c r="UZT126" s="77"/>
      <c r="UZU126" s="77"/>
      <c r="UZV126" s="77"/>
      <c r="UZW126" s="77"/>
      <c r="UZX126" s="77"/>
      <c r="UZY126" s="77"/>
      <c r="UZZ126" s="77"/>
      <c r="VAA126" s="77"/>
      <c r="VAB126" s="77"/>
      <c r="VAC126" s="77"/>
      <c r="VAD126" s="77"/>
      <c r="VAE126" s="77"/>
      <c r="VAF126" s="77"/>
      <c r="VAG126" s="77"/>
      <c r="VAH126" s="77"/>
      <c r="VAI126" s="77"/>
      <c r="VAJ126" s="77"/>
      <c r="VAK126" s="77"/>
      <c r="VAL126" s="77"/>
      <c r="VAM126" s="77"/>
      <c r="VAN126" s="77"/>
      <c r="VAO126" s="77"/>
      <c r="VAP126" s="77"/>
      <c r="VAQ126" s="77"/>
      <c r="VAR126" s="77"/>
      <c r="VAS126" s="77"/>
      <c r="VAT126" s="77"/>
      <c r="VAU126" s="77"/>
      <c r="VAV126" s="77"/>
      <c r="VAW126" s="77"/>
      <c r="VAX126" s="77"/>
      <c r="VAY126" s="77"/>
      <c r="VAZ126" s="77"/>
      <c r="VBA126" s="77"/>
      <c r="VBB126" s="77"/>
      <c r="VBC126" s="77"/>
      <c r="VBD126" s="77"/>
      <c r="VBE126" s="77"/>
      <c r="VBF126" s="77"/>
      <c r="VBG126" s="77"/>
      <c r="VBH126" s="77"/>
      <c r="VBI126" s="77"/>
      <c r="VBJ126" s="77"/>
      <c r="VBK126" s="77"/>
      <c r="VBL126" s="77"/>
      <c r="VBM126" s="77"/>
      <c r="VBN126" s="77"/>
      <c r="VBO126" s="77"/>
      <c r="VBP126" s="77"/>
      <c r="VBQ126" s="77"/>
      <c r="VBR126" s="77"/>
      <c r="VBS126" s="77"/>
      <c r="VBT126" s="77"/>
      <c r="VBU126" s="77"/>
      <c r="VBV126" s="77"/>
      <c r="VBW126" s="77"/>
      <c r="VBX126" s="77"/>
      <c r="VBY126" s="77"/>
      <c r="VBZ126" s="77"/>
      <c r="VCA126" s="77"/>
      <c r="VCB126" s="77"/>
      <c r="VCC126" s="77"/>
      <c r="VCD126" s="77"/>
      <c r="VCE126" s="77"/>
      <c r="VCF126" s="77"/>
      <c r="VCG126" s="77"/>
      <c r="VCH126" s="77"/>
      <c r="VCI126" s="77"/>
      <c r="VCJ126" s="77"/>
      <c r="VCK126" s="77"/>
      <c r="VCL126" s="77"/>
      <c r="VCM126" s="77"/>
      <c r="VCN126" s="77"/>
      <c r="VCO126" s="77"/>
      <c r="VCP126" s="77"/>
      <c r="VCQ126" s="77"/>
      <c r="VCR126" s="77"/>
      <c r="VCS126" s="77"/>
      <c r="VCT126" s="77"/>
      <c r="VCU126" s="77"/>
      <c r="VCV126" s="77"/>
      <c r="VCW126" s="77"/>
      <c r="VCX126" s="77"/>
      <c r="VCY126" s="77"/>
      <c r="VCZ126" s="77"/>
      <c r="VDA126" s="77"/>
      <c r="VDB126" s="77"/>
      <c r="VDC126" s="77"/>
      <c r="VDD126" s="77"/>
      <c r="VDE126" s="77"/>
      <c r="VDF126" s="77"/>
      <c r="VDG126" s="77"/>
      <c r="VDH126" s="77"/>
      <c r="VDI126" s="77"/>
      <c r="VDJ126" s="77"/>
      <c r="VDK126" s="77"/>
      <c r="VDL126" s="77"/>
      <c r="VDM126" s="77"/>
      <c r="VDN126" s="77"/>
      <c r="VDO126" s="77"/>
      <c r="VDP126" s="77"/>
      <c r="VDQ126" s="77"/>
      <c r="VDR126" s="77"/>
      <c r="VDS126" s="77"/>
      <c r="VDT126" s="77"/>
      <c r="VDU126" s="77"/>
      <c r="VDV126" s="77"/>
      <c r="VDW126" s="77"/>
      <c r="VDX126" s="77"/>
      <c r="VDY126" s="77"/>
      <c r="VDZ126" s="77"/>
      <c r="VEA126" s="77"/>
      <c r="VEB126" s="77"/>
      <c r="VEC126" s="77"/>
      <c r="VED126" s="77"/>
      <c r="VEE126" s="77"/>
      <c r="VEF126" s="77"/>
      <c r="VEG126" s="77"/>
      <c r="VEH126" s="77"/>
      <c r="VEI126" s="77"/>
      <c r="VEJ126" s="77"/>
      <c r="VEK126" s="77"/>
      <c r="VEL126" s="77"/>
      <c r="VEM126" s="77"/>
      <c r="VEN126" s="77"/>
      <c r="VEO126" s="77"/>
      <c r="VEP126" s="77"/>
      <c r="VEQ126" s="77"/>
      <c r="VER126" s="77"/>
      <c r="VES126" s="77"/>
      <c r="VET126" s="77"/>
      <c r="VEU126" s="77"/>
      <c r="VEV126" s="77"/>
      <c r="VEW126" s="77"/>
      <c r="VEX126" s="77"/>
      <c r="VEY126" s="77"/>
      <c r="VEZ126" s="77"/>
      <c r="VFA126" s="77"/>
      <c r="VFB126" s="77"/>
      <c r="VFC126" s="77"/>
      <c r="VFD126" s="77"/>
      <c r="VFE126" s="77"/>
      <c r="VFF126" s="77"/>
      <c r="VFG126" s="77"/>
      <c r="VFH126" s="77"/>
      <c r="VFI126" s="77"/>
      <c r="VFJ126" s="77"/>
      <c r="VFK126" s="77"/>
      <c r="VFL126" s="77"/>
      <c r="VFM126" s="77"/>
      <c r="VFN126" s="77"/>
      <c r="VFO126" s="77"/>
      <c r="VFP126" s="77"/>
      <c r="VFQ126" s="77"/>
      <c r="VFR126" s="77"/>
      <c r="VFS126" s="77"/>
      <c r="VFT126" s="77"/>
      <c r="VFU126" s="77"/>
      <c r="VFV126" s="77"/>
      <c r="VFW126" s="77"/>
      <c r="VFX126" s="77"/>
      <c r="VFY126" s="77"/>
      <c r="VFZ126" s="77"/>
      <c r="VGA126" s="77"/>
      <c r="VGB126" s="77"/>
      <c r="VGC126" s="77"/>
      <c r="VGD126" s="77"/>
      <c r="VGE126" s="77"/>
      <c r="VGF126" s="77"/>
      <c r="VGG126" s="77"/>
      <c r="VGH126" s="77"/>
      <c r="VGI126" s="77"/>
      <c r="VGJ126" s="77"/>
      <c r="VGK126" s="77"/>
      <c r="VGL126" s="77"/>
      <c r="VGM126" s="77"/>
      <c r="VGN126" s="77"/>
      <c r="VGO126" s="77"/>
      <c r="VGP126" s="77"/>
      <c r="VGQ126" s="77"/>
      <c r="VGR126" s="77"/>
      <c r="VGS126" s="77"/>
      <c r="VGT126" s="77"/>
      <c r="VGU126" s="77"/>
      <c r="VGV126" s="77"/>
      <c r="VGW126" s="77"/>
      <c r="VGX126" s="77"/>
      <c r="VGY126" s="77"/>
      <c r="VGZ126" s="77"/>
      <c r="VHA126" s="77"/>
      <c r="VHB126" s="77"/>
      <c r="VHC126" s="77"/>
      <c r="VHD126" s="77"/>
      <c r="VHE126" s="77"/>
      <c r="VHF126" s="77"/>
      <c r="VHG126" s="77"/>
      <c r="VHH126" s="77"/>
      <c r="VHI126" s="77"/>
      <c r="VHJ126" s="77"/>
      <c r="VHK126" s="77"/>
      <c r="VHL126" s="77"/>
      <c r="VHM126" s="77"/>
      <c r="VHN126" s="77"/>
      <c r="VHO126" s="77"/>
      <c r="VHP126" s="77"/>
      <c r="VHQ126" s="77"/>
      <c r="VHR126" s="77"/>
      <c r="VHS126" s="77"/>
      <c r="VHT126" s="77"/>
      <c r="VHU126" s="77"/>
      <c r="VHV126" s="77"/>
      <c r="VHW126" s="77"/>
      <c r="VHX126" s="77"/>
      <c r="VHY126" s="77"/>
      <c r="VHZ126" s="77"/>
      <c r="VIA126" s="77"/>
      <c r="VIB126" s="77"/>
      <c r="VIC126" s="77"/>
      <c r="VID126" s="77"/>
      <c r="VIE126" s="77"/>
      <c r="VIF126" s="77"/>
      <c r="VIG126" s="77"/>
      <c r="VIH126" s="77"/>
      <c r="VII126" s="77"/>
      <c r="VIJ126" s="77"/>
      <c r="VIK126" s="77"/>
      <c r="VIL126" s="77"/>
      <c r="VIM126" s="77"/>
      <c r="VIN126" s="77"/>
      <c r="VIO126" s="77"/>
      <c r="VIP126" s="77"/>
      <c r="VIQ126" s="77"/>
      <c r="VIR126" s="77"/>
      <c r="VIS126" s="77"/>
      <c r="VIT126" s="77"/>
      <c r="VIU126" s="77"/>
      <c r="VIV126" s="77"/>
      <c r="VIW126" s="77"/>
      <c r="VIX126" s="77"/>
      <c r="VIY126" s="77"/>
      <c r="VIZ126" s="77"/>
      <c r="VJA126" s="77"/>
      <c r="VJB126" s="77"/>
      <c r="VJC126" s="77"/>
      <c r="VJD126" s="77"/>
      <c r="VJE126" s="77"/>
      <c r="VJF126" s="77"/>
      <c r="VJG126" s="77"/>
      <c r="VJH126" s="77"/>
      <c r="VJI126" s="77"/>
      <c r="VJJ126" s="77"/>
      <c r="VJK126" s="77"/>
      <c r="VJL126" s="77"/>
      <c r="VJM126" s="77"/>
      <c r="VJN126" s="77"/>
      <c r="VJO126" s="77"/>
      <c r="VJP126" s="77"/>
      <c r="VJQ126" s="77"/>
      <c r="VJR126" s="77"/>
      <c r="VJS126" s="77"/>
      <c r="VJT126" s="77"/>
      <c r="VJU126" s="77"/>
      <c r="VJV126" s="77"/>
      <c r="VJW126" s="77"/>
      <c r="VJX126" s="77"/>
      <c r="VJY126" s="77"/>
      <c r="VJZ126" s="77"/>
      <c r="VKA126" s="77"/>
      <c r="VKB126" s="77"/>
      <c r="VKC126" s="77"/>
      <c r="VKD126" s="77"/>
      <c r="VKE126" s="77"/>
      <c r="VKF126" s="77"/>
      <c r="VKG126" s="77"/>
      <c r="VKH126" s="77"/>
      <c r="VKI126" s="77"/>
      <c r="VKJ126" s="77"/>
      <c r="VKK126" s="77"/>
      <c r="VKL126" s="77"/>
      <c r="VKM126" s="77"/>
      <c r="VKN126" s="77"/>
      <c r="VKO126" s="77"/>
      <c r="VKP126" s="77"/>
      <c r="VKQ126" s="77"/>
      <c r="VKR126" s="77"/>
      <c r="VKS126" s="77"/>
      <c r="VKT126" s="77"/>
      <c r="VKU126" s="77"/>
      <c r="VKV126" s="77"/>
      <c r="VKW126" s="77"/>
      <c r="VKX126" s="77"/>
      <c r="VKY126" s="77"/>
      <c r="VKZ126" s="77"/>
      <c r="VLA126" s="77"/>
      <c r="VLB126" s="77"/>
      <c r="VLC126" s="77"/>
      <c r="VLD126" s="77"/>
      <c r="VLE126" s="77"/>
      <c r="VLF126" s="77"/>
      <c r="VLG126" s="77"/>
      <c r="VLH126" s="77"/>
      <c r="VLI126" s="77"/>
      <c r="VLJ126" s="77"/>
      <c r="VLK126" s="77"/>
      <c r="VLL126" s="77"/>
      <c r="VLM126" s="77"/>
      <c r="VLN126" s="77"/>
      <c r="VLO126" s="77"/>
      <c r="VLP126" s="77"/>
      <c r="VLQ126" s="77"/>
      <c r="VLR126" s="77"/>
      <c r="VLS126" s="77"/>
      <c r="VLT126" s="77"/>
      <c r="VLU126" s="77"/>
      <c r="VLV126" s="77"/>
      <c r="VLW126" s="77"/>
      <c r="VLX126" s="77"/>
      <c r="VLY126" s="77"/>
      <c r="VLZ126" s="77"/>
      <c r="VMA126" s="77"/>
      <c r="VMB126" s="77"/>
      <c r="VMC126" s="77"/>
      <c r="VMD126" s="77"/>
      <c r="VME126" s="77"/>
      <c r="VMF126" s="77"/>
      <c r="VMG126" s="77"/>
      <c r="VMH126" s="77"/>
      <c r="VMI126" s="77"/>
      <c r="VMJ126" s="77"/>
      <c r="VMK126" s="77"/>
      <c r="VML126" s="77"/>
      <c r="VMM126" s="77"/>
      <c r="VMN126" s="77"/>
      <c r="VMO126" s="77"/>
      <c r="VMP126" s="77"/>
      <c r="VMQ126" s="77"/>
      <c r="VMR126" s="77"/>
      <c r="VMS126" s="77"/>
      <c r="VMT126" s="77"/>
      <c r="VMU126" s="77"/>
      <c r="VMV126" s="77"/>
      <c r="VMW126" s="77"/>
      <c r="VMX126" s="77"/>
      <c r="VMY126" s="77"/>
      <c r="VMZ126" s="77"/>
      <c r="VNA126" s="77"/>
      <c r="VNB126" s="77"/>
      <c r="VNC126" s="77"/>
      <c r="VND126" s="77"/>
      <c r="VNE126" s="77"/>
      <c r="VNF126" s="77"/>
      <c r="VNG126" s="77"/>
      <c r="VNH126" s="77"/>
      <c r="VNI126" s="77"/>
      <c r="VNJ126" s="77"/>
      <c r="VNK126" s="77"/>
      <c r="VNL126" s="77"/>
      <c r="VNM126" s="77"/>
      <c r="VNN126" s="77"/>
      <c r="VNO126" s="77"/>
      <c r="VNP126" s="77"/>
      <c r="VNQ126" s="77"/>
      <c r="VNR126" s="77"/>
      <c r="VNS126" s="77"/>
      <c r="VNT126" s="77"/>
      <c r="VNU126" s="77"/>
      <c r="VNV126" s="77"/>
      <c r="VNW126" s="77"/>
      <c r="VNX126" s="77"/>
      <c r="VNY126" s="77"/>
      <c r="VNZ126" s="77"/>
      <c r="VOA126" s="77"/>
      <c r="VOB126" s="77"/>
      <c r="VOC126" s="77"/>
      <c r="VOD126" s="77"/>
      <c r="VOE126" s="77"/>
      <c r="VOF126" s="77"/>
      <c r="VOG126" s="77"/>
      <c r="VOH126" s="77"/>
      <c r="VOI126" s="77"/>
      <c r="VOJ126" s="77"/>
      <c r="VOK126" s="77"/>
      <c r="VOL126" s="77"/>
      <c r="VOM126" s="77"/>
      <c r="VON126" s="77"/>
      <c r="VOO126" s="77"/>
      <c r="VOP126" s="77"/>
      <c r="VOQ126" s="77"/>
      <c r="VOR126" s="77"/>
      <c r="VOS126" s="77"/>
      <c r="VOT126" s="77"/>
      <c r="VOU126" s="77"/>
      <c r="VOV126" s="77"/>
      <c r="VOW126" s="77"/>
      <c r="VOX126" s="77"/>
      <c r="VOY126" s="77"/>
      <c r="VOZ126" s="77"/>
      <c r="VPA126" s="77"/>
      <c r="VPB126" s="77"/>
      <c r="VPC126" s="77"/>
      <c r="VPD126" s="77"/>
      <c r="VPE126" s="77"/>
      <c r="VPF126" s="77"/>
      <c r="VPG126" s="77"/>
      <c r="VPH126" s="77"/>
      <c r="VPI126" s="77"/>
      <c r="VPJ126" s="77"/>
      <c r="VPK126" s="77"/>
      <c r="VPL126" s="77"/>
      <c r="VPM126" s="77"/>
      <c r="VPN126" s="77"/>
      <c r="VPO126" s="77"/>
      <c r="VPP126" s="77"/>
      <c r="VPQ126" s="77"/>
      <c r="VPR126" s="77"/>
      <c r="VPS126" s="77"/>
      <c r="VPT126" s="77"/>
      <c r="VPU126" s="77"/>
      <c r="VPV126" s="77"/>
      <c r="VPW126" s="77"/>
      <c r="VPX126" s="77"/>
      <c r="VPY126" s="77"/>
      <c r="VPZ126" s="77"/>
      <c r="VQA126" s="77"/>
      <c r="VQB126" s="77"/>
      <c r="VQC126" s="77"/>
      <c r="VQD126" s="77"/>
      <c r="VQE126" s="77"/>
      <c r="VQF126" s="77"/>
      <c r="VQG126" s="77"/>
      <c r="VQH126" s="77"/>
      <c r="VQI126" s="77"/>
      <c r="VQJ126" s="77"/>
      <c r="VQK126" s="77"/>
      <c r="VQL126" s="77"/>
      <c r="VQM126" s="77"/>
      <c r="VQN126" s="77"/>
      <c r="VQO126" s="77"/>
      <c r="VQP126" s="77"/>
      <c r="VQQ126" s="77"/>
      <c r="VQR126" s="77"/>
      <c r="VQS126" s="77"/>
      <c r="VQT126" s="77"/>
      <c r="VQU126" s="77"/>
      <c r="VQV126" s="77"/>
      <c r="VQW126" s="77"/>
      <c r="VQX126" s="77"/>
      <c r="VQY126" s="77"/>
      <c r="VQZ126" s="77"/>
      <c r="VRA126" s="77"/>
      <c r="VRB126" s="77"/>
      <c r="VRC126" s="77"/>
      <c r="VRD126" s="77"/>
      <c r="VRE126" s="77"/>
      <c r="VRF126" s="77"/>
      <c r="VRG126" s="77"/>
      <c r="VRH126" s="77"/>
      <c r="VRI126" s="77"/>
      <c r="VRJ126" s="77"/>
      <c r="VRK126" s="77"/>
      <c r="VRL126" s="77"/>
      <c r="VRM126" s="77"/>
      <c r="VRN126" s="77"/>
      <c r="VRO126" s="77"/>
      <c r="VRP126" s="77"/>
      <c r="VRQ126" s="77"/>
      <c r="VRR126" s="77"/>
      <c r="VRS126" s="77"/>
      <c r="VRT126" s="77"/>
      <c r="VRU126" s="77"/>
      <c r="VRV126" s="77"/>
      <c r="VRW126" s="77"/>
      <c r="VRX126" s="77"/>
      <c r="VRY126" s="77"/>
      <c r="VRZ126" s="77"/>
      <c r="VSA126" s="77"/>
      <c r="VSB126" s="77"/>
      <c r="VSC126" s="77"/>
      <c r="VSD126" s="77"/>
      <c r="VSE126" s="77"/>
      <c r="VSF126" s="77"/>
      <c r="VSG126" s="77"/>
      <c r="VSH126" s="77"/>
      <c r="VSI126" s="77"/>
      <c r="VSJ126" s="77"/>
      <c r="VSK126" s="77"/>
      <c r="VSL126" s="77"/>
      <c r="VSM126" s="77"/>
      <c r="VSN126" s="77"/>
      <c r="VSO126" s="77"/>
      <c r="VSP126" s="77"/>
      <c r="VSQ126" s="77"/>
      <c r="VSR126" s="77"/>
      <c r="VSS126" s="77"/>
      <c r="VST126" s="77"/>
      <c r="VSU126" s="77"/>
      <c r="VSV126" s="77"/>
      <c r="VSW126" s="77"/>
      <c r="VSX126" s="77"/>
      <c r="VSY126" s="77"/>
      <c r="VSZ126" s="77"/>
      <c r="VTA126" s="77"/>
      <c r="VTB126" s="77"/>
      <c r="VTC126" s="77"/>
      <c r="VTD126" s="77"/>
      <c r="VTE126" s="77"/>
      <c r="VTF126" s="77"/>
      <c r="VTG126" s="77"/>
      <c r="VTH126" s="77"/>
      <c r="VTI126" s="77"/>
      <c r="VTJ126" s="77"/>
      <c r="VTK126" s="77"/>
      <c r="VTL126" s="77"/>
      <c r="VTM126" s="77"/>
      <c r="VTN126" s="77"/>
      <c r="VTO126" s="77"/>
      <c r="VTP126" s="77"/>
      <c r="VTQ126" s="77"/>
      <c r="VTR126" s="77"/>
      <c r="VTS126" s="77"/>
      <c r="VTT126" s="77"/>
      <c r="VTU126" s="77"/>
      <c r="VTV126" s="77"/>
      <c r="VTW126" s="77"/>
      <c r="VTX126" s="77"/>
      <c r="VTY126" s="77"/>
      <c r="VTZ126" s="77"/>
      <c r="VUA126" s="77"/>
      <c r="VUB126" s="77"/>
      <c r="VUC126" s="77"/>
      <c r="VUD126" s="77"/>
      <c r="VUE126" s="77"/>
      <c r="VUF126" s="77"/>
      <c r="VUG126" s="77"/>
      <c r="VUH126" s="77"/>
      <c r="VUI126" s="77"/>
      <c r="VUJ126" s="77"/>
      <c r="VUK126" s="77"/>
      <c r="VUL126" s="77"/>
      <c r="VUM126" s="77"/>
      <c r="VUN126" s="77"/>
      <c r="VUO126" s="77"/>
      <c r="VUP126" s="77"/>
      <c r="VUQ126" s="77"/>
      <c r="VUR126" s="77"/>
      <c r="VUS126" s="77"/>
      <c r="VUT126" s="77"/>
      <c r="VUU126" s="77"/>
      <c r="VUV126" s="77"/>
      <c r="VUW126" s="77"/>
      <c r="VUX126" s="77"/>
      <c r="VUY126" s="77"/>
      <c r="VUZ126" s="77"/>
      <c r="VVA126" s="77"/>
      <c r="VVB126" s="77"/>
      <c r="VVC126" s="77"/>
      <c r="VVD126" s="77"/>
      <c r="VVE126" s="77"/>
      <c r="VVF126" s="77"/>
      <c r="VVG126" s="77"/>
      <c r="VVH126" s="77"/>
      <c r="VVI126" s="77"/>
      <c r="VVJ126" s="77"/>
      <c r="VVK126" s="77"/>
      <c r="VVL126" s="77"/>
      <c r="VVM126" s="77"/>
      <c r="VVN126" s="77"/>
      <c r="VVO126" s="77"/>
      <c r="VVP126" s="77"/>
      <c r="VVQ126" s="77"/>
      <c r="VVR126" s="77"/>
      <c r="VVS126" s="77"/>
      <c r="VVT126" s="77"/>
      <c r="VVU126" s="77"/>
      <c r="VVV126" s="77"/>
      <c r="VVW126" s="77"/>
      <c r="VVX126" s="77"/>
      <c r="VVY126" s="77"/>
      <c r="VVZ126" s="77"/>
      <c r="VWA126" s="77"/>
      <c r="VWB126" s="77"/>
      <c r="VWC126" s="77"/>
      <c r="VWD126" s="77"/>
      <c r="VWE126" s="77"/>
      <c r="VWF126" s="77"/>
      <c r="VWG126" s="77"/>
      <c r="VWH126" s="77"/>
      <c r="VWI126" s="77"/>
      <c r="VWJ126" s="77"/>
      <c r="VWK126" s="77"/>
      <c r="VWL126" s="77"/>
      <c r="VWM126" s="77"/>
      <c r="VWN126" s="77"/>
      <c r="VWO126" s="77"/>
      <c r="VWP126" s="77"/>
      <c r="VWQ126" s="77"/>
      <c r="VWR126" s="77"/>
      <c r="VWS126" s="77"/>
      <c r="VWT126" s="77"/>
      <c r="VWU126" s="77"/>
      <c r="VWV126" s="77"/>
      <c r="VWW126" s="77"/>
      <c r="VWX126" s="77"/>
      <c r="VWY126" s="77"/>
      <c r="VWZ126" s="77"/>
      <c r="VXA126" s="77"/>
      <c r="VXB126" s="77"/>
      <c r="VXC126" s="77"/>
      <c r="VXD126" s="77"/>
      <c r="VXE126" s="77"/>
      <c r="VXF126" s="77"/>
      <c r="VXG126" s="77"/>
      <c r="VXH126" s="77"/>
      <c r="VXI126" s="77"/>
      <c r="VXJ126" s="77"/>
      <c r="VXK126" s="77"/>
      <c r="VXL126" s="77"/>
      <c r="VXM126" s="77"/>
      <c r="VXN126" s="77"/>
      <c r="VXO126" s="77"/>
      <c r="VXP126" s="77"/>
      <c r="VXQ126" s="77"/>
      <c r="VXR126" s="77"/>
      <c r="VXS126" s="77"/>
      <c r="VXT126" s="77"/>
      <c r="VXU126" s="77"/>
      <c r="VXV126" s="77"/>
      <c r="VXW126" s="77"/>
      <c r="VXX126" s="77"/>
      <c r="VXY126" s="77"/>
      <c r="VXZ126" s="77"/>
      <c r="VYA126" s="77"/>
      <c r="VYB126" s="77"/>
      <c r="VYC126" s="77"/>
      <c r="VYD126" s="77"/>
      <c r="VYE126" s="77"/>
      <c r="VYF126" s="77"/>
      <c r="VYG126" s="77"/>
      <c r="VYH126" s="77"/>
      <c r="VYI126" s="77"/>
      <c r="VYJ126" s="77"/>
      <c r="VYK126" s="77"/>
      <c r="VYL126" s="77"/>
      <c r="VYM126" s="77"/>
      <c r="VYN126" s="77"/>
      <c r="VYO126" s="77"/>
      <c r="VYP126" s="77"/>
      <c r="VYQ126" s="77"/>
      <c r="VYR126" s="77"/>
      <c r="VYS126" s="77"/>
      <c r="VYT126" s="77"/>
      <c r="VYU126" s="77"/>
      <c r="VYV126" s="77"/>
      <c r="VYW126" s="77"/>
      <c r="VYX126" s="77"/>
      <c r="VYY126" s="77"/>
      <c r="VYZ126" s="77"/>
      <c r="VZA126" s="77"/>
      <c r="VZB126" s="77"/>
      <c r="VZC126" s="77"/>
      <c r="VZD126" s="77"/>
      <c r="VZE126" s="77"/>
      <c r="VZF126" s="77"/>
      <c r="VZG126" s="77"/>
      <c r="VZH126" s="77"/>
      <c r="VZI126" s="77"/>
      <c r="VZJ126" s="77"/>
      <c r="VZK126" s="77"/>
      <c r="VZL126" s="77"/>
      <c r="VZM126" s="77"/>
      <c r="VZN126" s="77"/>
      <c r="VZO126" s="77"/>
      <c r="VZP126" s="77"/>
      <c r="VZQ126" s="77"/>
      <c r="VZR126" s="77"/>
      <c r="VZS126" s="77"/>
      <c r="VZT126" s="77"/>
      <c r="VZU126" s="77"/>
      <c r="VZV126" s="77"/>
      <c r="VZW126" s="77"/>
      <c r="VZX126" s="77"/>
      <c r="VZY126" s="77"/>
      <c r="VZZ126" s="77"/>
      <c r="WAA126" s="77"/>
      <c r="WAB126" s="77"/>
      <c r="WAC126" s="77"/>
      <c r="WAD126" s="77"/>
      <c r="WAE126" s="77"/>
      <c r="WAF126" s="77"/>
      <c r="WAG126" s="77"/>
      <c r="WAH126" s="77"/>
      <c r="WAI126" s="77"/>
      <c r="WAJ126" s="77"/>
      <c r="WAK126" s="77"/>
      <c r="WAL126" s="77"/>
      <c r="WAM126" s="77"/>
      <c r="WAN126" s="77"/>
      <c r="WAO126" s="77"/>
      <c r="WAP126" s="77"/>
      <c r="WAQ126" s="77"/>
      <c r="WAR126" s="77"/>
      <c r="WAS126" s="77"/>
      <c r="WAT126" s="77"/>
      <c r="WAU126" s="77"/>
      <c r="WAV126" s="77"/>
      <c r="WAW126" s="77"/>
      <c r="WAX126" s="77"/>
      <c r="WAY126" s="77"/>
      <c r="WAZ126" s="77"/>
      <c r="WBA126" s="77"/>
      <c r="WBB126" s="77"/>
      <c r="WBC126" s="77"/>
      <c r="WBD126" s="77"/>
      <c r="WBE126" s="77"/>
      <c r="WBF126" s="77"/>
      <c r="WBG126" s="77"/>
      <c r="WBH126" s="77"/>
      <c r="WBI126" s="77"/>
      <c r="WBJ126" s="77"/>
      <c r="WBK126" s="77"/>
      <c r="WBL126" s="77"/>
      <c r="WBM126" s="77"/>
      <c r="WBN126" s="77"/>
      <c r="WBO126" s="77"/>
      <c r="WBP126" s="77"/>
      <c r="WBQ126" s="77"/>
      <c r="WBR126" s="77"/>
      <c r="WBS126" s="77"/>
      <c r="WBT126" s="77"/>
      <c r="WBU126" s="77"/>
      <c r="WBV126" s="77"/>
      <c r="WBW126" s="77"/>
      <c r="WBX126" s="77"/>
      <c r="WBY126" s="77"/>
      <c r="WBZ126" s="77"/>
      <c r="WCA126" s="77"/>
      <c r="WCB126" s="77"/>
      <c r="WCC126" s="77"/>
      <c r="WCD126" s="77"/>
      <c r="WCE126" s="77"/>
      <c r="WCF126" s="77"/>
      <c r="WCG126" s="77"/>
      <c r="WCH126" s="77"/>
      <c r="WCI126" s="77"/>
      <c r="WCJ126" s="77"/>
      <c r="WCK126" s="77"/>
      <c r="WCL126" s="77"/>
      <c r="WCM126" s="77"/>
      <c r="WCN126" s="77"/>
      <c r="WCO126" s="77"/>
      <c r="WCP126" s="77"/>
      <c r="WCQ126" s="77"/>
      <c r="WCR126" s="77"/>
      <c r="WCS126" s="77"/>
      <c r="WCT126" s="77"/>
      <c r="WCU126" s="77"/>
      <c r="WCV126" s="77"/>
      <c r="WCW126" s="77"/>
      <c r="WCX126" s="77"/>
      <c r="WCY126" s="77"/>
      <c r="WCZ126" s="77"/>
      <c r="WDA126" s="77"/>
      <c r="WDB126" s="77"/>
      <c r="WDC126" s="77"/>
      <c r="WDD126" s="77"/>
      <c r="WDE126" s="77"/>
      <c r="WDF126" s="77"/>
      <c r="WDG126" s="77"/>
      <c r="WDH126" s="77"/>
      <c r="WDI126" s="77"/>
      <c r="WDJ126" s="77"/>
      <c r="WDK126" s="77"/>
      <c r="WDL126" s="77"/>
      <c r="WDM126" s="77"/>
      <c r="WDN126" s="77"/>
      <c r="WDO126" s="77"/>
      <c r="WDP126" s="77"/>
      <c r="WDQ126" s="77"/>
      <c r="WDR126" s="77"/>
      <c r="WDS126" s="77"/>
      <c r="WDT126" s="77"/>
      <c r="WDU126" s="77"/>
      <c r="WDV126" s="77"/>
      <c r="WDW126" s="77"/>
      <c r="WDX126" s="77"/>
      <c r="WDY126" s="77"/>
      <c r="WDZ126" s="77"/>
      <c r="WEA126" s="77"/>
      <c r="WEB126" s="77"/>
      <c r="WEC126" s="77"/>
      <c r="WED126" s="77"/>
      <c r="WEE126" s="77"/>
      <c r="WEF126" s="77"/>
      <c r="WEG126" s="77"/>
      <c r="WEH126" s="77"/>
      <c r="WEI126" s="77"/>
      <c r="WEJ126" s="77"/>
      <c r="WEK126" s="77"/>
      <c r="WEL126" s="77"/>
      <c r="WEM126" s="77"/>
      <c r="WEN126" s="77"/>
      <c r="WEO126" s="77"/>
      <c r="WEP126" s="77"/>
      <c r="WEQ126" s="77"/>
      <c r="WER126" s="77"/>
      <c r="WES126" s="77"/>
      <c r="WET126" s="77"/>
      <c r="WEU126" s="77"/>
      <c r="WEV126" s="77"/>
      <c r="WEW126" s="77"/>
      <c r="WEX126" s="77"/>
      <c r="WEY126" s="77"/>
      <c r="WEZ126" s="77"/>
      <c r="WFA126" s="77"/>
      <c r="WFB126" s="77"/>
      <c r="WFC126" s="77"/>
      <c r="WFD126" s="77"/>
      <c r="WFE126" s="77"/>
      <c r="WFF126" s="77"/>
      <c r="WFG126" s="77"/>
      <c r="WFH126" s="77"/>
      <c r="WFI126" s="77"/>
      <c r="WFJ126" s="77"/>
      <c r="WFK126" s="77"/>
      <c r="WFL126" s="77"/>
      <c r="WFM126" s="77"/>
      <c r="WFN126" s="77"/>
      <c r="WFO126" s="77"/>
      <c r="WFP126" s="77"/>
      <c r="WFQ126" s="77"/>
      <c r="WFR126" s="77"/>
      <c r="WFS126" s="77"/>
      <c r="WFT126" s="77"/>
      <c r="WFU126" s="77"/>
      <c r="WFV126" s="77"/>
      <c r="WFW126" s="77"/>
      <c r="WFX126" s="77"/>
      <c r="WFY126" s="77"/>
      <c r="WFZ126" s="77"/>
      <c r="WGA126" s="77"/>
      <c r="WGB126" s="77"/>
      <c r="WGC126" s="77"/>
      <c r="WGD126" s="77"/>
      <c r="WGE126" s="77"/>
      <c r="WGF126" s="77"/>
      <c r="WGG126" s="77"/>
      <c r="WGH126" s="77"/>
      <c r="WGI126" s="77"/>
      <c r="WGJ126" s="77"/>
      <c r="WGK126" s="77"/>
      <c r="WGL126" s="77"/>
      <c r="WGM126" s="77"/>
      <c r="WGN126" s="77"/>
      <c r="WGO126" s="77"/>
      <c r="WGP126" s="77"/>
      <c r="WGQ126" s="77"/>
      <c r="WGR126" s="77"/>
      <c r="WGS126" s="77"/>
      <c r="WGT126" s="77"/>
      <c r="WGU126" s="77"/>
      <c r="WGV126" s="77"/>
      <c r="WGW126" s="77"/>
      <c r="WGX126" s="77"/>
      <c r="WGY126" s="77"/>
      <c r="WGZ126" s="77"/>
      <c r="WHA126" s="77"/>
      <c r="WHB126" s="77"/>
      <c r="WHC126" s="77"/>
      <c r="WHD126" s="77"/>
      <c r="WHE126" s="77"/>
      <c r="WHF126" s="77"/>
      <c r="WHG126" s="77"/>
      <c r="WHH126" s="77"/>
      <c r="WHI126" s="77"/>
      <c r="WHJ126" s="77"/>
      <c r="WHK126" s="77"/>
      <c r="WHL126" s="77"/>
      <c r="WHM126" s="77"/>
      <c r="WHN126" s="77"/>
      <c r="WHO126" s="77"/>
      <c r="WHP126" s="77"/>
      <c r="WHQ126" s="77"/>
      <c r="WHR126" s="77"/>
      <c r="WHS126" s="77"/>
      <c r="WHT126" s="77"/>
      <c r="WHU126" s="77"/>
      <c r="WHV126" s="77"/>
      <c r="WHW126" s="77"/>
      <c r="WHX126" s="77"/>
      <c r="WHY126" s="77"/>
      <c r="WHZ126" s="77"/>
      <c r="WIA126" s="77"/>
      <c r="WIB126" s="77"/>
      <c r="WIC126" s="77"/>
      <c r="WID126" s="77"/>
      <c r="WIE126" s="77"/>
      <c r="WIF126" s="77"/>
      <c r="WIG126" s="77"/>
      <c r="WIH126" s="77"/>
      <c r="WII126" s="77"/>
      <c r="WIJ126" s="77"/>
      <c r="WIK126" s="77"/>
      <c r="WIL126" s="77"/>
      <c r="WIM126" s="77"/>
      <c r="WIN126" s="77"/>
      <c r="WIO126" s="77"/>
      <c r="WIP126" s="77"/>
      <c r="WIQ126" s="77"/>
      <c r="WIR126" s="77"/>
      <c r="WIS126" s="77"/>
      <c r="WIT126" s="77"/>
      <c r="WIU126" s="77"/>
      <c r="WIV126" s="77"/>
      <c r="WIW126" s="77"/>
      <c r="WIX126" s="77"/>
      <c r="WIY126" s="77"/>
      <c r="WIZ126" s="77"/>
      <c r="WJA126" s="77"/>
      <c r="WJB126" s="77"/>
      <c r="WJC126" s="77"/>
      <c r="WJD126" s="77"/>
      <c r="WJE126" s="77"/>
      <c r="WJF126" s="77"/>
      <c r="WJG126" s="77"/>
      <c r="WJH126" s="77"/>
      <c r="WJI126" s="77"/>
      <c r="WJJ126" s="77"/>
      <c r="WJK126" s="77"/>
      <c r="WJL126" s="77"/>
      <c r="WJM126" s="77"/>
      <c r="WJN126" s="77"/>
      <c r="WJO126" s="77"/>
      <c r="WJP126" s="77"/>
      <c r="WJQ126" s="77"/>
      <c r="WJR126" s="77"/>
      <c r="WJS126" s="77"/>
      <c r="WJT126" s="77"/>
      <c r="WJU126" s="77"/>
      <c r="WJV126" s="77"/>
      <c r="WJW126" s="77"/>
      <c r="WJX126" s="77"/>
      <c r="WJY126" s="77"/>
      <c r="WJZ126" s="77"/>
      <c r="WKA126" s="77"/>
      <c r="WKB126" s="77"/>
      <c r="WKC126" s="77"/>
      <c r="WKD126" s="77"/>
      <c r="WKE126" s="77"/>
      <c r="WKF126" s="77"/>
      <c r="WKG126" s="77"/>
      <c r="WKH126" s="77"/>
      <c r="WKI126" s="77"/>
      <c r="WKJ126" s="77"/>
      <c r="WKK126" s="77"/>
      <c r="WKL126" s="77"/>
      <c r="WKM126" s="77"/>
      <c r="WKN126" s="77"/>
      <c r="WKO126" s="77"/>
      <c r="WKP126" s="77"/>
      <c r="WKQ126" s="77"/>
      <c r="WKR126" s="77"/>
      <c r="WKS126" s="77"/>
      <c r="WKT126" s="77"/>
      <c r="WKU126" s="77"/>
      <c r="WKV126" s="77"/>
      <c r="WKW126" s="77"/>
      <c r="WKX126" s="77"/>
      <c r="WKY126" s="77"/>
      <c r="WKZ126" s="77"/>
      <c r="WLA126" s="77"/>
      <c r="WLB126" s="77"/>
      <c r="WLC126" s="77"/>
      <c r="WLD126" s="77"/>
      <c r="WLE126" s="77"/>
      <c r="WLF126" s="77"/>
      <c r="WLG126" s="77"/>
      <c r="WLH126" s="77"/>
      <c r="WLI126" s="77"/>
      <c r="WLJ126" s="77"/>
      <c r="WLK126" s="77"/>
      <c r="WLL126" s="77"/>
      <c r="WLM126" s="77"/>
      <c r="WLN126" s="77"/>
      <c r="WLO126" s="77"/>
      <c r="WLP126" s="77"/>
      <c r="WLQ126" s="77"/>
      <c r="WLR126" s="77"/>
      <c r="WLS126" s="77"/>
      <c r="WLT126" s="77"/>
      <c r="WLU126" s="77"/>
      <c r="WLV126" s="77"/>
      <c r="WLW126" s="77"/>
      <c r="WLX126" s="77"/>
      <c r="WLY126" s="77"/>
      <c r="WLZ126" s="77"/>
      <c r="WMA126" s="77"/>
      <c r="WMB126" s="77"/>
      <c r="WMC126" s="77"/>
      <c r="WMD126" s="77"/>
      <c r="WME126" s="77"/>
      <c r="WMF126" s="77"/>
      <c r="WMG126" s="77"/>
      <c r="WMH126" s="77"/>
      <c r="WMI126" s="77"/>
      <c r="WMJ126" s="77"/>
      <c r="WMK126" s="77"/>
      <c r="WML126" s="77"/>
      <c r="WMM126" s="77"/>
      <c r="WMN126" s="77"/>
      <c r="WMO126" s="77"/>
      <c r="WMP126" s="77"/>
      <c r="WMQ126" s="77"/>
      <c r="WMR126" s="77"/>
      <c r="WMS126" s="77"/>
      <c r="WMT126" s="77"/>
      <c r="WMU126" s="77"/>
      <c r="WMV126" s="77"/>
      <c r="WMW126" s="77"/>
      <c r="WMX126" s="77"/>
      <c r="WMY126" s="77"/>
      <c r="WMZ126" s="77"/>
      <c r="WNA126" s="77"/>
      <c r="WNB126" s="77"/>
      <c r="WNC126" s="77"/>
      <c r="WND126" s="77"/>
      <c r="WNE126" s="77"/>
      <c r="WNF126" s="77"/>
      <c r="WNG126" s="77"/>
      <c r="WNH126" s="77"/>
      <c r="WNI126" s="77"/>
      <c r="WNJ126" s="77"/>
      <c r="WNK126" s="77"/>
      <c r="WNL126" s="77"/>
      <c r="WNM126" s="77"/>
      <c r="WNN126" s="77"/>
      <c r="WNO126" s="77"/>
      <c r="WNP126" s="77"/>
      <c r="WNQ126" s="77"/>
      <c r="WNR126" s="77"/>
      <c r="WNS126" s="77"/>
      <c r="WNT126" s="77"/>
      <c r="WNU126" s="77"/>
      <c r="WNV126" s="77"/>
      <c r="WNW126" s="77"/>
      <c r="WNX126" s="77"/>
      <c r="WNY126" s="77"/>
      <c r="WNZ126" s="77"/>
      <c r="WOA126" s="77"/>
      <c r="WOB126" s="77"/>
      <c r="WOC126" s="77"/>
      <c r="WOD126" s="77"/>
      <c r="WOE126" s="77"/>
      <c r="WOF126" s="77"/>
      <c r="WOG126" s="77"/>
      <c r="WOH126" s="77"/>
      <c r="WOI126" s="77"/>
      <c r="WOJ126" s="77"/>
      <c r="WOK126" s="77"/>
      <c r="WOL126" s="77"/>
      <c r="WOM126" s="77"/>
      <c r="WON126" s="77"/>
      <c r="WOO126" s="77"/>
      <c r="WOP126" s="77"/>
      <c r="WOQ126" s="77"/>
      <c r="WOR126" s="77"/>
      <c r="WOS126" s="77"/>
      <c r="WOT126" s="77"/>
      <c r="WOU126" s="77"/>
      <c r="WOV126" s="77"/>
      <c r="WOW126" s="77"/>
      <c r="WOX126" s="77"/>
      <c r="WOY126" s="77"/>
      <c r="WOZ126" s="77"/>
      <c r="WPA126" s="77"/>
      <c r="WPB126" s="77"/>
      <c r="WPC126" s="77"/>
      <c r="WPD126" s="77"/>
      <c r="WPE126" s="77"/>
      <c r="WPF126" s="77"/>
      <c r="WPG126" s="77"/>
      <c r="WPH126" s="77"/>
      <c r="WPI126" s="77"/>
      <c r="WPJ126" s="77"/>
      <c r="WPK126" s="77"/>
      <c r="WPL126" s="77"/>
      <c r="WPM126" s="77"/>
      <c r="WPN126" s="77"/>
      <c r="WPO126" s="77"/>
      <c r="WPP126" s="77"/>
      <c r="WPQ126" s="77"/>
      <c r="WPR126" s="77"/>
      <c r="WPS126" s="77"/>
      <c r="WPT126" s="77"/>
      <c r="WPU126" s="77"/>
      <c r="WPV126" s="77"/>
      <c r="WPW126" s="77"/>
      <c r="WPX126" s="77"/>
      <c r="WPY126" s="77"/>
      <c r="WPZ126" s="77"/>
      <c r="WQA126" s="77"/>
      <c r="WQB126" s="77"/>
      <c r="WQC126" s="77"/>
      <c r="WQD126" s="77"/>
      <c r="WQE126" s="77"/>
      <c r="WQF126" s="77"/>
      <c r="WQG126" s="77"/>
      <c r="WQH126" s="77"/>
      <c r="WQI126" s="77"/>
      <c r="WQJ126" s="77"/>
      <c r="WQK126" s="77"/>
      <c r="WQL126" s="77"/>
      <c r="WQM126" s="77"/>
      <c r="WQN126" s="77"/>
      <c r="WQO126" s="77"/>
      <c r="WQP126" s="77"/>
      <c r="WQQ126" s="77"/>
      <c r="WQR126" s="77"/>
      <c r="WQS126" s="77"/>
      <c r="WQT126" s="77"/>
      <c r="WQU126" s="77"/>
      <c r="WQV126" s="77"/>
      <c r="WQW126" s="77"/>
      <c r="WQX126" s="77"/>
      <c r="WQY126" s="77"/>
      <c r="WQZ126" s="77"/>
      <c r="WRA126" s="77"/>
      <c r="WRB126" s="77"/>
      <c r="WRC126" s="77"/>
      <c r="WRD126" s="77"/>
      <c r="WRE126" s="77"/>
      <c r="WRF126" s="77"/>
      <c r="WRG126" s="77"/>
      <c r="WRH126" s="77"/>
      <c r="WRI126" s="77"/>
      <c r="WRJ126" s="77"/>
      <c r="WRK126" s="77"/>
      <c r="WRL126" s="77"/>
      <c r="WRM126" s="77"/>
      <c r="WRN126" s="77"/>
      <c r="WRO126" s="77"/>
      <c r="WRP126" s="77"/>
      <c r="WRQ126" s="77"/>
      <c r="WRR126" s="77"/>
      <c r="WRS126" s="77"/>
      <c r="WRT126" s="77"/>
      <c r="WRU126" s="77"/>
      <c r="WRV126" s="77"/>
      <c r="WRW126" s="77"/>
      <c r="WRX126" s="77"/>
      <c r="WRY126" s="77"/>
      <c r="WRZ126" s="77"/>
      <c r="WSA126" s="77"/>
      <c r="WSB126" s="77"/>
      <c r="WSC126" s="77"/>
      <c r="WSD126" s="77"/>
      <c r="WSE126" s="77"/>
      <c r="WSF126" s="77"/>
      <c r="WSG126" s="77"/>
      <c r="WSH126" s="77"/>
      <c r="WSI126" s="77"/>
      <c r="WSJ126" s="77"/>
      <c r="WSK126" s="77"/>
      <c r="WSL126" s="77"/>
      <c r="WSM126" s="77"/>
      <c r="WSN126" s="77"/>
      <c r="WSO126" s="77"/>
      <c r="WSP126" s="77"/>
      <c r="WSQ126" s="77"/>
      <c r="WSR126" s="77"/>
      <c r="WSS126" s="77"/>
      <c r="WST126" s="77"/>
      <c r="WSU126" s="77"/>
      <c r="WSV126" s="77"/>
      <c r="WSW126" s="77"/>
      <c r="WSX126" s="77"/>
      <c r="WSY126" s="77"/>
      <c r="WSZ126" s="77"/>
      <c r="WTA126" s="77"/>
      <c r="WTB126" s="77"/>
      <c r="WTC126" s="77"/>
      <c r="WTD126" s="77"/>
      <c r="WTE126" s="77"/>
      <c r="WTF126" s="77"/>
      <c r="WTG126" s="77"/>
      <c r="WTH126" s="77"/>
      <c r="WTI126" s="77"/>
      <c r="WTJ126" s="77"/>
      <c r="WTK126" s="77"/>
      <c r="WTL126" s="77"/>
      <c r="WTM126" s="77"/>
      <c r="WTN126" s="77"/>
      <c r="WTO126" s="77"/>
      <c r="WTP126" s="77"/>
      <c r="WTQ126" s="77"/>
      <c r="WTR126" s="77"/>
      <c r="WTS126" s="77"/>
      <c r="WTT126" s="77"/>
      <c r="WTU126" s="77"/>
      <c r="WTV126" s="77"/>
      <c r="WTW126" s="77"/>
      <c r="WTX126" s="77"/>
      <c r="WTY126" s="77"/>
      <c r="WTZ126" s="77"/>
      <c r="WUA126" s="77"/>
      <c r="WUB126" s="77"/>
      <c r="WUC126" s="77"/>
      <c r="WUD126" s="77"/>
      <c r="WUE126" s="77"/>
      <c r="WUF126" s="77"/>
      <c r="WUG126" s="77"/>
      <c r="WUH126" s="77"/>
      <c r="WUI126" s="77"/>
      <c r="WUJ126" s="77"/>
      <c r="WUK126" s="77"/>
      <c r="WUL126" s="77"/>
      <c r="WUM126" s="77"/>
      <c r="WUN126" s="77"/>
      <c r="WUO126" s="77"/>
      <c r="WUP126" s="77"/>
      <c r="WUQ126" s="77"/>
      <c r="WUR126" s="77"/>
      <c r="WUS126" s="77"/>
      <c r="WUT126" s="77"/>
      <c r="WUU126" s="77"/>
      <c r="WUV126" s="77"/>
      <c r="WUW126" s="77"/>
      <c r="WUX126" s="77"/>
      <c r="WUY126" s="77"/>
      <c r="WUZ126" s="77"/>
      <c r="WVA126" s="77"/>
      <c r="WVB126" s="77"/>
      <c r="WVC126" s="77"/>
      <c r="WVD126" s="77"/>
      <c r="WVE126" s="77"/>
      <c r="WVF126" s="77"/>
      <c r="WVG126" s="77"/>
      <c r="WVH126" s="77"/>
      <c r="WVI126" s="77"/>
      <c r="WVJ126" s="77"/>
      <c r="WVK126" s="77"/>
      <c r="WVL126" s="77"/>
      <c r="WVM126" s="77"/>
      <c r="WVN126" s="77"/>
      <c r="WVO126" s="77"/>
      <c r="WVP126" s="77"/>
      <c r="WVQ126" s="77"/>
      <c r="WVR126" s="77"/>
      <c r="WVS126" s="77"/>
      <c r="WVT126" s="77"/>
      <c r="WVU126" s="77"/>
      <c r="WVV126" s="77"/>
      <c r="WVW126" s="77"/>
      <c r="WVX126" s="77"/>
      <c r="WVY126" s="77"/>
      <c r="WVZ126" s="77"/>
      <c r="WWA126" s="77"/>
      <c r="WWB126" s="77"/>
      <c r="WWC126" s="77"/>
      <c r="WWD126" s="77"/>
      <c r="WWE126" s="77"/>
      <c r="WWF126" s="77"/>
      <c r="WWG126" s="77"/>
      <c r="WWH126" s="77"/>
      <c r="WWI126" s="77"/>
      <c r="WWJ126" s="77"/>
      <c r="WWK126" s="77"/>
      <c r="WWL126" s="77"/>
      <c r="WWM126" s="77"/>
      <c r="WWN126" s="77"/>
      <c r="WWO126" s="77"/>
      <c r="WWP126" s="77"/>
      <c r="WWQ126" s="77"/>
      <c r="WWR126" s="77"/>
      <c r="WWS126" s="77"/>
      <c r="WWT126" s="77"/>
      <c r="WWU126" s="77"/>
      <c r="WWV126" s="77"/>
      <c r="WWW126" s="77"/>
      <c r="WWX126" s="77"/>
      <c r="WWY126" s="77"/>
      <c r="WWZ126" s="77"/>
      <c r="WXA126" s="77"/>
      <c r="WXB126" s="77"/>
      <c r="WXC126" s="77"/>
      <c r="WXD126" s="77"/>
      <c r="WXE126" s="77"/>
      <c r="WXF126" s="77"/>
      <c r="WXG126" s="77"/>
      <c r="WXH126" s="77"/>
      <c r="WXI126" s="77"/>
      <c r="WXJ126" s="77"/>
      <c r="WXK126" s="77"/>
      <c r="WXL126" s="77"/>
      <c r="WXM126" s="77"/>
      <c r="WXN126" s="77"/>
      <c r="WXO126" s="77"/>
      <c r="WXP126" s="77"/>
      <c r="WXQ126" s="77"/>
      <c r="WXR126" s="77"/>
      <c r="WXS126" s="77"/>
      <c r="WXT126" s="77"/>
      <c r="WXU126" s="77"/>
      <c r="WXV126" s="77"/>
      <c r="WXW126" s="77"/>
      <c r="WXX126" s="77"/>
      <c r="WXY126" s="77"/>
      <c r="WXZ126" s="77"/>
      <c r="WYA126" s="77"/>
      <c r="WYB126" s="77"/>
      <c r="WYC126" s="77"/>
      <c r="WYD126" s="77"/>
      <c r="WYE126" s="77"/>
      <c r="WYF126" s="77"/>
      <c r="WYG126" s="77"/>
      <c r="WYH126" s="77"/>
      <c r="WYI126" s="77"/>
      <c r="WYJ126" s="77"/>
      <c r="WYK126" s="77"/>
      <c r="WYL126" s="77"/>
      <c r="WYM126" s="77"/>
      <c r="WYN126" s="77"/>
      <c r="WYO126" s="77"/>
      <c r="WYP126" s="77"/>
      <c r="WYQ126" s="77"/>
      <c r="WYR126" s="77"/>
      <c r="WYS126" s="77"/>
      <c r="WYT126" s="77"/>
      <c r="WYU126" s="77"/>
      <c r="WYV126" s="77"/>
      <c r="WYW126" s="77"/>
      <c r="WYX126" s="77"/>
      <c r="WYY126" s="77"/>
      <c r="WYZ126" s="77"/>
      <c r="WZA126" s="77"/>
      <c r="WZB126" s="77"/>
      <c r="WZC126" s="77"/>
      <c r="WZD126" s="77"/>
      <c r="WZE126" s="77"/>
      <c r="WZF126" s="77"/>
      <c r="WZG126" s="77"/>
      <c r="WZH126" s="77"/>
      <c r="WZI126" s="77"/>
      <c r="WZJ126" s="77"/>
      <c r="WZK126" s="77"/>
      <c r="WZL126" s="77"/>
      <c r="WZM126" s="77"/>
      <c r="WZN126" s="77"/>
      <c r="WZO126" s="77"/>
      <c r="WZP126" s="77"/>
      <c r="WZQ126" s="77"/>
      <c r="WZR126" s="77"/>
      <c r="WZS126" s="77"/>
      <c r="WZT126" s="77"/>
      <c r="WZU126" s="77"/>
      <c r="WZV126" s="77"/>
      <c r="WZW126" s="77"/>
      <c r="WZX126" s="77"/>
      <c r="WZY126" s="77"/>
      <c r="WZZ126" s="77"/>
      <c r="XAA126" s="77"/>
      <c r="XAB126" s="77"/>
      <c r="XAC126" s="77"/>
      <c r="XAD126" s="77"/>
      <c r="XAE126" s="77"/>
      <c r="XAF126" s="77"/>
      <c r="XAG126" s="77"/>
      <c r="XAH126" s="77"/>
      <c r="XAI126" s="77"/>
      <c r="XAJ126" s="77"/>
      <c r="XAK126" s="77"/>
      <c r="XAL126" s="77"/>
      <c r="XAM126" s="77"/>
      <c r="XAN126" s="77"/>
      <c r="XAO126" s="77"/>
      <c r="XAP126" s="77"/>
      <c r="XAQ126" s="77"/>
      <c r="XAR126" s="77"/>
      <c r="XAS126" s="77"/>
      <c r="XAT126" s="77"/>
      <c r="XAU126" s="77"/>
      <c r="XAV126" s="77"/>
      <c r="XAW126" s="77"/>
      <c r="XAX126" s="77"/>
      <c r="XAY126" s="77"/>
      <c r="XAZ126" s="77"/>
      <c r="XBA126" s="77"/>
      <c r="XBB126" s="77"/>
      <c r="XBC126" s="77"/>
      <c r="XBD126" s="77"/>
      <c r="XBE126" s="77"/>
      <c r="XBF126" s="77"/>
      <c r="XBG126" s="77"/>
      <c r="XBH126" s="77"/>
      <c r="XBI126" s="77"/>
      <c r="XBJ126" s="77"/>
      <c r="XBK126" s="77"/>
      <c r="XBL126" s="77"/>
      <c r="XBM126" s="77"/>
      <c r="XBN126" s="77"/>
      <c r="XBO126" s="77"/>
      <c r="XBP126" s="77"/>
      <c r="XBQ126" s="77"/>
      <c r="XBR126" s="77"/>
      <c r="XBS126" s="77"/>
      <c r="XBT126" s="77"/>
      <c r="XBU126" s="77"/>
      <c r="XBV126" s="77"/>
      <c r="XBW126" s="77"/>
      <c r="XBX126" s="77"/>
      <c r="XBY126" s="77"/>
      <c r="XBZ126" s="77"/>
      <c r="XCA126" s="77"/>
      <c r="XCB126" s="77"/>
      <c r="XCC126" s="77"/>
      <c r="XCD126" s="77"/>
      <c r="XCE126" s="77"/>
      <c r="XCF126" s="77"/>
      <c r="XCG126" s="77"/>
      <c r="XCH126" s="77"/>
      <c r="XCI126" s="77"/>
      <c r="XCJ126" s="77"/>
      <c r="XCK126" s="77"/>
      <c r="XCL126" s="77"/>
      <c r="XCM126" s="77"/>
      <c r="XCN126" s="77"/>
      <c r="XCO126" s="77"/>
      <c r="XCP126" s="77"/>
      <c r="XCQ126" s="77"/>
      <c r="XCR126" s="77"/>
      <c r="XCS126" s="77"/>
      <c r="XCT126" s="77"/>
      <c r="XCU126" s="77"/>
      <c r="XCV126" s="77"/>
      <c r="XCW126" s="77"/>
      <c r="XCX126" s="77"/>
      <c r="XCY126" s="77"/>
      <c r="XCZ126" s="77"/>
      <c r="XDA126" s="77"/>
      <c r="XDB126" s="77"/>
      <c r="XDC126" s="77"/>
      <c r="XDD126" s="77"/>
      <c r="XDE126" s="77"/>
      <c r="XDF126" s="77"/>
      <c r="XDG126" s="77"/>
      <c r="XDH126" s="77"/>
      <c r="XDI126" s="77"/>
      <c r="XDJ126" s="77"/>
      <c r="XDK126" s="77"/>
      <c r="XDL126" s="77"/>
      <c r="XDM126" s="77"/>
      <c r="XDN126" s="77"/>
      <c r="XDO126" s="77"/>
      <c r="XDP126" s="77"/>
      <c r="XDQ126" s="77"/>
      <c r="XDR126" s="77"/>
      <c r="XDS126" s="77"/>
      <c r="XDT126" s="77"/>
      <c r="XDU126" s="77"/>
      <c r="XDV126" s="77"/>
      <c r="XDW126" s="77"/>
      <c r="XDX126" s="77"/>
      <c r="XDY126" s="77"/>
      <c r="XDZ126" s="77"/>
      <c r="XEA126" s="77"/>
      <c r="XEB126" s="77"/>
      <c r="XEC126" s="77"/>
      <c r="XED126" s="77"/>
      <c r="XEE126" s="77"/>
      <c r="XEF126" s="77"/>
      <c r="XEG126" s="77"/>
      <c r="XEH126" s="77"/>
      <c r="XEI126" s="77"/>
      <c r="XEJ126" s="77"/>
      <c r="XEK126" s="77"/>
      <c r="XEL126" s="77"/>
      <c r="XEM126" s="77"/>
      <c r="XEN126" s="77"/>
      <c r="XEO126" s="77"/>
      <c r="XEP126" s="77"/>
      <c r="XEQ126" s="77"/>
      <c r="XER126" s="77"/>
      <c r="XES126" s="77"/>
      <c r="XET126" s="77"/>
      <c r="XEU126" s="77"/>
      <c r="XEV126" s="77"/>
      <c r="XEW126" s="77"/>
      <c r="XEX126" s="77"/>
      <c r="XEY126" s="77"/>
      <c r="XEZ126" s="77"/>
      <c r="XFA126" s="77"/>
    </row>
    <row r="127" spans="1:16381" x14ac:dyDescent="0.25">
      <c r="A127" t="s">
        <v>68</v>
      </c>
      <c r="B127" s="86" t="s">
        <v>383</v>
      </c>
      <c r="C127" s="9" t="s">
        <v>472</v>
      </c>
      <c r="D127" s="9" t="s">
        <v>162</v>
      </c>
      <c r="E127" s="9" t="s">
        <v>336</v>
      </c>
      <c r="F127" s="10">
        <f>IFERROR(VLOOKUP($A127,ImportDataWA!$A$14:$BB$200,9,FALSE),0)</f>
        <v>196</v>
      </c>
      <c r="G127" s="11">
        <f>IFERROR(VLOOKUP($A127,ImportDataWA!$A$12:$BB$200,10,FALSE),0)</f>
        <v>889815.23687410739</v>
      </c>
      <c r="H127" s="11">
        <f>IFERROR(VLOOKUP($A127,ImportDataWA!$A$12:$BB$200,14,FALSE),0)</f>
        <v>51026.361977272725</v>
      </c>
      <c r="I127" s="11">
        <f>IFERROR(VLOOKUP($A127,ImportDataWA!$A$12:$BB$200,18,FALSE),0)</f>
        <v>50494.071807352717</v>
      </c>
      <c r="J127" s="10">
        <f>IFERROR(VLOOKUP($A127,ImportDataWA!$A$12:$BB$200,5,FALSE),0)</f>
        <v>14</v>
      </c>
      <c r="K127" s="11">
        <f>IFERROR(VLOOKUP($A127,ImportDataWA!$A$12:$BB$200,7,FALSE),0)</f>
        <v>63446.969696969696</v>
      </c>
      <c r="L127" s="10">
        <f>IFERROR(VLOOKUP($A127,ImportDataWA!$A$12:$BB$200,3,FALSE),0)</f>
        <v>9</v>
      </c>
      <c r="M127" s="10">
        <f>IFERROR(VLOOKUP($A127,ImportDataWA!$A$12:$BB$200,4,FALSE),0)</f>
        <v>10</v>
      </c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  <c r="BI127" s="77"/>
      <c r="BJ127" s="77"/>
      <c r="BK127" s="77"/>
      <c r="BL127" s="77"/>
      <c r="BM127" s="77"/>
      <c r="BN127" s="77"/>
      <c r="BO127" s="77"/>
      <c r="BP127" s="77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77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  <c r="CN127" s="77"/>
      <c r="CO127" s="77"/>
      <c r="CP127" s="77"/>
      <c r="CQ127" s="77"/>
      <c r="CR127" s="77"/>
      <c r="CS127" s="77"/>
      <c r="CT127" s="77"/>
      <c r="CU127" s="77"/>
      <c r="CV127" s="77"/>
      <c r="CW127" s="77"/>
      <c r="CX127" s="77"/>
      <c r="CY127" s="77"/>
      <c r="CZ127" s="77"/>
      <c r="DA127" s="77"/>
      <c r="DB127" s="77"/>
      <c r="DC127" s="77"/>
      <c r="DD127" s="77"/>
      <c r="DE127" s="77"/>
      <c r="DF127" s="77"/>
      <c r="DG127" s="77"/>
      <c r="DH127" s="77"/>
      <c r="DI127" s="77"/>
      <c r="DJ127" s="77"/>
      <c r="DK127" s="77"/>
      <c r="DL127" s="77"/>
      <c r="DM127" s="77"/>
      <c r="DN127" s="77"/>
      <c r="DO127" s="77"/>
      <c r="DP127" s="77"/>
      <c r="DQ127" s="77"/>
      <c r="DR127" s="77"/>
      <c r="DS127" s="77"/>
      <c r="DT127" s="77"/>
      <c r="DU127" s="77"/>
      <c r="DV127" s="77"/>
      <c r="DW127" s="77"/>
      <c r="DX127" s="77"/>
      <c r="DY127" s="77"/>
      <c r="DZ127" s="77"/>
      <c r="EA127" s="77"/>
      <c r="EB127" s="77"/>
      <c r="EC127" s="77"/>
      <c r="ED127" s="77"/>
      <c r="EE127" s="77"/>
      <c r="EF127" s="77"/>
      <c r="EG127" s="77"/>
      <c r="EH127" s="77"/>
      <c r="EI127" s="77"/>
      <c r="EJ127" s="77"/>
      <c r="EK127" s="77"/>
      <c r="EL127" s="77"/>
      <c r="EM127" s="77"/>
      <c r="EN127" s="77"/>
      <c r="EO127" s="77"/>
      <c r="EP127" s="77"/>
      <c r="EQ127" s="77"/>
      <c r="ER127" s="77"/>
      <c r="ES127" s="77"/>
      <c r="ET127" s="77"/>
      <c r="EU127" s="77"/>
      <c r="EV127" s="77"/>
      <c r="EW127" s="77"/>
      <c r="EX127" s="77"/>
      <c r="EY127" s="77"/>
      <c r="EZ127" s="77"/>
      <c r="FA127" s="77"/>
      <c r="FB127" s="77"/>
      <c r="FC127" s="77"/>
      <c r="FD127" s="77"/>
      <c r="FE127" s="77"/>
      <c r="FF127" s="77"/>
      <c r="FG127" s="77"/>
      <c r="FH127" s="77"/>
      <c r="FI127" s="77"/>
      <c r="FJ127" s="77"/>
      <c r="FK127" s="77"/>
      <c r="FL127" s="77"/>
      <c r="FM127" s="77"/>
      <c r="FN127" s="77"/>
      <c r="FO127" s="77"/>
      <c r="FP127" s="77"/>
      <c r="FQ127" s="77"/>
      <c r="FR127" s="77"/>
      <c r="FS127" s="77"/>
      <c r="FT127" s="77"/>
      <c r="FU127" s="77"/>
      <c r="FV127" s="77"/>
      <c r="FW127" s="77"/>
      <c r="FX127" s="77"/>
      <c r="FY127" s="77"/>
      <c r="FZ127" s="77"/>
      <c r="GA127" s="77"/>
      <c r="GB127" s="77"/>
      <c r="GC127" s="77"/>
      <c r="GD127" s="77"/>
      <c r="GE127" s="77"/>
      <c r="GF127" s="77"/>
      <c r="GG127" s="77"/>
      <c r="GH127" s="77"/>
      <c r="GI127" s="77"/>
      <c r="GJ127" s="77"/>
      <c r="GK127" s="77"/>
      <c r="GL127" s="77"/>
      <c r="GM127" s="77"/>
      <c r="GN127" s="77"/>
      <c r="GO127" s="77"/>
      <c r="GP127" s="77"/>
      <c r="GQ127" s="77"/>
      <c r="GR127" s="77"/>
      <c r="GS127" s="77"/>
      <c r="GT127" s="77"/>
      <c r="GU127" s="77"/>
      <c r="GV127" s="77"/>
      <c r="GW127" s="77"/>
      <c r="GX127" s="77"/>
      <c r="GY127" s="77"/>
      <c r="GZ127" s="77"/>
      <c r="HA127" s="77"/>
      <c r="HB127" s="77"/>
      <c r="HC127" s="77"/>
      <c r="HD127" s="77"/>
      <c r="HE127" s="77"/>
      <c r="HF127" s="77"/>
      <c r="HG127" s="77"/>
      <c r="HH127" s="77"/>
      <c r="HI127" s="77"/>
      <c r="HJ127" s="77"/>
      <c r="HK127" s="77"/>
      <c r="HL127" s="77"/>
      <c r="HM127" s="77"/>
      <c r="HN127" s="77"/>
      <c r="HO127" s="77"/>
      <c r="HP127" s="77"/>
      <c r="HQ127" s="77"/>
      <c r="HR127" s="77"/>
      <c r="HS127" s="77"/>
      <c r="HT127" s="77"/>
      <c r="HU127" s="77"/>
      <c r="HV127" s="77"/>
      <c r="HW127" s="77"/>
      <c r="HX127" s="77"/>
      <c r="HY127" s="77"/>
      <c r="HZ127" s="77"/>
      <c r="IA127" s="77"/>
      <c r="IB127" s="77"/>
      <c r="IC127" s="77"/>
      <c r="ID127" s="77"/>
      <c r="IE127" s="77"/>
      <c r="IF127" s="77"/>
      <c r="IG127" s="77"/>
      <c r="IH127" s="77"/>
      <c r="II127" s="77"/>
      <c r="IJ127" s="77"/>
      <c r="IK127" s="77"/>
      <c r="IL127" s="77"/>
      <c r="IM127" s="77"/>
      <c r="IN127" s="77"/>
      <c r="IO127" s="77"/>
      <c r="IP127" s="77"/>
      <c r="IQ127" s="77"/>
      <c r="IR127" s="77"/>
      <c r="IS127" s="77"/>
      <c r="IT127" s="77"/>
      <c r="IU127" s="77"/>
      <c r="IV127" s="77"/>
      <c r="IW127" s="77"/>
      <c r="IX127" s="77"/>
      <c r="IY127" s="77"/>
      <c r="IZ127" s="77"/>
      <c r="JA127" s="77"/>
      <c r="JB127" s="77"/>
      <c r="JC127" s="77"/>
      <c r="JD127" s="77"/>
      <c r="JE127" s="77"/>
      <c r="JF127" s="77"/>
      <c r="JG127" s="77"/>
      <c r="JH127" s="77"/>
      <c r="JI127" s="77"/>
      <c r="JJ127" s="77"/>
      <c r="JK127" s="77"/>
      <c r="JL127" s="77"/>
      <c r="JM127" s="77"/>
      <c r="JN127" s="77"/>
      <c r="JO127" s="77"/>
      <c r="JP127" s="77"/>
      <c r="JQ127" s="77"/>
      <c r="JR127" s="77"/>
      <c r="JS127" s="77"/>
      <c r="JT127" s="77"/>
      <c r="JU127" s="77"/>
      <c r="JV127" s="77"/>
      <c r="JW127" s="77"/>
      <c r="JX127" s="77"/>
      <c r="JY127" s="77"/>
      <c r="JZ127" s="77"/>
      <c r="KA127" s="77"/>
      <c r="KB127" s="77"/>
      <c r="KC127" s="77"/>
      <c r="KD127" s="77"/>
      <c r="KE127" s="77"/>
      <c r="KF127" s="77"/>
      <c r="KG127" s="77"/>
      <c r="KH127" s="77"/>
      <c r="KI127" s="77"/>
      <c r="KJ127" s="77"/>
      <c r="KK127" s="77"/>
      <c r="KL127" s="77"/>
      <c r="KM127" s="77"/>
      <c r="KN127" s="77"/>
      <c r="KO127" s="77"/>
      <c r="KP127" s="77"/>
      <c r="KQ127" s="77"/>
      <c r="KR127" s="77"/>
      <c r="KS127" s="77"/>
      <c r="KT127" s="77"/>
      <c r="KU127" s="77"/>
      <c r="KV127" s="77"/>
      <c r="KW127" s="77"/>
      <c r="KX127" s="77"/>
      <c r="KY127" s="77"/>
      <c r="KZ127" s="77"/>
      <c r="LA127" s="77"/>
      <c r="LB127" s="77"/>
      <c r="LC127" s="77"/>
      <c r="LD127" s="77"/>
      <c r="LE127" s="77"/>
      <c r="LF127" s="77"/>
      <c r="LG127" s="77"/>
      <c r="LH127" s="77"/>
      <c r="LI127" s="77"/>
      <c r="LJ127" s="77"/>
      <c r="LK127" s="77"/>
      <c r="LL127" s="77"/>
      <c r="LM127" s="77"/>
      <c r="LN127" s="77"/>
      <c r="LO127" s="77"/>
      <c r="LP127" s="77"/>
      <c r="LQ127" s="77"/>
      <c r="LR127" s="77"/>
      <c r="LS127" s="77"/>
      <c r="LT127" s="77"/>
      <c r="LU127" s="77"/>
      <c r="LV127" s="77"/>
      <c r="LW127" s="77"/>
      <c r="LX127" s="77"/>
      <c r="LY127" s="77"/>
      <c r="LZ127" s="77"/>
      <c r="MA127" s="77"/>
      <c r="MB127" s="77"/>
      <c r="MC127" s="77"/>
      <c r="MD127" s="77"/>
      <c r="ME127" s="77"/>
      <c r="MF127" s="77"/>
      <c r="MG127" s="77"/>
      <c r="MH127" s="77"/>
      <c r="MI127" s="77"/>
      <c r="MJ127" s="77"/>
      <c r="MK127" s="77"/>
      <c r="ML127" s="77"/>
      <c r="MM127" s="77"/>
      <c r="MN127" s="77"/>
      <c r="MO127" s="77"/>
      <c r="MP127" s="77"/>
      <c r="MQ127" s="77"/>
      <c r="MR127" s="77"/>
      <c r="MS127" s="77"/>
      <c r="MT127" s="77"/>
      <c r="MU127" s="77"/>
      <c r="MV127" s="77"/>
      <c r="MW127" s="77"/>
      <c r="MX127" s="77"/>
      <c r="MY127" s="77"/>
      <c r="MZ127" s="77"/>
      <c r="NA127" s="77"/>
      <c r="NB127" s="77"/>
      <c r="NC127" s="77"/>
      <c r="ND127" s="77"/>
      <c r="NE127" s="77"/>
      <c r="NF127" s="77"/>
      <c r="NG127" s="77"/>
      <c r="NH127" s="77"/>
      <c r="NI127" s="77"/>
      <c r="NJ127" s="77"/>
      <c r="NK127" s="77"/>
      <c r="NL127" s="77"/>
      <c r="NM127" s="77"/>
      <c r="NN127" s="77"/>
      <c r="NO127" s="77"/>
      <c r="NP127" s="77"/>
      <c r="NQ127" s="77"/>
      <c r="NR127" s="77"/>
      <c r="NS127" s="77"/>
      <c r="NT127" s="77"/>
      <c r="NU127" s="77"/>
      <c r="NV127" s="77"/>
      <c r="NW127" s="77"/>
      <c r="NX127" s="77"/>
      <c r="NY127" s="77"/>
      <c r="NZ127" s="77"/>
      <c r="OA127" s="77"/>
      <c r="OB127" s="77"/>
      <c r="OC127" s="77"/>
      <c r="OD127" s="77"/>
      <c r="OE127" s="77"/>
      <c r="OF127" s="77"/>
      <c r="OG127" s="77"/>
      <c r="OH127" s="77"/>
      <c r="OI127" s="77"/>
      <c r="OJ127" s="77"/>
      <c r="OK127" s="77"/>
      <c r="OL127" s="77"/>
      <c r="OM127" s="77"/>
      <c r="ON127" s="77"/>
      <c r="OO127" s="77"/>
      <c r="OP127" s="77"/>
      <c r="OQ127" s="77"/>
      <c r="OR127" s="77"/>
      <c r="OS127" s="77"/>
      <c r="OT127" s="77"/>
      <c r="OU127" s="77"/>
      <c r="OV127" s="77"/>
      <c r="OW127" s="77"/>
      <c r="OX127" s="77"/>
      <c r="OY127" s="77"/>
      <c r="OZ127" s="77"/>
      <c r="PA127" s="77"/>
      <c r="PB127" s="77"/>
      <c r="PC127" s="77"/>
      <c r="PD127" s="77"/>
      <c r="PE127" s="77"/>
      <c r="PF127" s="77"/>
      <c r="PG127" s="77"/>
      <c r="PH127" s="77"/>
      <c r="PI127" s="77"/>
      <c r="PJ127" s="77"/>
      <c r="PK127" s="77"/>
      <c r="PL127" s="77"/>
      <c r="PM127" s="77"/>
      <c r="PN127" s="77"/>
      <c r="PO127" s="77"/>
      <c r="PP127" s="77"/>
      <c r="PQ127" s="77"/>
      <c r="PR127" s="77"/>
      <c r="PS127" s="77"/>
      <c r="PT127" s="77"/>
      <c r="PU127" s="77"/>
      <c r="PV127" s="77"/>
      <c r="PW127" s="77"/>
      <c r="PX127" s="77"/>
      <c r="PY127" s="77"/>
      <c r="PZ127" s="77"/>
      <c r="QA127" s="77"/>
      <c r="QB127" s="77"/>
      <c r="QC127" s="77"/>
      <c r="QD127" s="77"/>
      <c r="QE127" s="77"/>
      <c r="QF127" s="77"/>
      <c r="QG127" s="77"/>
      <c r="QH127" s="77"/>
      <c r="QI127" s="77"/>
      <c r="QJ127" s="77"/>
      <c r="QK127" s="77"/>
      <c r="QL127" s="77"/>
      <c r="QM127" s="77"/>
      <c r="QN127" s="77"/>
      <c r="QO127" s="77"/>
      <c r="QP127" s="77"/>
      <c r="QQ127" s="77"/>
      <c r="QR127" s="77"/>
      <c r="QS127" s="77"/>
      <c r="QT127" s="77"/>
      <c r="QU127" s="77"/>
      <c r="QV127" s="77"/>
      <c r="QW127" s="77"/>
      <c r="QX127" s="77"/>
      <c r="QY127" s="77"/>
      <c r="QZ127" s="77"/>
      <c r="RA127" s="77"/>
      <c r="RB127" s="77"/>
      <c r="RC127" s="77"/>
      <c r="RD127" s="77"/>
      <c r="RE127" s="77"/>
      <c r="RF127" s="77"/>
      <c r="RG127" s="77"/>
      <c r="RH127" s="77"/>
      <c r="RI127" s="77"/>
      <c r="RJ127" s="77"/>
      <c r="RK127" s="77"/>
      <c r="RL127" s="77"/>
      <c r="RM127" s="77"/>
      <c r="RN127" s="77"/>
      <c r="RO127" s="77"/>
      <c r="RP127" s="77"/>
      <c r="RQ127" s="77"/>
      <c r="RR127" s="77"/>
      <c r="RS127" s="77"/>
      <c r="RT127" s="77"/>
      <c r="RU127" s="77"/>
      <c r="RV127" s="77"/>
      <c r="RW127" s="77"/>
      <c r="RX127" s="77"/>
      <c r="RY127" s="77"/>
      <c r="RZ127" s="77"/>
      <c r="SA127" s="77"/>
      <c r="SB127" s="77"/>
      <c r="SC127" s="77"/>
      <c r="SD127" s="77"/>
      <c r="SE127" s="77"/>
      <c r="SF127" s="77"/>
      <c r="SG127" s="77"/>
      <c r="SH127" s="77"/>
      <c r="SI127" s="77"/>
      <c r="SJ127" s="77"/>
      <c r="SK127" s="77"/>
      <c r="SL127" s="77"/>
      <c r="SM127" s="77"/>
      <c r="SN127" s="77"/>
      <c r="SO127" s="77"/>
      <c r="SP127" s="77"/>
      <c r="SQ127" s="77"/>
      <c r="SR127" s="77"/>
      <c r="SS127" s="77"/>
      <c r="ST127" s="77"/>
      <c r="SU127" s="77"/>
      <c r="SV127" s="77"/>
      <c r="SW127" s="77"/>
      <c r="SX127" s="77"/>
      <c r="SY127" s="77"/>
      <c r="SZ127" s="77"/>
      <c r="TA127" s="77"/>
      <c r="TB127" s="77"/>
      <c r="TC127" s="77"/>
      <c r="TD127" s="77"/>
      <c r="TE127" s="77"/>
      <c r="TF127" s="77"/>
      <c r="TG127" s="77"/>
      <c r="TH127" s="77"/>
      <c r="TI127" s="77"/>
      <c r="TJ127" s="77"/>
      <c r="TK127" s="77"/>
      <c r="TL127" s="77"/>
      <c r="TM127" s="77"/>
      <c r="TN127" s="77"/>
      <c r="TO127" s="77"/>
      <c r="TP127" s="77"/>
      <c r="TQ127" s="77"/>
      <c r="TR127" s="77"/>
      <c r="TS127" s="77"/>
      <c r="TT127" s="77"/>
      <c r="TU127" s="77"/>
      <c r="TV127" s="77"/>
      <c r="TW127" s="77"/>
      <c r="TX127" s="77"/>
      <c r="TY127" s="77"/>
      <c r="TZ127" s="77"/>
      <c r="UA127" s="77"/>
      <c r="UB127" s="77"/>
      <c r="UC127" s="77"/>
      <c r="UD127" s="77"/>
      <c r="UE127" s="77"/>
      <c r="UF127" s="77"/>
      <c r="UG127" s="77"/>
      <c r="UH127" s="77"/>
      <c r="UI127" s="77"/>
      <c r="UJ127" s="77"/>
      <c r="UK127" s="77"/>
      <c r="UL127" s="77"/>
      <c r="UM127" s="77"/>
      <c r="UN127" s="77"/>
      <c r="UO127" s="77"/>
      <c r="UP127" s="77"/>
      <c r="UQ127" s="77"/>
      <c r="UR127" s="77"/>
      <c r="US127" s="77"/>
      <c r="UT127" s="77"/>
      <c r="UU127" s="77"/>
      <c r="UV127" s="77"/>
      <c r="UW127" s="77"/>
      <c r="UX127" s="77"/>
      <c r="UY127" s="77"/>
      <c r="UZ127" s="77"/>
      <c r="VA127" s="77"/>
      <c r="VB127" s="77"/>
      <c r="VC127" s="77"/>
      <c r="VD127" s="77"/>
      <c r="VE127" s="77"/>
      <c r="VF127" s="77"/>
      <c r="VG127" s="77"/>
      <c r="VH127" s="77"/>
      <c r="VI127" s="77"/>
      <c r="VJ127" s="77"/>
      <c r="VK127" s="77"/>
      <c r="VL127" s="77"/>
      <c r="VM127" s="77"/>
      <c r="VN127" s="77"/>
      <c r="VO127" s="77"/>
      <c r="VP127" s="77"/>
      <c r="VQ127" s="77"/>
      <c r="VR127" s="77"/>
      <c r="VS127" s="77"/>
      <c r="VT127" s="77"/>
      <c r="VU127" s="77"/>
      <c r="VV127" s="77"/>
      <c r="VW127" s="77"/>
      <c r="VX127" s="77"/>
      <c r="VY127" s="77"/>
      <c r="VZ127" s="77"/>
      <c r="WA127" s="77"/>
      <c r="WB127" s="77"/>
      <c r="WC127" s="77"/>
      <c r="WD127" s="77"/>
      <c r="WE127" s="77"/>
      <c r="WF127" s="77"/>
      <c r="WG127" s="77"/>
      <c r="WH127" s="77"/>
      <c r="WI127" s="77"/>
      <c r="WJ127" s="77"/>
      <c r="WK127" s="77"/>
      <c r="WL127" s="77"/>
      <c r="WM127" s="77"/>
      <c r="WN127" s="77"/>
      <c r="WO127" s="77"/>
      <c r="WP127" s="77"/>
      <c r="WQ127" s="77"/>
      <c r="WR127" s="77"/>
      <c r="WS127" s="77"/>
      <c r="WT127" s="77"/>
      <c r="WU127" s="77"/>
      <c r="WV127" s="77"/>
      <c r="WW127" s="77"/>
      <c r="WX127" s="77"/>
      <c r="WY127" s="77"/>
      <c r="WZ127" s="77"/>
      <c r="XA127" s="77"/>
      <c r="XB127" s="77"/>
      <c r="XC127" s="77"/>
      <c r="XD127" s="77"/>
      <c r="XE127" s="77"/>
      <c r="XF127" s="77"/>
      <c r="XG127" s="77"/>
      <c r="XH127" s="77"/>
      <c r="XI127" s="77"/>
      <c r="XJ127" s="77"/>
      <c r="XK127" s="77"/>
      <c r="XL127" s="77"/>
      <c r="XM127" s="77"/>
      <c r="XN127" s="77"/>
      <c r="XO127" s="77"/>
      <c r="XP127" s="77"/>
      <c r="XQ127" s="77"/>
      <c r="XR127" s="77"/>
      <c r="XS127" s="77"/>
      <c r="XT127" s="77"/>
      <c r="XU127" s="77"/>
      <c r="XV127" s="77"/>
      <c r="XW127" s="77"/>
      <c r="XX127" s="77"/>
      <c r="XY127" s="77"/>
      <c r="XZ127" s="77"/>
      <c r="YA127" s="77"/>
      <c r="YB127" s="77"/>
      <c r="YC127" s="77"/>
      <c r="YD127" s="77"/>
      <c r="YE127" s="77"/>
      <c r="YF127" s="77"/>
      <c r="YG127" s="77"/>
      <c r="YH127" s="77"/>
      <c r="YI127" s="77"/>
      <c r="YJ127" s="77"/>
      <c r="YK127" s="77"/>
      <c r="YL127" s="77"/>
      <c r="YM127" s="77"/>
      <c r="YN127" s="77"/>
      <c r="YO127" s="77"/>
      <c r="YP127" s="77"/>
      <c r="YQ127" s="77"/>
      <c r="YR127" s="77"/>
      <c r="YS127" s="77"/>
      <c r="YT127" s="77"/>
      <c r="YU127" s="77"/>
      <c r="YV127" s="77"/>
      <c r="YW127" s="77"/>
      <c r="YX127" s="77"/>
      <c r="YY127" s="77"/>
      <c r="YZ127" s="77"/>
      <c r="ZA127" s="77"/>
      <c r="ZB127" s="77"/>
      <c r="ZC127" s="77"/>
      <c r="ZD127" s="77"/>
      <c r="ZE127" s="77"/>
      <c r="ZF127" s="77"/>
      <c r="ZG127" s="77"/>
      <c r="ZH127" s="77"/>
      <c r="ZI127" s="77"/>
      <c r="ZJ127" s="77"/>
      <c r="ZK127" s="77"/>
      <c r="ZL127" s="77"/>
      <c r="ZM127" s="77"/>
      <c r="ZN127" s="77"/>
      <c r="ZO127" s="77"/>
      <c r="ZP127" s="77"/>
      <c r="ZQ127" s="77"/>
      <c r="ZR127" s="77"/>
      <c r="ZS127" s="77"/>
      <c r="ZT127" s="77"/>
      <c r="ZU127" s="77"/>
      <c r="ZV127" s="77"/>
      <c r="ZW127" s="77"/>
      <c r="ZX127" s="77"/>
      <c r="ZY127" s="77"/>
      <c r="ZZ127" s="77"/>
      <c r="AAA127" s="77"/>
      <c r="AAB127" s="77"/>
      <c r="AAC127" s="77"/>
      <c r="AAD127" s="77"/>
      <c r="AAE127" s="77"/>
      <c r="AAF127" s="77"/>
      <c r="AAG127" s="77"/>
      <c r="AAH127" s="77"/>
      <c r="AAI127" s="77"/>
      <c r="AAJ127" s="77"/>
      <c r="AAK127" s="77"/>
      <c r="AAL127" s="77"/>
      <c r="AAM127" s="77"/>
      <c r="AAN127" s="77"/>
      <c r="AAO127" s="77"/>
      <c r="AAP127" s="77"/>
      <c r="AAQ127" s="77"/>
      <c r="AAR127" s="77"/>
      <c r="AAS127" s="77"/>
      <c r="AAT127" s="77"/>
      <c r="AAU127" s="77"/>
      <c r="AAV127" s="77"/>
      <c r="AAW127" s="77"/>
      <c r="AAX127" s="77"/>
      <c r="AAY127" s="77"/>
      <c r="AAZ127" s="77"/>
      <c r="ABA127" s="77"/>
      <c r="ABB127" s="77"/>
      <c r="ABC127" s="77"/>
      <c r="ABD127" s="77"/>
      <c r="ABE127" s="77"/>
      <c r="ABF127" s="77"/>
      <c r="ABG127" s="77"/>
      <c r="ABH127" s="77"/>
      <c r="ABI127" s="77"/>
      <c r="ABJ127" s="77"/>
      <c r="ABK127" s="77"/>
      <c r="ABL127" s="77"/>
      <c r="ABM127" s="77"/>
      <c r="ABN127" s="77"/>
      <c r="ABO127" s="77"/>
      <c r="ABP127" s="77"/>
      <c r="ABQ127" s="77"/>
      <c r="ABR127" s="77"/>
      <c r="ABS127" s="77"/>
      <c r="ABT127" s="77"/>
      <c r="ABU127" s="77"/>
      <c r="ABV127" s="77"/>
      <c r="ABW127" s="77"/>
      <c r="ABX127" s="77"/>
      <c r="ABY127" s="77"/>
      <c r="ABZ127" s="77"/>
      <c r="ACA127" s="77"/>
      <c r="ACB127" s="77"/>
      <c r="ACC127" s="77"/>
      <c r="ACD127" s="77"/>
      <c r="ACE127" s="77"/>
      <c r="ACF127" s="77"/>
      <c r="ACG127" s="77"/>
      <c r="ACH127" s="77"/>
      <c r="ACI127" s="77"/>
      <c r="ACJ127" s="77"/>
      <c r="ACK127" s="77"/>
      <c r="ACL127" s="77"/>
      <c r="ACM127" s="77"/>
      <c r="ACN127" s="77"/>
      <c r="ACO127" s="77"/>
      <c r="ACP127" s="77"/>
      <c r="ACQ127" s="77"/>
      <c r="ACR127" s="77"/>
      <c r="ACS127" s="77"/>
      <c r="ACT127" s="77"/>
      <c r="ACU127" s="77"/>
      <c r="ACV127" s="77"/>
      <c r="ACW127" s="77"/>
      <c r="ACX127" s="77"/>
      <c r="ACY127" s="77"/>
      <c r="ACZ127" s="77"/>
      <c r="ADA127" s="77"/>
      <c r="ADB127" s="77"/>
      <c r="ADC127" s="77"/>
      <c r="ADD127" s="77"/>
      <c r="ADE127" s="77"/>
      <c r="ADF127" s="77"/>
      <c r="ADG127" s="77"/>
      <c r="ADH127" s="77"/>
      <c r="ADI127" s="77"/>
      <c r="ADJ127" s="77"/>
      <c r="ADK127" s="77"/>
      <c r="ADL127" s="77"/>
      <c r="ADM127" s="77"/>
      <c r="ADN127" s="77"/>
      <c r="ADO127" s="77"/>
      <c r="ADP127" s="77"/>
      <c r="ADQ127" s="77"/>
      <c r="ADR127" s="77"/>
      <c r="ADS127" s="77"/>
      <c r="ADT127" s="77"/>
      <c r="ADU127" s="77"/>
      <c r="ADV127" s="77"/>
      <c r="ADW127" s="77"/>
      <c r="ADX127" s="77"/>
      <c r="ADY127" s="77"/>
      <c r="ADZ127" s="77"/>
      <c r="AEA127" s="77"/>
      <c r="AEB127" s="77"/>
      <c r="AEC127" s="77"/>
      <c r="AED127" s="77"/>
      <c r="AEE127" s="77"/>
      <c r="AEF127" s="77"/>
      <c r="AEG127" s="77"/>
      <c r="AEH127" s="77"/>
      <c r="AEI127" s="77"/>
      <c r="AEJ127" s="77"/>
      <c r="AEK127" s="77"/>
      <c r="AEL127" s="77"/>
      <c r="AEM127" s="77"/>
      <c r="AEN127" s="77"/>
      <c r="AEO127" s="77"/>
      <c r="AEP127" s="77"/>
      <c r="AEQ127" s="77"/>
      <c r="AER127" s="77"/>
      <c r="AES127" s="77"/>
      <c r="AET127" s="77"/>
      <c r="AEU127" s="77"/>
      <c r="AEV127" s="77"/>
      <c r="AEW127" s="77"/>
      <c r="AEX127" s="77"/>
      <c r="AEY127" s="77"/>
      <c r="AEZ127" s="77"/>
      <c r="AFA127" s="77"/>
      <c r="AFB127" s="77"/>
      <c r="AFC127" s="77"/>
      <c r="AFD127" s="77"/>
      <c r="AFE127" s="77"/>
      <c r="AFF127" s="77"/>
      <c r="AFG127" s="77"/>
      <c r="AFH127" s="77"/>
      <c r="AFI127" s="77"/>
      <c r="AFJ127" s="77"/>
      <c r="AFK127" s="77"/>
      <c r="AFL127" s="77"/>
      <c r="AFM127" s="77"/>
      <c r="AFN127" s="77"/>
      <c r="AFO127" s="77"/>
      <c r="AFP127" s="77"/>
      <c r="AFQ127" s="77"/>
      <c r="AFR127" s="77"/>
      <c r="AFS127" s="77"/>
      <c r="AFT127" s="77"/>
      <c r="AFU127" s="77"/>
      <c r="AFV127" s="77"/>
      <c r="AFW127" s="77"/>
      <c r="AFX127" s="77"/>
      <c r="AFY127" s="77"/>
      <c r="AFZ127" s="77"/>
      <c r="AGA127" s="77"/>
      <c r="AGB127" s="77"/>
      <c r="AGC127" s="77"/>
      <c r="AGD127" s="77"/>
      <c r="AGE127" s="77"/>
      <c r="AGF127" s="77"/>
      <c r="AGG127" s="77"/>
      <c r="AGH127" s="77"/>
      <c r="AGI127" s="77"/>
      <c r="AGJ127" s="77"/>
      <c r="AGK127" s="77"/>
      <c r="AGL127" s="77"/>
      <c r="AGM127" s="77"/>
      <c r="AGN127" s="77"/>
      <c r="AGO127" s="77"/>
      <c r="AGP127" s="77"/>
      <c r="AGQ127" s="77"/>
      <c r="AGR127" s="77"/>
      <c r="AGS127" s="77"/>
      <c r="AGT127" s="77"/>
      <c r="AGU127" s="77"/>
      <c r="AGV127" s="77"/>
      <c r="AGW127" s="77"/>
      <c r="AGX127" s="77"/>
      <c r="AGY127" s="77"/>
      <c r="AGZ127" s="77"/>
      <c r="AHA127" s="77"/>
      <c r="AHB127" s="77"/>
      <c r="AHC127" s="77"/>
      <c r="AHD127" s="77"/>
      <c r="AHE127" s="77"/>
      <c r="AHF127" s="77"/>
      <c r="AHG127" s="77"/>
      <c r="AHH127" s="77"/>
      <c r="AHI127" s="77"/>
      <c r="AHJ127" s="77"/>
      <c r="AHK127" s="77"/>
      <c r="AHL127" s="77"/>
      <c r="AHM127" s="77"/>
      <c r="AHN127" s="77"/>
      <c r="AHO127" s="77"/>
      <c r="AHP127" s="77"/>
      <c r="AHQ127" s="77"/>
      <c r="AHR127" s="77"/>
      <c r="AHS127" s="77"/>
      <c r="AHT127" s="77"/>
      <c r="AHU127" s="77"/>
      <c r="AHV127" s="77"/>
      <c r="AHW127" s="77"/>
      <c r="AHX127" s="77"/>
      <c r="AHY127" s="77"/>
      <c r="AHZ127" s="77"/>
      <c r="AIA127" s="77"/>
      <c r="AIB127" s="77"/>
      <c r="AIC127" s="77"/>
      <c r="AID127" s="77"/>
      <c r="AIE127" s="77"/>
      <c r="AIF127" s="77"/>
      <c r="AIG127" s="77"/>
      <c r="AIH127" s="77"/>
      <c r="AII127" s="77"/>
      <c r="AIJ127" s="77"/>
      <c r="AIK127" s="77"/>
      <c r="AIL127" s="77"/>
      <c r="AIM127" s="77"/>
      <c r="AIN127" s="77"/>
      <c r="AIO127" s="77"/>
      <c r="AIP127" s="77"/>
      <c r="AIQ127" s="77"/>
      <c r="AIR127" s="77"/>
      <c r="AIS127" s="77"/>
      <c r="AIT127" s="77"/>
      <c r="AIU127" s="77"/>
      <c r="AIV127" s="77"/>
      <c r="AIW127" s="77"/>
      <c r="AIX127" s="77"/>
      <c r="AIY127" s="77"/>
      <c r="AIZ127" s="77"/>
      <c r="AJA127" s="77"/>
      <c r="AJB127" s="77"/>
      <c r="AJC127" s="77"/>
      <c r="AJD127" s="77"/>
      <c r="AJE127" s="77"/>
      <c r="AJF127" s="77"/>
      <c r="AJG127" s="77"/>
      <c r="AJH127" s="77"/>
      <c r="AJI127" s="77"/>
      <c r="AJJ127" s="77"/>
      <c r="AJK127" s="77"/>
      <c r="AJL127" s="77"/>
      <c r="AJM127" s="77"/>
      <c r="AJN127" s="77"/>
      <c r="AJO127" s="77"/>
      <c r="AJP127" s="77"/>
      <c r="AJQ127" s="77"/>
      <c r="AJR127" s="77"/>
      <c r="AJS127" s="77"/>
      <c r="AJT127" s="77"/>
      <c r="AJU127" s="77"/>
      <c r="AJV127" s="77"/>
      <c r="AJW127" s="77"/>
      <c r="AJX127" s="77"/>
      <c r="AJY127" s="77"/>
      <c r="AJZ127" s="77"/>
      <c r="AKA127" s="77"/>
      <c r="AKB127" s="77"/>
      <c r="AKC127" s="77"/>
      <c r="AKD127" s="77"/>
      <c r="AKE127" s="77"/>
      <c r="AKF127" s="77"/>
      <c r="AKG127" s="77"/>
      <c r="AKH127" s="77"/>
      <c r="AKI127" s="77"/>
      <c r="AKJ127" s="77"/>
      <c r="AKK127" s="77"/>
      <c r="AKL127" s="77"/>
      <c r="AKM127" s="77"/>
      <c r="AKN127" s="77"/>
      <c r="AKO127" s="77"/>
      <c r="AKP127" s="77"/>
      <c r="AKQ127" s="77"/>
      <c r="AKR127" s="77"/>
      <c r="AKS127" s="77"/>
      <c r="AKT127" s="77"/>
      <c r="AKU127" s="77"/>
      <c r="AKV127" s="77"/>
      <c r="AKW127" s="77"/>
      <c r="AKX127" s="77"/>
      <c r="AKY127" s="77"/>
      <c r="AKZ127" s="77"/>
      <c r="ALA127" s="77"/>
      <c r="ALB127" s="77"/>
      <c r="ALC127" s="77"/>
      <c r="ALD127" s="77"/>
      <c r="ALE127" s="77"/>
      <c r="ALF127" s="77"/>
      <c r="ALG127" s="77"/>
      <c r="ALH127" s="77"/>
      <c r="ALI127" s="77"/>
      <c r="ALJ127" s="77"/>
      <c r="ALK127" s="77"/>
      <c r="ALL127" s="77"/>
      <c r="ALM127" s="77"/>
      <c r="ALN127" s="77"/>
      <c r="ALO127" s="77"/>
      <c r="ALP127" s="77"/>
      <c r="ALQ127" s="77"/>
      <c r="ALR127" s="77"/>
      <c r="ALS127" s="77"/>
      <c r="ALT127" s="77"/>
      <c r="ALU127" s="77"/>
      <c r="ALV127" s="77"/>
      <c r="ALW127" s="77"/>
      <c r="ALX127" s="77"/>
      <c r="ALY127" s="77"/>
      <c r="ALZ127" s="77"/>
      <c r="AMA127" s="77"/>
      <c r="AMB127" s="77"/>
      <c r="AMC127" s="77"/>
      <c r="AMD127" s="77"/>
      <c r="AME127" s="77"/>
      <c r="AMF127" s="77"/>
      <c r="AMG127" s="77"/>
      <c r="AMH127" s="77"/>
      <c r="AMI127" s="77"/>
      <c r="AMJ127" s="77"/>
      <c r="AMK127" s="77"/>
      <c r="AML127" s="77"/>
      <c r="AMM127" s="77"/>
      <c r="AMN127" s="77"/>
      <c r="AMO127" s="77"/>
      <c r="AMP127" s="77"/>
      <c r="AMQ127" s="77"/>
      <c r="AMR127" s="77"/>
      <c r="AMS127" s="77"/>
      <c r="AMT127" s="77"/>
      <c r="AMU127" s="77"/>
      <c r="AMV127" s="77"/>
      <c r="AMW127" s="77"/>
      <c r="AMX127" s="77"/>
      <c r="AMY127" s="77"/>
      <c r="AMZ127" s="77"/>
      <c r="ANA127" s="77"/>
      <c r="ANB127" s="77"/>
      <c r="ANC127" s="77"/>
      <c r="AND127" s="77"/>
      <c r="ANE127" s="77"/>
      <c r="ANF127" s="77"/>
      <c r="ANG127" s="77"/>
      <c r="ANH127" s="77"/>
      <c r="ANI127" s="77"/>
      <c r="ANJ127" s="77"/>
      <c r="ANK127" s="77"/>
      <c r="ANL127" s="77"/>
      <c r="ANM127" s="77"/>
      <c r="ANN127" s="77"/>
      <c r="ANO127" s="77"/>
      <c r="ANP127" s="77"/>
      <c r="ANQ127" s="77"/>
      <c r="ANR127" s="77"/>
      <c r="ANS127" s="77"/>
      <c r="ANT127" s="77"/>
      <c r="ANU127" s="77"/>
      <c r="ANV127" s="77"/>
      <c r="ANW127" s="77"/>
      <c r="ANX127" s="77"/>
      <c r="ANY127" s="77"/>
      <c r="ANZ127" s="77"/>
      <c r="AOA127" s="77"/>
      <c r="AOB127" s="77"/>
      <c r="AOC127" s="77"/>
      <c r="AOD127" s="77"/>
      <c r="AOE127" s="77"/>
      <c r="AOF127" s="77"/>
      <c r="AOG127" s="77"/>
      <c r="AOH127" s="77"/>
      <c r="AOI127" s="77"/>
      <c r="AOJ127" s="77"/>
      <c r="AOK127" s="77"/>
      <c r="AOL127" s="77"/>
      <c r="AOM127" s="77"/>
      <c r="AON127" s="77"/>
      <c r="AOO127" s="77"/>
      <c r="AOP127" s="77"/>
      <c r="AOQ127" s="77"/>
      <c r="AOR127" s="77"/>
      <c r="AOS127" s="77"/>
      <c r="AOT127" s="77"/>
      <c r="AOU127" s="77"/>
      <c r="AOV127" s="77"/>
      <c r="AOW127" s="77"/>
      <c r="AOX127" s="77"/>
      <c r="AOY127" s="77"/>
      <c r="AOZ127" s="77"/>
      <c r="APA127" s="77"/>
      <c r="APB127" s="77"/>
      <c r="APC127" s="77"/>
      <c r="APD127" s="77"/>
      <c r="APE127" s="77"/>
      <c r="APF127" s="77"/>
      <c r="APG127" s="77"/>
      <c r="APH127" s="77"/>
      <c r="API127" s="77"/>
      <c r="APJ127" s="77"/>
      <c r="APK127" s="77"/>
      <c r="APL127" s="77"/>
      <c r="APM127" s="77"/>
      <c r="APN127" s="77"/>
      <c r="APO127" s="77"/>
      <c r="APP127" s="77"/>
      <c r="APQ127" s="77"/>
      <c r="APR127" s="77"/>
      <c r="APS127" s="77"/>
      <c r="APT127" s="77"/>
      <c r="APU127" s="77"/>
      <c r="APV127" s="77"/>
      <c r="APW127" s="77"/>
      <c r="APX127" s="77"/>
      <c r="APY127" s="77"/>
      <c r="APZ127" s="77"/>
      <c r="AQA127" s="77"/>
      <c r="AQB127" s="77"/>
      <c r="AQC127" s="77"/>
      <c r="AQD127" s="77"/>
      <c r="AQE127" s="77"/>
      <c r="AQF127" s="77"/>
      <c r="AQG127" s="77"/>
      <c r="AQH127" s="77"/>
      <c r="AQI127" s="77"/>
      <c r="AQJ127" s="77"/>
      <c r="AQK127" s="77"/>
      <c r="AQL127" s="77"/>
      <c r="AQM127" s="77"/>
      <c r="AQN127" s="77"/>
      <c r="AQO127" s="77"/>
      <c r="AQP127" s="77"/>
      <c r="AQQ127" s="77"/>
      <c r="AQR127" s="77"/>
      <c r="AQS127" s="77"/>
      <c r="AQT127" s="77"/>
      <c r="AQU127" s="77"/>
      <c r="AQV127" s="77"/>
      <c r="AQW127" s="77"/>
      <c r="AQX127" s="77"/>
      <c r="AQY127" s="77"/>
      <c r="AQZ127" s="77"/>
      <c r="ARA127" s="77"/>
      <c r="ARB127" s="77"/>
      <c r="ARC127" s="77"/>
      <c r="ARD127" s="77"/>
      <c r="ARE127" s="77"/>
      <c r="ARF127" s="77"/>
      <c r="ARG127" s="77"/>
      <c r="ARH127" s="77"/>
      <c r="ARI127" s="77"/>
      <c r="ARJ127" s="77"/>
      <c r="ARK127" s="77"/>
      <c r="ARL127" s="77"/>
      <c r="ARM127" s="77"/>
      <c r="ARN127" s="77"/>
      <c r="ARO127" s="77"/>
      <c r="ARP127" s="77"/>
      <c r="ARQ127" s="77"/>
      <c r="ARR127" s="77"/>
      <c r="ARS127" s="77"/>
      <c r="ART127" s="77"/>
      <c r="ARU127" s="77"/>
      <c r="ARV127" s="77"/>
      <c r="ARW127" s="77"/>
      <c r="ARX127" s="77"/>
      <c r="ARY127" s="77"/>
      <c r="ARZ127" s="77"/>
      <c r="ASA127" s="77"/>
      <c r="ASB127" s="77"/>
      <c r="ASC127" s="77"/>
      <c r="ASD127" s="77"/>
      <c r="ASE127" s="77"/>
      <c r="ASF127" s="77"/>
      <c r="ASG127" s="77"/>
      <c r="ASH127" s="77"/>
      <c r="ASI127" s="77"/>
      <c r="ASJ127" s="77"/>
      <c r="ASK127" s="77"/>
      <c r="ASL127" s="77"/>
      <c r="ASM127" s="77"/>
      <c r="ASN127" s="77"/>
      <c r="ASO127" s="77"/>
      <c r="ASP127" s="77"/>
      <c r="ASQ127" s="77"/>
      <c r="ASR127" s="77"/>
      <c r="ASS127" s="77"/>
      <c r="AST127" s="77"/>
      <c r="ASU127" s="77"/>
      <c r="ASV127" s="77"/>
      <c r="ASW127" s="77"/>
      <c r="ASX127" s="77"/>
      <c r="ASY127" s="77"/>
      <c r="ASZ127" s="77"/>
      <c r="ATA127" s="77"/>
      <c r="ATB127" s="77"/>
      <c r="ATC127" s="77"/>
      <c r="ATD127" s="77"/>
      <c r="ATE127" s="77"/>
      <c r="ATF127" s="77"/>
      <c r="ATG127" s="77"/>
      <c r="ATH127" s="77"/>
      <c r="ATI127" s="77"/>
      <c r="ATJ127" s="77"/>
      <c r="ATK127" s="77"/>
      <c r="ATL127" s="77"/>
      <c r="ATM127" s="77"/>
      <c r="ATN127" s="77"/>
      <c r="ATO127" s="77"/>
      <c r="ATP127" s="77"/>
      <c r="ATQ127" s="77"/>
      <c r="ATR127" s="77"/>
      <c r="ATS127" s="77"/>
      <c r="ATT127" s="77"/>
      <c r="ATU127" s="77"/>
      <c r="ATV127" s="77"/>
      <c r="ATW127" s="77"/>
      <c r="ATX127" s="77"/>
      <c r="ATY127" s="77"/>
      <c r="ATZ127" s="77"/>
      <c r="AUA127" s="77"/>
      <c r="AUB127" s="77"/>
      <c r="AUC127" s="77"/>
      <c r="AUD127" s="77"/>
      <c r="AUE127" s="77"/>
      <c r="AUF127" s="77"/>
      <c r="AUG127" s="77"/>
      <c r="AUH127" s="77"/>
      <c r="AUI127" s="77"/>
      <c r="AUJ127" s="77"/>
      <c r="AUK127" s="77"/>
      <c r="AUL127" s="77"/>
      <c r="AUM127" s="77"/>
      <c r="AUN127" s="77"/>
      <c r="AUO127" s="77"/>
      <c r="AUP127" s="77"/>
      <c r="AUQ127" s="77"/>
      <c r="AUR127" s="77"/>
      <c r="AUS127" s="77"/>
      <c r="AUT127" s="77"/>
      <c r="AUU127" s="77"/>
      <c r="AUV127" s="77"/>
      <c r="AUW127" s="77"/>
      <c r="AUX127" s="77"/>
      <c r="AUY127" s="77"/>
      <c r="AUZ127" s="77"/>
      <c r="AVA127" s="77"/>
      <c r="AVB127" s="77"/>
      <c r="AVC127" s="77"/>
      <c r="AVD127" s="77"/>
      <c r="AVE127" s="77"/>
      <c r="AVF127" s="77"/>
      <c r="AVG127" s="77"/>
      <c r="AVH127" s="77"/>
      <c r="AVI127" s="77"/>
      <c r="AVJ127" s="77"/>
      <c r="AVK127" s="77"/>
      <c r="AVL127" s="77"/>
      <c r="AVM127" s="77"/>
      <c r="AVN127" s="77"/>
      <c r="AVO127" s="77"/>
      <c r="AVP127" s="77"/>
      <c r="AVQ127" s="77"/>
      <c r="AVR127" s="77"/>
      <c r="AVS127" s="77"/>
      <c r="AVT127" s="77"/>
      <c r="AVU127" s="77"/>
      <c r="AVV127" s="77"/>
      <c r="AVW127" s="77"/>
      <c r="AVX127" s="77"/>
      <c r="AVY127" s="77"/>
      <c r="AVZ127" s="77"/>
      <c r="AWA127" s="77"/>
      <c r="AWB127" s="77"/>
      <c r="AWC127" s="77"/>
      <c r="AWD127" s="77"/>
      <c r="AWE127" s="77"/>
      <c r="AWF127" s="77"/>
      <c r="AWG127" s="77"/>
      <c r="AWH127" s="77"/>
      <c r="AWI127" s="77"/>
      <c r="AWJ127" s="77"/>
      <c r="AWK127" s="77"/>
      <c r="AWL127" s="77"/>
      <c r="AWM127" s="77"/>
      <c r="AWN127" s="77"/>
      <c r="AWO127" s="77"/>
      <c r="AWP127" s="77"/>
      <c r="AWQ127" s="77"/>
      <c r="AWR127" s="77"/>
      <c r="AWS127" s="77"/>
      <c r="AWT127" s="77"/>
      <c r="AWU127" s="77"/>
      <c r="AWV127" s="77"/>
      <c r="AWW127" s="77"/>
      <c r="AWX127" s="77"/>
      <c r="AWY127" s="77"/>
      <c r="AWZ127" s="77"/>
      <c r="AXA127" s="77"/>
      <c r="AXB127" s="77"/>
      <c r="AXC127" s="77"/>
      <c r="AXD127" s="77"/>
      <c r="AXE127" s="77"/>
      <c r="AXF127" s="77"/>
      <c r="AXG127" s="77"/>
      <c r="AXH127" s="77"/>
      <c r="AXI127" s="77"/>
      <c r="AXJ127" s="77"/>
      <c r="AXK127" s="77"/>
      <c r="AXL127" s="77"/>
      <c r="AXM127" s="77"/>
      <c r="AXN127" s="77"/>
      <c r="AXO127" s="77"/>
      <c r="AXP127" s="77"/>
      <c r="AXQ127" s="77"/>
      <c r="AXR127" s="77"/>
      <c r="AXS127" s="77"/>
      <c r="AXT127" s="77"/>
      <c r="AXU127" s="77"/>
      <c r="AXV127" s="77"/>
      <c r="AXW127" s="77"/>
      <c r="AXX127" s="77"/>
      <c r="AXY127" s="77"/>
      <c r="AXZ127" s="77"/>
      <c r="AYA127" s="77"/>
      <c r="AYB127" s="77"/>
      <c r="AYC127" s="77"/>
      <c r="AYD127" s="77"/>
      <c r="AYE127" s="77"/>
      <c r="AYF127" s="77"/>
      <c r="AYG127" s="77"/>
      <c r="AYH127" s="77"/>
      <c r="AYI127" s="77"/>
      <c r="AYJ127" s="77"/>
      <c r="AYK127" s="77"/>
      <c r="AYL127" s="77"/>
      <c r="AYM127" s="77"/>
      <c r="AYN127" s="77"/>
      <c r="AYO127" s="77"/>
      <c r="AYP127" s="77"/>
      <c r="AYQ127" s="77"/>
      <c r="AYR127" s="77"/>
      <c r="AYS127" s="77"/>
      <c r="AYT127" s="77"/>
      <c r="AYU127" s="77"/>
      <c r="AYV127" s="77"/>
      <c r="AYW127" s="77"/>
      <c r="AYX127" s="77"/>
      <c r="AYY127" s="77"/>
      <c r="AYZ127" s="77"/>
      <c r="AZA127" s="77"/>
      <c r="AZB127" s="77"/>
      <c r="AZC127" s="77"/>
      <c r="AZD127" s="77"/>
      <c r="AZE127" s="77"/>
      <c r="AZF127" s="77"/>
      <c r="AZG127" s="77"/>
      <c r="AZH127" s="77"/>
      <c r="AZI127" s="77"/>
      <c r="AZJ127" s="77"/>
      <c r="AZK127" s="77"/>
      <c r="AZL127" s="77"/>
      <c r="AZM127" s="77"/>
      <c r="AZN127" s="77"/>
      <c r="AZO127" s="77"/>
      <c r="AZP127" s="77"/>
      <c r="AZQ127" s="77"/>
      <c r="AZR127" s="77"/>
      <c r="AZS127" s="77"/>
      <c r="AZT127" s="77"/>
      <c r="AZU127" s="77"/>
      <c r="AZV127" s="77"/>
      <c r="AZW127" s="77"/>
      <c r="AZX127" s="77"/>
      <c r="AZY127" s="77"/>
      <c r="AZZ127" s="77"/>
      <c r="BAA127" s="77"/>
      <c r="BAB127" s="77"/>
      <c r="BAC127" s="77"/>
      <c r="BAD127" s="77"/>
      <c r="BAE127" s="77"/>
      <c r="BAF127" s="77"/>
      <c r="BAG127" s="77"/>
      <c r="BAH127" s="77"/>
      <c r="BAI127" s="77"/>
      <c r="BAJ127" s="77"/>
      <c r="BAK127" s="77"/>
      <c r="BAL127" s="77"/>
      <c r="BAM127" s="77"/>
      <c r="BAN127" s="77"/>
      <c r="BAO127" s="77"/>
      <c r="BAP127" s="77"/>
      <c r="BAQ127" s="77"/>
      <c r="BAR127" s="77"/>
      <c r="BAS127" s="77"/>
      <c r="BAT127" s="77"/>
      <c r="BAU127" s="77"/>
      <c r="BAV127" s="77"/>
      <c r="BAW127" s="77"/>
      <c r="BAX127" s="77"/>
      <c r="BAY127" s="77"/>
      <c r="BAZ127" s="77"/>
      <c r="BBA127" s="77"/>
      <c r="BBB127" s="77"/>
      <c r="BBC127" s="77"/>
      <c r="BBD127" s="77"/>
      <c r="BBE127" s="77"/>
      <c r="BBF127" s="77"/>
      <c r="BBG127" s="77"/>
      <c r="BBH127" s="77"/>
      <c r="BBI127" s="77"/>
      <c r="BBJ127" s="77"/>
      <c r="BBK127" s="77"/>
      <c r="BBL127" s="77"/>
      <c r="BBM127" s="77"/>
      <c r="BBN127" s="77"/>
      <c r="BBO127" s="77"/>
      <c r="BBP127" s="77"/>
      <c r="BBQ127" s="77"/>
      <c r="BBR127" s="77"/>
      <c r="BBS127" s="77"/>
      <c r="BBT127" s="77"/>
      <c r="BBU127" s="77"/>
      <c r="BBV127" s="77"/>
      <c r="BBW127" s="77"/>
      <c r="BBX127" s="77"/>
      <c r="BBY127" s="77"/>
      <c r="BBZ127" s="77"/>
      <c r="BCA127" s="77"/>
      <c r="BCB127" s="77"/>
      <c r="BCC127" s="77"/>
      <c r="BCD127" s="77"/>
      <c r="BCE127" s="77"/>
      <c r="BCF127" s="77"/>
      <c r="BCG127" s="77"/>
      <c r="BCH127" s="77"/>
      <c r="BCI127" s="77"/>
      <c r="BCJ127" s="77"/>
      <c r="BCK127" s="77"/>
      <c r="BCL127" s="77"/>
      <c r="BCM127" s="77"/>
      <c r="BCN127" s="77"/>
      <c r="BCO127" s="77"/>
      <c r="BCP127" s="77"/>
      <c r="BCQ127" s="77"/>
      <c r="BCR127" s="77"/>
      <c r="BCS127" s="77"/>
      <c r="BCT127" s="77"/>
      <c r="BCU127" s="77"/>
      <c r="BCV127" s="77"/>
      <c r="BCW127" s="77"/>
      <c r="BCX127" s="77"/>
      <c r="BCY127" s="77"/>
      <c r="BCZ127" s="77"/>
      <c r="BDA127" s="77"/>
      <c r="BDB127" s="77"/>
      <c r="BDC127" s="77"/>
      <c r="BDD127" s="77"/>
      <c r="BDE127" s="77"/>
      <c r="BDF127" s="77"/>
      <c r="BDG127" s="77"/>
      <c r="BDH127" s="77"/>
      <c r="BDI127" s="77"/>
      <c r="BDJ127" s="77"/>
      <c r="BDK127" s="77"/>
      <c r="BDL127" s="77"/>
      <c r="BDM127" s="77"/>
      <c r="BDN127" s="77"/>
      <c r="BDO127" s="77"/>
      <c r="BDP127" s="77"/>
      <c r="BDQ127" s="77"/>
      <c r="BDR127" s="77"/>
      <c r="BDS127" s="77"/>
      <c r="BDT127" s="77"/>
      <c r="BDU127" s="77"/>
      <c r="BDV127" s="77"/>
      <c r="BDW127" s="77"/>
      <c r="BDX127" s="77"/>
      <c r="BDY127" s="77"/>
      <c r="BDZ127" s="77"/>
      <c r="BEA127" s="77"/>
      <c r="BEB127" s="77"/>
      <c r="BEC127" s="77"/>
      <c r="BED127" s="77"/>
      <c r="BEE127" s="77"/>
      <c r="BEF127" s="77"/>
      <c r="BEG127" s="77"/>
      <c r="BEH127" s="77"/>
      <c r="BEI127" s="77"/>
      <c r="BEJ127" s="77"/>
      <c r="BEK127" s="77"/>
      <c r="BEL127" s="77"/>
      <c r="BEM127" s="77"/>
      <c r="BEN127" s="77"/>
      <c r="BEO127" s="77"/>
      <c r="BEP127" s="77"/>
      <c r="BEQ127" s="77"/>
      <c r="BER127" s="77"/>
      <c r="BES127" s="77"/>
      <c r="BET127" s="77"/>
      <c r="BEU127" s="77"/>
      <c r="BEV127" s="77"/>
      <c r="BEW127" s="77"/>
      <c r="BEX127" s="77"/>
      <c r="BEY127" s="77"/>
      <c r="BEZ127" s="77"/>
      <c r="BFA127" s="77"/>
      <c r="BFB127" s="77"/>
      <c r="BFC127" s="77"/>
      <c r="BFD127" s="77"/>
      <c r="BFE127" s="77"/>
      <c r="BFF127" s="77"/>
      <c r="BFG127" s="77"/>
      <c r="BFH127" s="77"/>
      <c r="BFI127" s="77"/>
      <c r="BFJ127" s="77"/>
      <c r="BFK127" s="77"/>
      <c r="BFL127" s="77"/>
      <c r="BFM127" s="77"/>
      <c r="BFN127" s="77"/>
      <c r="BFO127" s="77"/>
      <c r="BFP127" s="77"/>
      <c r="BFQ127" s="77"/>
      <c r="BFR127" s="77"/>
      <c r="BFS127" s="77"/>
      <c r="BFT127" s="77"/>
      <c r="BFU127" s="77"/>
      <c r="BFV127" s="77"/>
      <c r="BFW127" s="77"/>
      <c r="BFX127" s="77"/>
      <c r="BFY127" s="77"/>
      <c r="BFZ127" s="77"/>
      <c r="BGA127" s="77"/>
      <c r="BGB127" s="77"/>
      <c r="BGC127" s="77"/>
      <c r="BGD127" s="77"/>
      <c r="BGE127" s="77"/>
      <c r="BGF127" s="77"/>
      <c r="BGG127" s="77"/>
      <c r="BGH127" s="77"/>
      <c r="BGI127" s="77"/>
      <c r="BGJ127" s="77"/>
      <c r="BGK127" s="77"/>
      <c r="BGL127" s="77"/>
      <c r="BGM127" s="77"/>
      <c r="BGN127" s="77"/>
      <c r="BGO127" s="77"/>
      <c r="BGP127" s="77"/>
      <c r="BGQ127" s="77"/>
      <c r="BGR127" s="77"/>
      <c r="BGS127" s="77"/>
      <c r="BGT127" s="77"/>
      <c r="BGU127" s="77"/>
      <c r="BGV127" s="77"/>
      <c r="BGW127" s="77"/>
      <c r="BGX127" s="77"/>
      <c r="BGY127" s="77"/>
      <c r="BGZ127" s="77"/>
      <c r="BHA127" s="77"/>
      <c r="BHB127" s="77"/>
      <c r="BHC127" s="77"/>
      <c r="BHD127" s="77"/>
      <c r="BHE127" s="77"/>
      <c r="BHF127" s="77"/>
      <c r="BHG127" s="77"/>
      <c r="BHH127" s="77"/>
      <c r="BHI127" s="77"/>
      <c r="BHJ127" s="77"/>
      <c r="BHK127" s="77"/>
      <c r="BHL127" s="77"/>
      <c r="BHM127" s="77"/>
      <c r="BHN127" s="77"/>
      <c r="BHO127" s="77"/>
      <c r="BHP127" s="77"/>
      <c r="BHQ127" s="77"/>
      <c r="BHR127" s="77"/>
      <c r="BHS127" s="77"/>
      <c r="BHT127" s="77"/>
      <c r="BHU127" s="77"/>
      <c r="BHV127" s="77"/>
      <c r="BHW127" s="77"/>
      <c r="BHX127" s="77"/>
      <c r="BHY127" s="77"/>
      <c r="BHZ127" s="77"/>
      <c r="BIA127" s="77"/>
      <c r="BIB127" s="77"/>
      <c r="BIC127" s="77"/>
      <c r="BID127" s="77"/>
      <c r="BIE127" s="77"/>
      <c r="BIF127" s="77"/>
      <c r="BIG127" s="77"/>
      <c r="BIH127" s="77"/>
      <c r="BII127" s="77"/>
      <c r="BIJ127" s="77"/>
      <c r="BIK127" s="77"/>
      <c r="BIL127" s="77"/>
      <c r="BIM127" s="77"/>
      <c r="BIN127" s="77"/>
      <c r="BIO127" s="77"/>
      <c r="BIP127" s="77"/>
      <c r="BIQ127" s="77"/>
      <c r="BIR127" s="77"/>
      <c r="BIS127" s="77"/>
      <c r="BIT127" s="77"/>
      <c r="BIU127" s="77"/>
      <c r="BIV127" s="77"/>
      <c r="BIW127" s="77"/>
      <c r="BIX127" s="77"/>
      <c r="BIY127" s="77"/>
      <c r="BIZ127" s="77"/>
      <c r="BJA127" s="77"/>
      <c r="BJB127" s="77"/>
      <c r="BJC127" s="77"/>
      <c r="BJD127" s="77"/>
      <c r="BJE127" s="77"/>
      <c r="BJF127" s="77"/>
      <c r="BJG127" s="77"/>
      <c r="BJH127" s="77"/>
      <c r="BJI127" s="77"/>
      <c r="BJJ127" s="77"/>
      <c r="BJK127" s="77"/>
      <c r="BJL127" s="77"/>
      <c r="BJM127" s="77"/>
      <c r="BJN127" s="77"/>
      <c r="BJO127" s="77"/>
      <c r="BJP127" s="77"/>
      <c r="BJQ127" s="77"/>
      <c r="BJR127" s="77"/>
      <c r="BJS127" s="77"/>
      <c r="BJT127" s="77"/>
      <c r="BJU127" s="77"/>
      <c r="BJV127" s="77"/>
      <c r="BJW127" s="77"/>
      <c r="BJX127" s="77"/>
      <c r="BJY127" s="77"/>
      <c r="BJZ127" s="77"/>
      <c r="BKA127" s="77"/>
      <c r="BKB127" s="77"/>
      <c r="BKC127" s="77"/>
      <c r="BKD127" s="77"/>
      <c r="BKE127" s="77"/>
      <c r="BKF127" s="77"/>
      <c r="BKG127" s="77"/>
      <c r="BKH127" s="77"/>
      <c r="BKI127" s="77"/>
      <c r="BKJ127" s="77"/>
      <c r="BKK127" s="77"/>
      <c r="BKL127" s="77"/>
      <c r="BKM127" s="77"/>
      <c r="BKN127" s="77"/>
      <c r="BKO127" s="77"/>
      <c r="BKP127" s="77"/>
      <c r="BKQ127" s="77"/>
      <c r="BKR127" s="77"/>
      <c r="BKS127" s="77"/>
      <c r="BKT127" s="77"/>
      <c r="BKU127" s="77"/>
      <c r="BKV127" s="77"/>
      <c r="BKW127" s="77"/>
      <c r="BKX127" s="77"/>
      <c r="BKY127" s="77"/>
      <c r="BKZ127" s="77"/>
      <c r="BLA127" s="77"/>
      <c r="BLB127" s="77"/>
      <c r="BLC127" s="77"/>
      <c r="BLD127" s="77"/>
      <c r="BLE127" s="77"/>
      <c r="BLF127" s="77"/>
      <c r="BLG127" s="77"/>
      <c r="BLH127" s="77"/>
      <c r="BLI127" s="77"/>
      <c r="BLJ127" s="77"/>
      <c r="BLK127" s="77"/>
      <c r="BLL127" s="77"/>
      <c r="BLM127" s="77"/>
      <c r="BLN127" s="77"/>
      <c r="BLO127" s="77"/>
      <c r="BLP127" s="77"/>
      <c r="BLQ127" s="77"/>
      <c r="BLR127" s="77"/>
      <c r="BLS127" s="77"/>
      <c r="BLT127" s="77"/>
      <c r="BLU127" s="77"/>
      <c r="BLV127" s="77"/>
      <c r="BLW127" s="77"/>
      <c r="BLX127" s="77"/>
      <c r="BLY127" s="77"/>
      <c r="BLZ127" s="77"/>
      <c r="BMA127" s="77"/>
      <c r="BMB127" s="77"/>
      <c r="BMC127" s="77"/>
      <c r="BMD127" s="77"/>
      <c r="BME127" s="77"/>
      <c r="BMF127" s="77"/>
      <c r="BMG127" s="77"/>
      <c r="BMH127" s="77"/>
      <c r="BMI127" s="77"/>
      <c r="BMJ127" s="77"/>
      <c r="BMK127" s="77"/>
      <c r="BML127" s="77"/>
      <c r="BMM127" s="77"/>
      <c r="BMN127" s="77"/>
      <c r="BMO127" s="77"/>
      <c r="BMP127" s="77"/>
      <c r="BMQ127" s="77"/>
      <c r="BMR127" s="77"/>
      <c r="BMS127" s="77"/>
      <c r="BMT127" s="77"/>
      <c r="BMU127" s="77"/>
      <c r="BMV127" s="77"/>
      <c r="BMW127" s="77"/>
      <c r="BMX127" s="77"/>
      <c r="BMY127" s="77"/>
      <c r="BMZ127" s="77"/>
      <c r="BNA127" s="77"/>
      <c r="BNB127" s="77"/>
      <c r="BNC127" s="77"/>
      <c r="BND127" s="77"/>
      <c r="BNE127" s="77"/>
      <c r="BNF127" s="77"/>
      <c r="BNG127" s="77"/>
      <c r="BNH127" s="77"/>
      <c r="BNI127" s="77"/>
      <c r="BNJ127" s="77"/>
      <c r="BNK127" s="77"/>
      <c r="BNL127" s="77"/>
      <c r="BNM127" s="77"/>
      <c r="BNN127" s="77"/>
      <c r="BNO127" s="77"/>
      <c r="BNP127" s="77"/>
      <c r="BNQ127" s="77"/>
      <c r="BNR127" s="77"/>
      <c r="BNS127" s="77"/>
      <c r="BNT127" s="77"/>
      <c r="BNU127" s="77"/>
      <c r="BNV127" s="77"/>
      <c r="BNW127" s="77"/>
      <c r="BNX127" s="77"/>
      <c r="BNY127" s="77"/>
      <c r="BNZ127" s="77"/>
      <c r="BOA127" s="77"/>
      <c r="BOB127" s="77"/>
      <c r="BOC127" s="77"/>
      <c r="BOD127" s="77"/>
      <c r="BOE127" s="77"/>
      <c r="BOF127" s="77"/>
      <c r="BOG127" s="77"/>
      <c r="BOH127" s="77"/>
      <c r="BOI127" s="77"/>
      <c r="BOJ127" s="77"/>
      <c r="BOK127" s="77"/>
      <c r="BOL127" s="77"/>
      <c r="BOM127" s="77"/>
      <c r="BON127" s="77"/>
      <c r="BOO127" s="77"/>
      <c r="BOP127" s="77"/>
      <c r="BOQ127" s="77"/>
      <c r="BOR127" s="77"/>
      <c r="BOS127" s="77"/>
      <c r="BOT127" s="77"/>
      <c r="BOU127" s="77"/>
      <c r="BOV127" s="77"/>
      <c r="BOW127" s="77"/>
      <c r="BOX127" s="77"/>
      <c r="BOY127" s="77"/>
      <c r="BOZ127" s="77"/>
      <c r="BPA127" s="77"/>
      <c r="BPB127" s="77"/>
      <c r="BPC127" s="77"/>
      <c r="BPD127" s="77"/>
      <c r="BPE127" s="77"/>
      <c r="BPF127" s="77"/>
      <c r="BPG127" s="77"/>
      <c r="BPH127" s="77"/>
      <c r="BPI127" s="77"/>
      <c r="BPJ127" s="77"/>
      <c r="BPK127" s="77"/>
      <c r="BPL127" s="77"/>
      <c r="BPM127" s="77"/>
      <c r="BPN127" s="77"/>
      <c r="BPO127" s="77"/>
      <c r="BPP127" s="77"/>
      <c r="BPQ127" s="77"/>
      <c r="BPR127" s="77"/>
      <c r="BPS127" s="77"/>
      <c r="BPT127" s="77"/>
      <c r="BPU127" s="77"/>
      <c r="BPV127" s="77"/>
      <c r="BPW127" s="77"/>
      <c r="BPX127" s="77"/>
      <c r="BPY127" s="77"/>
      <c r="BPZ127" s="77"/>
      <c r="BQA127" s="77"/>
      <c r="BQB127" s="77"/>
      <c r="BQC127" s="77"/>
      <c r="BQD127" s="77"/>
      <c r="BQE127" s="77"/>
      <c r="BQF127" s="77"/>
      <c r="BQG127" s="77"/>
      <c r="BQH127" s="77"/>
      <c r="BQI127" s="77"/>
      <c r="BQJ127" s="77"/>
      <c r="BQK127" s="77"/>
      <c r="BQL127" s="77"/>
      <c r="BQM127" s="77"/>
      <c r="BQN127" s="77"/>
      <c r="BQO127" s="77"/>
      <c r="BQP127" s="77"/>
      <c r="BQQ127" s="77"/>
      <c r="BQR127" s="77"/>
      <c r="BQS127" s="77"/>
      <c r="BQT127" s="77"/>
      <c r="BQU127" s="77"/>
      <c r="BQV127" s="77"/>
      <c r="BQW127" s="77"/>
      <c r="BQX127" s="77"/>
      <c r="BQY127" s="77"/>
      <c r="BQZ127" s="77"/>
      <c r="BRA127" s="77"/>
      <c r="BRB127" s="77"/>
      <c r="BRC127" s="77"/>
      <c r="BRD127" s="77"/>
      <c r="BRE127" s="77"/>
      <c r="BRF127" s="77"/>
      <c r="BRG127" s="77"/>
      <c r="BRH127" s="77"/>
      <c r="BRI127" s="77"/>
      <c r="BRJ127" s="77"/>
      <c r="BRK127" s="77"/>
      <c r="BRL127" s="77"/>
      <c r="BRM127" s="77"/>
      <c r="BRN127" s="77"/>
      <c r="BRO127" s="77"/>
      <c r="BRP127" s="77"/>
      <c r="BRQ127" s="77"/>
      <c r="BRR127" s="77"/>
      <c r="BRS127" s="77"/>
      <c r="BRT127" s="77"/>
      <c r="BRU127" s="77"/>
      <c r="BRV127" s="77"/>
      <c r="BRW127" s="77"/>
      <c r="BRX127" s="77"/>
      <c r="BRY127" s="77"/>
      <c r="BRZ127" s="77"/>
      <c r="BSA127" s="77"/>
      <c r="BSB127" s="77"/>
      <c r="BSC127" s="77"/>
      <c r="BSD127" s="77"/>
      <c r="BSE127" s="77"/>
      <c r="BSF127" s="77"/>
      <c r="BSG127" s="77"/>
      <c r="BSH127" s="77"/>
      <c r="BSI127" s="77"/>
      <c r="BSJ127" s="77"/>
      <c r="BSK127" s="77"/>
      <c r="BSL127" s="77"/>
      <c r="BSM127" s="77"/>
      <c r="BSN127" s="77"/>
      <c r="BSO127" s="77"/>
      <c r="BSP127" s="77"/>
      <c r="BSQ127" s="77"/>
      <c r="BSR127" s="77"/>
      <c r="BSS127" s="77"/>
      <c r="BST127" s="77"/>
      <c r="BSU127" s="77"/>
      <c r="BSV127" s="77"/>
      <c r="BSW127" s="77"/>
      <c r="BSX127" s="77"/>
      <c r="BSY127" s="77"/>
      <c r="BSZ127" s="77"/>
      <c r="BTA127" s="77"/>
      <c r="BTB127" s="77"/>
      <c r="BTC127" s="77"/>
      <c r="BTD127" s="77"/>
      <c r="BTE127" s="77"/>
      <c r="BTF127" s="77"/>
      <c r="BTG127" s="77"/>
      <c r="BTH127" s="77"/>
      <c r="BTI127" s="77"/>
      <c r="BTJ127" s="77"/>
      <c r="BTK127" s="77"/>
      <c r="BTL127" s="77"/>
      <c r="BTM127" s="77"/>
      <c r="BTN127" s="77"/>
      <c r="BTO127" s="77"/>
      <c r="BTP127" s="77"/>
      <c r="BTQ127" s="77"/>
      <c r="BTR127" s="77"/>
      <c r="BTS127" s="77"/>
      <c r="BTT127" s="77"/>
      <c r="BTU127" s="77"/>
      <c r="BTV127" s="77"/>
      <c r="BTW127" s="77"/>
      <c r="BTX127" s="77"/>
      <c r="BTY127" s="77"/>
      <c r="BTZ127" s="77"/>
      <c r="BUA127" s="77"/>
      <c r="BUB127" s="77"/>
      <c r="BUC127" s="77"/>
      <c r="BUD127" s="77"/>
      <c r="BUE127" s="77"/>
      <c r="BUF127" s="77"/>
      <c r="BUG127" s="77"/>
      <c r="BUH127" s="77"/>
      <c r="BUI127" s="77"/>
      <c r="BUJ127" s="77"/>
      <c r="BUK127" s="77"/>
      <c r="BUL127" s="77"/>
      <c r="BUM127" s="77"/>
      <c r="BUN127" s="77"/>
      <c r="BUO127" s="77"/>
      <c r="BUP127" s="77"/>
      <c r="BUQ127" s="77"/>
      <c r="BUR127" s="77"/>
      <c r="BUS127" s="77"/>
      <c r="BUT127" s="77"/>
      <c r="BUU127" s="77"/>
      <c r="BUV127" s="77"/>
      <c r="BUW127" s="77"/>
      <c r="BUX127" s="77"/>
      <c r="BUY127" s="77"/>
      <c r="BUZ127" s="77"/>
      <c r="BVA127" s="77"/>
      <c r="BVB127" s="77"/>
      <c r="BVC127" s="77"/>
      <c r="BVD127" s="77"/>
      <c r="BVE127" s="77"/>
      <c r="BVF127" s="77"/>
      <c r="BVG127" s="77"/>
      <c r="BVH127" s="77"/>
      <c r="BVI127" s="77"/>
      <c r="BVJ127" s="77"/>
      <c r="BVK127" s="77"/>
      <c r="BVL127" s="77"/>
      <c r="BVM127" s="77"/>
      <c r="BVN127" s="77"/>
      <c r="BVO127" s="77"/>
      <c r="BVP127" s="77"/>
      <c r="BVQ127" s="77"/>
      <c r="BVR127" s="77"/>
      <c r="BVS127" s="77"/>
      <c r="BVT127" s="77"/>
      <c r="BVU127" s="77"/>
      <c r="BVV127" s="77"/>
      <c r="BVW127" s="77"/>
      <c r="BVX127" s="77"/>
      <c r="BVY127" s="77"/>
      <c r="BVZ127" s="77"/>
      <c r="BWA127" s="77"/>
      <c r="BWB127" s="77"/>
      <c r="BWC127" s="77"/>
      <c r="BWD127" s="77"/>
      <c r="BWE127" s="77"/>
      <c r="BWF127" s="77"/>
      <c r="BWG127" s="77"/>
      <c r="BWH127" s="77"/>
      <c r="BWI127" s="77"/>
      <c r="BWJ127" s="77"/>
      <c r="BWK127" s="77"/>
      <c r="BWL127" s="77"/>
      <c r="BWM127" s="77"/>
      <c r="BWN127" s="77"/>
      <c r="BWO127" s="77"/>
      <c r="BWP127" s="77"/>
      <c r="BWQ127" s="77"/>
      <c r="BWR127" s="77"/>
      <c r="BWS127" s="77"/>
      <c r="BWT127" s="77"/>
      <c r="BWU127" s="77"/>
      <c r="BWV127" s="77"/>
      <c r="BWW127" s="77"/>
      <c r="BWX127" s="77"/>
      <c r="BWY127" s="77"/>
      <c r="BWZ127" s="77"/>
      <c r="BXA127" s="77"/>
      <c r="BXB127" s="77"/>
      <c r="BXC127" s="77"/>
      <c r="BXD127" s="77"/>
      <c r="BXE127" s="77"/>
      <c r="BXF127" s="77"/>
      <c r="BXG127" s="77"/>
      <c r="BXH127" s="77"/>
      <c r="BXI127" s="77"/>
      <c r="BXJ127" s="77"/>
      <c r="BXK127" s="77"/>
      <c r="BXL127" s="77"/>
      <c r="BXM127" s="77"/>
      <c r="BXN127" s="77"/>
      <c r="BXO127" s="77"/>
      <c r="BXP127" s="77"/>
      <c r="BXQ127" s="77"/>
      <c r="BXR127" s="77"/>
      <c r="BXS127" s="77"/>
      <c r="BXT127" s="77"/>
      <c r="BXU127" s="77"/>
      <c r="BXV127" s="77"/>
      <c r="BXW127" s="77"/>
      <c r="BXX127" s="77"/>
      <c r="BXY127" s="77"/>
      <c r="BXZ127" s="77"/>
      <c r="BYA127" s="77"/>
      <c r="BYB127" s="77"/>
      <c r="BYC127" s="77"/>
      <c r="BYD127" s="77"/>
      <c r="BYE127" s="77"/>
      <c r="BYF127" s="77"/>
      <c r="BYG127" s="77"/>
      <c r="BYH127" s="77"/>
      <c r="BYI127" s="77"/>
      <c r="BYJ127" s="77"/>
      <c r="BYK127" s="77"/>
      <c r="BYL127" s="77"/>
      <c r="BYM127" s="77"/>
      <c r="BYN127" s="77"/>
      <c r="BYO127" s="77"/>
      <c r="BYP127" s="77"/>
      <c r="BYQ127" s="77"/>
      <c r="BYR127" s="77"/>
      <c r="BYS127" s="77"/>
      <c r="BYT127" s="77"/>
      <c r="BYU127" s="77"/>
      <c r="BYV127" s="77"/>
      <c r="BYW127" s="77"/>
      <c r="BYX127" s="77"/>
      <c r="BYY127" s="77"/>
      <c r="BYZ127" s="77"/>
      <c r="BZA127" s="77"/>
      <c r="BZB127" s="77"/>
      <c r="BZC127" s="77"/>
      <c r="BZD127" s="77"/>
      <c r="BZE127" s="77"/>
      <c r="BZF127" s="77"/>
      <c r="BZG127" s="77"/>
      <c r="BZH127" s="77"/>
      <c r="BZI127" s="77"/>
      <c r="BZJ127" s="77"/>
      <c r="BZK127" s="77"/>
      <c r="BZL127" s="77"/>
      <c r="BZM127" s="77"/>
      <c r="BZN127" s="77"/>
      <c r="BZO127" s="77"/>
      <c r="BZP127" s="77"/>
      <c r="BZQ127" s="77"/>
      <c r="BZR127" s="77"/>
      <c r="BZS127" s="77"/>
      <c r="BZT127" s="77"/>
      <c r="BZU127" s="77"/>
      <c r="BZV127" s="77"/>
      <c r="BZW127" s="77"/>
      <c r="BZX127" s="77"/>
      <c r="BZY127" s="77"/>
      <c r="BZZ127" s="77"/>
      <c r="CAA127" s="77"/>
      <c r="CAB127" s="77"/>
      <c r="CAC127" s="77"/>
      <c r="CAD127" s="77"/>
      <c r="CAE127" s="77"/>
      <c r="CAF127" s="77"/>
      <c r="CAG127" s="77"/>
      <c r="CAH127" s="77"/>
      <c r="CAI127" s="77"/>
      <c r="CAJ127" s="77"/>
      <c r="CAK127" s="77"/>
      <c r="CAL127" s="77"/>
      <c r="CAM127" s="77"/>
      <c r="CAN127" s="77"/>
      <c r="CAO127" s="77"/>
      <c r="CAP127" s="77"/>
      <c r="CAQ127" s="77"/>
      <c r="CAR127" s="77"/>
      <c r="CAS127" s="77"/>
      <c r="CAT127" s="77"/>
      <c r="CAU127" s="77"/>
      <c r="CAV127" s="77"/>
      <c r="CAW127" s="77"/>
      <c r="CAX127" s="77"/>
      <c r="CAY127" s="77"/>
      <c r="CAZ127" s="77"/>
      <c r="CBA127" s="77"/>
      <c r="CBB127" s="77"/>
      <c r="CBC127" s="77"/>
      <c r="CBD127" s="77"/>
      <c r="CBE127" s="77"/>
      <c r="CBF127" s="77"/>
      <c r="CBG127" s="77"/>
      <c r="CBH127" s="77"/>
      <c r="CBI127" s="77"/>
      <c r="CBJ127" s="77"/>
      <c r="CBK127" s="77"/>
      <c r="CBL127" s="77"/>
      <c r="CBM127" s="77"/>
      <c r="CBN127" s="77"/>
      <c r="CBO127" s="77"/>
      <c r="CBP127" s="77"/>
      <c r="CBQ127" s="77"/>
      <c r="CBR127" s="77"/>
      <c r="CBS127" s="77"/>
      <c r="CBT127" s="77"/>
      <c r="CBU127" s="77"/>
      <c r="CBV127" s="77"/>
      <c r="CBW127" s="77"/>
      <c r="CBX127" s="77"/>
      <c r="CBY127" s="77"/>
      <c r="CBZ127" s="77"/>
      <c r="CCA127" s="77"/>
      <c r="CCB127" s="77"/>
      <c r="CCC127" s="77"/>
      <c r="CCD127" s="77"/>
      <c r="CCE127" s="77"/>
      <c r="CCF127" s="77"/>
      <c r="CCG127" s="77"/>
      <c r="CCH127" s="77"/>
      <c r="CCI127" s="77"/>
      <c r="CCJ127" s="77"/>
      <c r="CCK127" s="77"/>
      <c r="CCL127" s="77"/>
      <c r="CCM127" s="77"/>
      <c r="CCN127" s="77"/>
      <c r="CCO127" s="77"/>
      <c r="CCP127" s="77"/>
      <c r="CCQ127" s="77"/>
      <c r="CCR127" s="77"/>
      <c r="CCS127" s="77"/>
      <c r="CCT127" s="77"/>
      <c r="CCU127" s="77"/>
      <c r="CCV127" s="77"/>
      <c r="CCW127" s="77"/>
      <c r="CCX127" s="77"/>
      <c r="CCY127" s="77"/>
      <c r="CCZ127" s="77"/>
      <c r="CDA127" s="77"/>
      <c r="CDB127" s="77"/>
      <c r="CDC127" s="77"/>
      <c r="CDD127" s="77"/>
      <c r="CDE127" s="77"/>
      <c r="CDF127" s="77"/>
      <c r="CDG127" s="77"/>
      <c r="CDH127" s="77"/>
      <c r="CDI127" s="77"/>
      <c r="CDJ127" s="77"/>
      <c r="CDK127" s="77"/>
      <c r="CDL127" s="77"/>
      <c r="CDM127" s="77"/>
      <c r="CDN127" s="77"/>
      <c r="CDO127" s="77"/>
      <c r="CDP127" s="77"/>
      <c r="CDQ127" s="77"/>
      <c r="CDR127" s="77"/>
      <c r="CDS127" s="77"/>
      <c r="CDT127" s="77"/>
      <c r="CDU127" s="77"/>
      <c r="CDV127" s="77"/>
      <c r="CDW127" s="77"/>
      <c r="CDX127" s="77"/>
      <c r="CDY127" s="77"/>
      <c r="CDZ127" s="77"/>
      <c r="CEA127" s="77"/>
      <c r="CEB127" s="77"/>
      <c r="CEC127" s="77"/>
      <c r="CED127" s="77"/>
      <c r="CEE127" s="77"/>
      <c r="CEF127" s="77"/>
      <c r="CEG127" s="77"/>
      <c r="CEH127" s="77"/>
      <c r="CEI127" s="77"/>
      <c r="CEJ127" s="77"/>
      <c r="CEK127" s="77"/>
      <c r="CEL127" s="77"/>
      <c r="CEM127" s="77"/>
      <c r="CEN127" s="77"/>
      <c r="CEO127" s="77"/>
      <c r="CEP127" s="77"/>
      <c r="CEQ127" s="77"/>
      <c r="CER127" s="77"/>
      <c r="CES127" s="77"/>
      <c r="CET127" s="77"/>
      <c r="CEU127" s="77"/>
      <c r="CEV127" s="77"/>
      <c r="CEW127" s="77"/>
      <c r="CEX127" s="77"/>
      <c r="CEY127" s="77"/>
      <c r="CEZ127" s="77"/>
      <c r="CFA127" s="77"/>
      <c r="CFB127" s="77"/>
      <c r="CFC127" s="77"/>
      <c r="CFD127" s="77"/>
      <c r="CFE127" s="77"/>
      <c r="CFF127" s="77"/>
      <c r="CFG127" s="77"/>
      <c r="CFH127" s="77"/>
      <c r="CFI127" s="77"/>
      <c r="CFJ127" s="77"/>
      <c r="CFK127" s="77"/>
      <c r="CFL127" s="77"/>
      <c r="CFM127" s="77"/>
      <c r="CFN127" s="77"/>
      <c r="CFO127" s="77"/>
      <c r="CFP127" s="77"/>
      <c r="CFQ127" s="77"/>
      <c r="CFR127" s="77"/>
      <c r="CFS127" s="77"/>
      <c r="CFT127" s="77"/>
      <c r="CFU127" s="77"/>
      <c r="CFV127" s="77"/>
      <c r="CFW127" s="77"/>
      <c r="CFX127" s="77"/>
      <c r="CFY127" s="77"/>
      <c r="CFZ127" s="77"/>
      <c r="CGA127" s="77"/>
      <c r="CGB127" s="77"/>
      <c r="CGC127" s="77"/>
      <c r="CGD127" s="77"/>
      <c r="CGE127" s="77"/>
      <c r="CGF127" s="77"/>
      <c r="CGG127" s="77"/>
      <c r="CGH127" s="77"/>
      <c r="CGI127" s="77"/>
      <c r="CGJ127" s="77"/>
      <c r="CGK127" s="77"/>
      <c r="CGL127" s="77"/>
      <c r="CGM127" s="77"/>
      <c r="CGN127" s="77"/>
      <c r="CGO127" s="77"/>
      <c r="CGP127" s="77"/>
      <c r="CGQ127" s="77"/>
      <c r="CGR127" s="77"/>
      <c r="CGS127" s="77"/>
      <c r="CGT127" s="77"/>
      <c r="CGU127" s="77"/>
      <c r="CGV127" s="77"/>
      <c r="CGW127" s="77"/>
      <c r="CGX127" s="77"/>
      <c r="CGY127" s="77"/>
      <c r="CGZ127" s="77"/>
      <c r="CHA127" s="77"/>
      <c r="CHB127" s="77"/>
      <c r="CHC127" s="77"/>
      <c r="CHD127" s="77"/>
      <c r="CHE127" s="77"/>
      <c r="CHF127" s="77"/>
      <c r="CHG127" s="77"/>
      <c r="CHH127" s="77"/>
      <c r="CHI127" s="77"/>
      <c r="CHJ127" s="77"/>
      <c r="CHK127" s="77"/>
      <c r="CHL127" s="77"/>
      <c r="CHM127" s="77"/>
      <c r="CHN127" s="77"/>
      <c r="CHO127" s="77"/>
      <c r="CHP127" s="77"/>
      <c r="CHQ127" s="77"/>
      <c r="CHR127" s="77"/>
      <c r="CHS127" s="77"/>
      <c r="CHT127" s="77"/>
      <c r="CHU127" s="77"/>
      <c r="CHV127" s="77"/>
      <c r="CHW127" s="77"/>
      <c r="CHX127" s="77"/>
      <c r="CHY127" s="77"/>
      <c r="CHZ127" s="77"/>
      <c r="CIA127" s="77"/>
      <c r="CIB127" s="77"/>
      <c r="CIC127" s="77"/>
      <c r="CID127" s="77"/>
      <c r="CIE127" s="77"/>
      <c r="CIF127" s="77"/>
      <c r="CIG127" s="77"/>
      <c r="CIH127" s="77"/>
      <c r="CII127" s="77"/>
      <c r="CIJ127" s="77"/>
      <c r="CIK127" s="77"/>
      <c r="CIL127" s="77"/>
      <c r="CIM127" s="77"/>
      <c r="CIN127" s="77"/>
      <c r="CIO127" s="77"/>
      <c r="CIP127" s="77"/>
      <c r="CIQ127" s="77"/>
      <c r="CIR127" s="77"/>
      <c r="CIS127" s="77"/>
      <c r="CIT127" s="77"/>
      <c r="CIU127" s="77"/>
      <c r="CIV127" s="77"/>
      <c r="CIW127" s="77"/>
      <c r="CIX127" s="77"/>
      <c r="CIY127" s="77"/>
      <c r="CIZ127" s="77"/>
      <c r="CJA127" s="77"/>
      <c r="CJB127" s="77"/>
      <c r="CJC127" s="77"/>
      <c r="CJD127" s="77"/>
      <c r="CJE127" s="77"/>
      <c r="CJF127" s="77"/>
      <c r="CJG127" s="77"/>
      <c r="CJH127" s="77"/>
      <c r="CJI127" s="77"/>
      <c r="CJJ127" s="77"/>
      <c r="CJK127" s="77"/>
      <c r="CJL127" s="77"/>
      <c r="CJM127" s="77"/>
      <c r="CJN127" s="77"/>
      <c r="CJO127" s="77"/>
      <c r="CJP127" s="77"/>
      <c r="CJQ127" s="77"/>
      <c r="CJR127" s="77"/>
      <c r="CJS127" s="77"/>
      <c r="CJT127" s="77"/>
      <c r="CJU127" s="77"/>
      <c r="CJV127" s="77"/>
      <c r="CJW127" s="77"/>
      <c r="CJX127" s="77"/>
      <c r="CJY127" s="77"/>
      <c r="CJZ127" s="77"/>
      <c r="CKA127" s="77"/>
      <c r="CKB127" s="77"/>
      <c r="CKC127" s="77"/>
      <c r="CKD127" s="77"/>
      <c r="CKE127" s="77"/>
      <c r="CKF127" s="77"/>
      <c r="CKG127" s="77"/>
      <c r="CKH127" s="77"/>
      <c r="CKI127" s="77"/>
      <c r="CKJ127" s="77"/>
      <c r="CKK127" s="77"/>
      <c r="CKL127" s="77"/>
      <c r="CKM127" s="77"/>
      <c r="CKN127" s="77"/>
      <c r="CKO127" s="77"/>
      <c r="CKP127" s="77"/>
      <c r="CKQ127" s="77"/>
      <c r="CKR127" s="77"/>
      <c r="CKS127" s="77"/>
      <c r="CKT127" s="77"/>
      <c r="CKU127" s="77"/>
      <c r="CKV127" s="77"/>
      <c r="CKW127" s="77"/>
      <c r="CKX127" s="77"/>
      <c r="CKY127" s="77"/>
      <c r="CKZ127" s="77"/>
      <c r="CLA127" s="77"/>
      <c r="CLB127" s="77"/>
      <c r="CLC127" s="77"/>
      <c r="CLD127" s="77"/>
      <c r="CLE127" s="77"/>
      <c r="CLF127" s="77"/>
      <c r="CLG127" s="77"/>
      <c r="CLH127" s="77"/>
      <c r="CLI127" s="77"/>
      <c r="CLJ127" s="77"/>
      <c r="CLK127" s="77"/>
      <c r="CLL127" s="77"/>
      <c r="CLM127" s="77"/>
      <c r="CLN127" s="77"/>
      <c r="CLO127" s="77"/>
      <c r="CLP127" s="77"/>
      <c r="CLQ127" s="77"/>
      <c r="CLR127" s="77"/>
      <c r="CLS127" s="77"/>
      <c r="CLT127" s="77"/>
      <c r="CLU127" s="77"/>
      <c r="CLV127" s="77"/>
      <c r="CLW127" s="77"/>
      <c r="CLX127" s="77"/>
      <c r="CLY127" s="77"/>
      <c r="CLZ127" s="77"/>
      <c r="CMA127" s="77"/>
      <c r="CMB127" s="77"/>
      <c r="CMC127" s="77"/>
      <c r="CMD127" s="77"/>
      <c r="CME127" s="77"/>
      <c r="CMF127" s="77"/>
      <c r="CMG127" s="77"/>
      <c r="CMH127" s="77"/>
      <c r="CMI127" s="77"/>
      <c r="CMJ127" s="77"/>
      <c r="CMK127" s="77"/>
      <c r="CML127" s="77"/>
      <c r="CMM127" s="77"/>
      <c r="CMN127" s="77"/>
      <c r="CMO127" s="77"/>
      <c r="CMP127" s="77"/>
      <c r="CMQ127" s="77"/>
      <c r="CMR127" s="77"/>
      <c r="CMS127" s="77"/>
      <c r="CMT127" s="77"/>
      <c r="CMU127" s="77"/>
      <c r="CMV127" s="77"/>
      <c r="CMW127" s="77"/>
      <c r="CMX127" s="77"/>
      <c r="CMY127" s="77"/>
      <c r="CMZ127" s="77"/>
      <c r="CNA127" s="77"/>
      <c r="CNB127" s="77"/>
      <c r="CNC127" s="77"/>
      <c r="CND127" s="77"/>
      <c r="CNE127" s="77"/>
      <c r="CNF127" s="77"/>
      <c r="CNG127" s="77"/>
      <c r="CNH127" s="77"/>
      <c r="CNI127" s="77"/>
      <c r="CNJ127" s="77"/>
      <c r="CNK127" s="77"/>
      <c r="CNL127" s="77"/>
      <c r="CNM127" s="77"/>
      <c r="CNN127" s="77"/>
      <c r="CNO127" s="77"/>
      <c r="CNP127" s="77"/>
      <c r="CNQ127" s="77"/>
      <c r="CNR127" s="77"/>
      <c r="CNS127" s="77"/>
      <c r="CNT127" s="77"/>
      <c r="CNU127" s="77"/>
      <c r="CNV127" s="77"/>
      <c r="CNW127" s="77"/>
      <c r="CNX127" s="77"/>
      <c r="CNY127" s="77"/>
      <c r="CNZ127" s="77"/>
      <c r="COA127" s="77"/>
      <c r="COB127" s="77"/>
      <c r="COC127" s="77"/>
      <c r="COD127" s="77"/>
      <c r="COE127" s="77"/>
      <c r="COF127" s="77"/>
      <c r="COG127" s="77"/>
      <c r="COH127" s="77"/>
      <c r="COI127" s="77"/>
      <c r="COJ127" s="77"/>
      <c r="COK127" s="77"/>
      <c r="COL127" s="77"/>
      <c r="COM127" s="77"/>
      <c r="CON127" s="77"/>
      <c r="COO127" s="77"/>
      <c r="COP127" s="77"/>
      <c r="COQ127" s="77"/>
      <c r="COR127" s="77"/>
      <c r="COS127" s="77"/>
      <c r="COT127" s="77"/>
      <c r="COU127" s="77"/>
      <c r="COV127" s="77"/>
      <c r="COW127" s="77"/>
      <c r="COX127" s="77"/>
      <c r="COY127" s="77"/>
      <c r="COZ127" s="77"/>
      <c r="CPA127" s="77"/>
      <c r="CPB127" s="77"/>
      <c r="CPC127" s="77"/>
      <c r="CPD127" s="77"/>
      <c r="CPE127" s="77"/>
      <c r="CPF127" s="77"/>
      <c r="CPG127" s="77"/>
      <c r="CPH127" s="77"/>
      <c r="CPI127" s="77"/>
      <c r="CPJ127" s="77"/>
      <c r="CPK127" s="77"/>
      <c r="CPL127" s="77"/>
      <c r="CPM127" s="77"/>
      <c r="CPN127" s="77"/>
      <c r="CPO127" s="77"/>
      <c r="CPP127" s="77"/>
      <c r="CPQ127" s="77"/>
      <c r="CPR127" s="77"/>
      <c r="CPS127" s="77"/>
      <c r="CPT127" s="77"/>
      <c r="CPU127" s="77"/>
      <c r="CPV127" s="77"/>
      <c r="CPW127" s="77"/>
      <c r="CPX127" s="77"/>
      <c r="CPY127" s="77"/>
      <c r="CPZ127" s="77"/>
      <c r="CQA127" s="77"/>
      <c r="CQB127" s="77"/>
      <c r="CQC127" s="77"/>
      <c r="CQD127" s="77"/>
      <c r="CQE127" s="77"/>
      <c r="CQF127" s="77"/>
      <c r="CQG127" s="77"/>
      <c r="CQH127" s="77"/>
      <c r="CQI127" s="77"/>
      <c r="CQJ127" s="77"/>
      <c r="CQK127" s="77"/>
      <c r="CQL127" s="77"/>
      <c r="CQM127" s="77"/>
      <c r="CQN127" s="77"/>
      <c r="CQO127" s="77"/>
      <c r="CQP127" s="77"/>
      <c r="CQQ127" s="77"/>
      <c r="CQR127" s="77"/>
      <c r="CQS127" s="77"/>
      <c r="CQT127" s="77"/>
      <c r="CQU127" s="77"/>
      <c r="CQV127" s="77"/>
      <c r="CQW127" s="77"/>
      <c r="CQX127" s="77"/>
      <c r="CQY127" s="77"/>
      <c r="CQZ127" s="77"/>
      <c r="CRA127" s="77"/>
      <c r="CRB127" s="77"/>
      <c r="CRC127" s="77"/>
      <c r="CRD127" s="77"/>
      <c r="CRE127" s="77"/>
      <c r="CRF127" s="77"/>
      <c r="CRG127" s="77"/>
      <c r="CRH127" s="77"/>
      <c r="CRI127" s="77"/>
      <c r="CRJ127" s="77"/>
      <c r="CRK127" s="77"/>
      <c r="CRL127" s="77"/>
      <c r="CRM127" s="77"/>
      <c r="CRN127" s="77"/>
      <c r="CRO127" s="77"/>
      <c r="CRP127" s="77"/>
      <c r="CRQ127" s="77"/>
      <c r="CRR127" s="77"/>
      <c r="CRS127" s="77"/>
      <c r="CRT127" s="77"/>
      <c r="CRU127" s="77"/>
      <c r="CRV127" s="77"/>
      <c r="CRW127" s="77"/>
      <c r="CRX127" s="77"/>
      <c r="CRY127" s="77"/>
      <c r="CRZ127" s="77"/>
      <c r="CSA127" s="77"/>
      <c r="CSB127" s="77"/>
      <c r="CSC127" s="77"/>
      <c r="CSD127" s="77"/>
      <c r="CSE127" s="77"/>
      <c r="CSF127" s="77"/>
      <c r="CSG127" s="77"/>
      <c r="CSH127" s="77"/>
      <c r="CSI127" s="77"/>
      <c r="CSJ127" s="77"/>
      <c r="CSK127" s="77"/>
      <c r="CSL127" s="77"/>
      <c r="CSM127" s="77"/>
      <c r="CSN127" s="77"/>
      <c r="CSO127" s="77"/>
      <c r="CSP127" s="77"/>
      <c r="CSQ127" s="77"/>
      <c r="CSR127" s="77"/>
      <c r="CSS127" s="77"/>
      <c r="CST127" s="77"/>
      <c r="CSU127" s="77"/>
      <c r="CSV127" s="77"/>
      <c r="CSW127" s="77"/>
      <c r="CSX127" s="77"/>
      <c r="CSY127" s="77"/>
      <c r="CSZ127" s="77"/>
      <c r="CTA127" s="77"/>
      <c r="CTB127" s="77"/>
      <c r="CTC127" s="77"/>
      <c r="CTD127" s="77"/>
      <c r="CTE127" s="77"/>
      <c r="CTF127" s="77"/>
      <c r="CTG127" s="77"/>
      <c r="CTH127" s="77"/>
      <c r="CTI127" s="77"/>
      <c r="CTJ127" s="77"/>
      <c r="CTK127" s="77"/>
      <c r="CTL127" s="77"/>
      <c r="CTM127" s="77"/>
      <c r="CTN127" s="77"/>
      <c r="CTO127" s="77"/>
      <c r="CTP127" s="77"/>
      <c r="CTQ127" s="77"/>
      <c r="CTR127" s="77"/>
      <c r="CTS127" s="77"/>
      <c r="CTT127" s="77"/>
      <c r="CTU127" s="77"/>
      <c r="CTV127" s="77"/>
      <c r="CTW127" s="77"/>
      <c r="CTX127" s="77"/>
      <c r="CTY127" s="77"/>
      <c r="CTZ127" s="77"/>
      <c r="CUA127" s="77"/>
      <c r="CUB127" s="77"/>
      <c r="CUC127" s="77"/>
      <c r="CUD127" s="77"/>
      <c r="CUE127" s="77"/>
      <c r="CUF127" s="77"/>
      <c r="CUG127" s="77"/>
      <c r="CUH127" s="77"/>
      <c r="CUI127" s="77"/>
      <c r="CUJ127" s="77"/>
      <c r="CUK127" s="77"/>
      <c r="CUL127" s="77"/>
      <c r="CUM127" s="77"/>
      <c r="CUN127" s="77"/>
      <c r="CUO127" s="77"/>
      <c r="CUP127" s="77"/>
      <c r="CUQ127" s="77"/>
      <c r="CUR127" s="77"/>
      <c r="CUS127" s="77"/>
      <c r="CUT127" s="77"/>
      <c r="CUU127" s="77"/>
      <c r="CUV127" s="77"/>
      <c r="CUW127" s="77"/>
      <c r="CUX127" s="77"/>
      <c r="CUY127" s="77"/>
      <c r="CUZ127" s="77"/>
      <c r="CVA127" s="77"/>
      <c r="CVB127" s="77"/>
      <c r="CVC127" s="77"/>
      <c r="CVD127" s="77"/>
      <c r="CVE127" s="77"/>
      <c r="CVF127" s="77"/>
      <c r="CVG127" s="77"/>
      <c r="CVH127" s="77"/>
      <c r="CVI127" s="77"/>
      <c r="CVJ127" s="77"/>
      <c r="CVK127" s="77"/>
      <c r="CVL127" s="77"/>
      <c r="CVM127" s="77"/>
      <c r="CVN127" s="77"/>
      <c r="CVO127" s="77"/>
      <c r="CVP127" s="77"/>
      <c r="CVQ127" s="77"/>
      <c r="CVR127" s="77"/>
      <c r="CVS127" s="77"/>
      <c r="CVT127" s="77"/>
      <c r="CVU127" s="77"/>
      <c r="CVV127" s="77"/>
      <c r="CVW127" s="77"/>
      <c r="CVX127" s="77"/>
      <c r="CVY127" s="77"/>
      <c r="CVZ127" s="77"/>
      <c r="CWA127" s="77"/>
      <c r="CWB127" s="77"/>
      <c r="CWC127" s="77"/>
      <c r="CWD127" s="77"/>
      <c r="CWE127" s="77"/>
      <c r="CWF127" s="77"/>
      <c r="CWG127" s="77"/>
      <c r="CWH127" s="77"/>
      <c r="CWI127" s="77"/>
      <c r="CWJ127" s="77"/>
      <c r="CWK127" s="77"/>
      <c r="CWL127" s="77"/>
      <c r="CWM127" s="77"/>
      <c r="CWN127" s="77"/>
      <c r="CWO127" s="77"/>
      <c r="CWP127" s="77"/>
      <c r="CWQ127" s="77"/>
      <c r="CWR127" s="77"/>
      <c r="CWS127" s="77"/>
      <c r="CWT127" s="77"/>
      <c r="CWU127" s="77"/>
      <c r="CWV127" s="77"/>
      <c r="CWW127" s="77"/>
      <c r="CWX127" s="77"/>
      <c r="CWY127" s="77"/>
      <c r="CWZ127" s="77"/>
      <c r="CXA127" s="77"/>
      <c r="CXB127" s="77"/>
      <c r="CXC127" s="77"/>
      <c r="CXD127" s="77"/>
      <c r="CXE127" s="77"/>
      <c r="CXF127" s="77"/>
      <c r="CXG127" s="77"/>
      <c r="CXH127" s="77"/>
      <c r="CXI127" s="77"/>
      <c r="CXJ127" s="77"/>
      <c r="CXK127" s="77"/>
      <c r="CXL127" s="77"/>
      <c r="CXM127" s="77"/>
      <c r="CXN127" s="77"/>
      <c r="CXO127" s="77"/>
      <c r="CXP127" s="77"/>
      <c r="CXQ127" s="77"/>
      <c r="CXR127" s="77"/>
      <c r="CXS127" s="77"/>
      <c r="CXT127" s="77"/>
      <c r="CXU127" s="77"/>
      <c r="CXV127" s="77"/>
      <c r="CXW127" s="77"/>
      <c r="CXX127" s="77"/>
      <c r="CXY127" s="77"/>
      <c r="CXZ127" s="77"/>
      <c r="CYA127" s="77"/>
      <c r="CYB127" s="77"/>
      <c r="CYC127" s="77"/>
      <c r="CYD127" s="77"/>
      <c r="CYE127" s="77"/>
      <c r="CYF127" s="77"/>
      <c r="CYG127" s="77"/>
      <c r="CYH127" s="77"/>
      <c r="CYI127" s="77"/>
      <c r="CYJ127" s="77"/>
      <c r="CYK127" s="77"/>
      <c r="CYL127" s="77"/>
      <c r="CYM127" s="77"/>
      <c r="CYN127" s="77"/>
      <c r="CYO127" s="77"/>
      <c r="CYP127" s="77"/>
      <c r="CYQ127" s="77"/>
      <c r="CYR127" s="77"/>
      <c r="CYS127" s="77"/>
      <c r="CYT127" s="77"/>
      <c r="CYU127" s="77"/>
      <c r="CYV127" s="77"/>
      <c r="CYW127" s="77"/>
      <c r="CYX127" s="77"/>
      <c r="CYY127" s="77"/>
      <c r="CYZ127" s="77"/>
      <c r="CZA127" s="77"/>
      <c r="CZB127" s="77"/>
      <c r="CZC127" s="77"/>
      <c r="CZD127" s="77"/>
      <c r="CZE127" s="77"/>
      <c r="CZF127" s="77"/>
      <c r="CZG127" s="77"/>
      <c r="CZH127" s="77"/>
      <c r="CZI127" s="77"/>
      <c r="CZJ127" s="77"/>
      <c r="CZK127" s="77"/>
      <c r="CZL127" s="77"/>
      <c r="CZM127" s="77"/>
      <c r="CZN127" s="77"/>
      <c r="CZO127" s="77"/>
      <c r="CZP127" s="77"/>
      <c r="CZQ127" s="77"/>
      <c r="CZR127" s="77"/>
      <c r="CZS127" s="77"/>
      <c r="CZT127" s="77"/>
      <c r="CZU127" s="77"/>
      <c r="CZV127" s="77"/>
      <c r="CZW127" s="77"/>
      <c r="CZX127" s="77"/>
      <c r="CZY127" s="77"/>
      <c r="CZZ127" s="77"/>
      <c r="DAA127" s="77"/>
      <c r="DAB127" s="77"/>
      <c r="DAC127" s="77"/>
      <c r="DAD127" s="77"/>
      <c r="DAE127" s="77"/>
      <c r="DAF127" s="77"/>
      <c r="DAG127" s="77"/>
      <c r="DAH127" s="77"/>
      <c r="DAI127" s="77"/>
      <c r="DAJ127" s="77"/>
      <c r="DAK127" s="77"/>
      <c r="DAL127" s="77"/>
      <c r="DAM127" s="77"/>
      <c r="DAN127" s="77"/>
      <c r="DAO127" s="77"/>
      <c r="DAP127" s="77"/>
      <c r="DAQ127" s="77"/>
      <c r="DAR127" s="77"/>
      <c r="DAS127" s="77"/>
      <c r="DAT127" s="77"/>
      <c r="DAU127" s="77"/>
      <c r="DAV127" s="77"/>
      <c r="DAW127" s="77"/>
      <c r="DAX127" s="77"/>
      <c r="DAY127" s="77"/>
      <c r="DAZ127" s="77"/>
      <c r="DBA127" s="77"/>
      <c r="DBB127" s="77"/>
      <c r="DBC127" s="77"/>
      <c r="DBD127" s="77"/>
      <c r="DBE127" s="77"/>
      <c r="DBF127" s="77"/>
      <c r="DBG127" s="77"/>
      <c r="DBH127" s="77"/>
      <c r="DBI127" s="77"/>
      <c r="DBJ127" s="77"/>
      <c r="DBK127" s="77"/>
      <c r="DBL127" s="77"/>
      <c r="DBM127" s="77"/>
      <c r="DBN127" s="77"/>
      <c r="DBO127" s="77"/>
      <c r="DBP127" s="77"/>
      <c r="DBQ127" s="77"/>
      <c r="DBR127" s="77"/>
      <c r="DBS127" s="77"/>
      <c r="DBT127" s="77"/>
      <c r="DBU127" s="77"/>
      <c r="DBV127" s="77"/>
      <c r="DBW127" s="77"/>
      <c r="DBX127" s="77"/>
      <c r="DBY127" s="77"/>
      <c r="DBZ127" s="77"/>
      <c r="DCA127" s="77"/>
      <c r="DCB127" s="77"/>
      <c r="DCC127" s="77"/>
      <c r="DCD127" s="77"/>
      <c r="DCE127" s="77"/>
      <c r="DCF127" s="77"/>
      <c r="DCG127" s="77"/>
      <c r="DCH127" s="77"/>
      <c r="DCI127" s="77"/>
      <c r="DCJ127" s="77"/>
      <c r="DCK127" s="77"/>
      <c r="DCL127" s="77"/>
      <c r="DCM127" s="77"/>
      <c r="DCN127" s="77"/>
      <c r="DCO127" s="77"/>
      <c r="DCP127" s="77"/>
      <c r="DCQ127" s="77"/>
      <c r="DCR127" s="77"/>
      <c r="DCS127" s="77"/>
      <c r="DCT127" s="77"/>
      <c r="DCU127" s="77"/>
      <c r="DCV127" s="77"/>
      <c r="DCW127" s="77"/>
      <c r="DCX127" s="77"/>
      <c r="DCY127" s="77"/>
      <c r="DCZ127" s="77"/>
      <c r="DDA127" s="77"/>
      <c r="DDB127" s="77"/>
      <c r="DDC127" s="77"/>
      <c r="DDD127" s="77"/>
      <c r="DDE127" s="77"/>
      <c r="DDF127" s="77"/>
      <c r="DDG127" s="77"/>
      <c r="DDH127" s="77"/>
      <c r="DDI127" s="77"/>
      <c r="DDJ127" s="77"/>
      <c r="DDK127" s="77"/>
      <c r="DDL127" s="77"/>
      <c r="DDM127" s="77"/>
      <c r="DDN127" s="77"/>
      <c r="DDO127" s="77"/>
      <c r="DDP127" s="77"/>
      <c r="DDQ127" s="77"/>
      <c r="DDR127" s="77"/>
      <c r="DDS127" s="77"/>
      <c r="DDT127" s="77"/>
      <c r="DDU127" s="77"/>
      <c r="DDV127" s="77"/>
      <c r="DDW127" s="77"/>
      <c r="DDX127" s="77"/>
      <c r="DDY127" s="77"/>
      <c r="DDZ127" s="77"/>
      <c r="DEA127" s="77"/>
      <c r="DEB127" s="77"/>
      <c r="DEC127" s="77"/>
      <c r="DED127" s="77"/>
      <c r="DEE127" s="77"/>
      <c r="DEF127" s="77"/>
      <c r="DEG127" s="77"/>
      <c r="DEH127" s="77"/>
      <c r="DEI127" s="77"/>
      <c r="DEJ127" s="77"/>
      <c r="DEK127" s="77"/>
      <c r="DEL127" s="77"/>
      <c r="DEM127" s="77"/>
      <c r="DEN127" s="77"/>
      <c r="DEO127" s="77"/>
      <c r="DEP127" s="77"/>
      <c r="DEQ127" s="77"/>
      <c r="DER127" s="77"/>
      <c r="DES127" s="77"/>
      <c r="DET127" s="77"/>
      <c r="DEU127" s="77"/>
      <c r="DEV127" s="77"/>
      <c r="DEW127" s="77"/>
      <c r="DEX127" s="77"/>
      <c r="DEY127" s="77"/>
      <c r="DEZ127" s="77"/>
      <c r="DFA127" s="77"/>
      <c r="DFB127" s="77"/>
      <c r="DFC127" s="77"/>
      <c r="DFD127" s="77"/>
      <c r="DFE127" s="77"/>
      <c r="DFF127" s="77"/>
      <c r="DFG127" s="77"/>
      <c r="DFH127" s="77"/>
      <c r="DFI127" s="77"/>
      <c r="DFJ127" s="77"/>
      <c r="DFK127" s="77"/>
      <c r="DFL127" s="77"/>
      <c r="DFM127" s="77"/>
      <c r="DFN127" s="77"/>
      <c r="DFO127" s="77"/>
      <c r="DFP127" s="77"/>
      <c r="DFQ127" s="77"/>
      <c r="DFR127" s="77"/>
      <c r="DFS127" s="77"/>
      <c r="DFT127" s="77"/>
      <c r="DFU127" s="77"/>
      <c r="DFV127" s="77"/>
      <c r="DFW127" s="77"/>
      <c r="DFX127" s="77"/>
      <c r="DFY127" s="77"/>
      <c r="DFZ127" s="77"/>
      <c r="DGA127" s="77"/>
      <c r="DGB127" s="77"/>
      <c r="DGC127" s="77"/>
      <c r="DGD127" s="77"/>
      <c r="DGE127" s="77"/>
      <c r="DGF127" s="77"/>
      <c r="DGG127" s="77"/>
      <c r="DGH127" s="77"/>
      <c r="DGI127" s="77"/>
      <c r="DGJ127" s="77"/>
      <c r="DGK127" s="77"/>
      <c r="DGL127" s="77"/>
      <c r="DGM127" s="77"/>
      <c r="DGN127" s="77"/>
      <c r="DGO127" s="77"/>
      <c r="DGP127" s="77"/>
      <c r="DGQ127" s="77"/>
      <c r="DGR127" s="77"/>
      <c r="DGS127" s="77"/>
      <c r="DGT127" s="77"/>
      <c r="DGU127" s="77"/>
      <c r="DGV127" s="77"/>
      <c r="DGW127" s="77"/>
      <c r="DGX127" s="77"/>
      <c r="DGY127" s="77"/>
      <c r="DGZ127" s="77"/>
      <c r="DHA127" s="77"/>
      <c r="DHB127" s="77"/>
      <c r="DHC127" s="77"/>
      <c r="DHD127" s="77"/>
      <c r="DHE127" s="77"/>
      <c r="DHF127" s="77"/>
      <c r="DHG127" s="77"/>
      <c r="DHH127" s="77"/>
      <c r="DHI127" s="77"/>
      <c r="DHJ127" s="77"/>
      <c r="DHK127" s="77"/>
      <c r="DHL127" s="77"/>
      <c r="DHM127" s="77"/>
      <c r="DHN127" s="77"/>
      <c r="DHO127" s="77"/>
      <c r="DHP127" s="77"/>
      <c r="DHQ127" s="77"/>
      <c r="DHR127" s="77"/>
      <c r="DHS127" s="77"/>
      <c r="DHT127" s="77"/>
      <c r="DHU127" s="77"/>
      <c r="DHV127" s="77"/>
      <c r="DHW127" s="77"/>
      <c r="DHX127" s="77"/>
      <c r="DHY127" s="77"/>
      <c r="DHZ127" s="77"/>
      <c r="DIA127" s="77"/>
      <c r="DIB127" s="77"/>
      <c r="DIC127" s="77"/>
      <c r="DID127" s="77"/>
      <c r="DIE127" s="77"/>
      <c r="DIF127" s="77"/>
      <c r="DIG127" s="77"/>
      <c r="DIH127" s="77"/>
      <c r="DII127" s="77"/>
      <c r="DIJ127" s="77"/>
      <c r="DIK127" s="77"/>
      <c r="DIL127" s="77"/>
      <c r="DIM127" s="77"/>
      <c r="DIN127" s="77"/>
      <c r="DIO127" s="77"/>
      <c r="DIP127" s="77"/>
      <c r="DIQ127" s="77"/>
      <c r="DIR127" s="77"/>
      <c r="DIS127" s="77"/>
      <c r="DIT127" s="77"/>
      <c r="DIU127" s="77"/>
      <c r="DIV127" s="77"/>
      <c r="DIW127" s="77"/>
      <c r="DIX127" s="77"/>
      <c r="DIY127" s="77"/>
      <c r="DIZ127" s="77"/>
      <c r="DJA127" s="77"/>
      <c r="DJB127" s="77"/>
      <c r="DJC127" s="77"/>
      <c r="DJD127" s="77"/>
      <c r="DJE127" s="77"/>
      <c r="DJF127" s="77"/>
      <c r="DJG127" s="77"/>
      <c r="DJH127" s="77"/>
      <c r="DJI127" s="77"/>
      <c r="DJJ127" s="77"/>
      <c r="DJK127" s="77"/>
      <c r="DJL127" s="77"/>
      <c r="DJM127" s="77"/>
      <c r="DJN127" s="77"/>
      <c r="DJO127" s="77"/>
      <c r="DJP127" s="77"/>
      <c r="DJQ127" s="77"/>
      <c r="DJR127" s="77"/>
      <c r="DJS127" s="77"/>
      <c r="DJT127" s="77"/>
      <c r="DJU127" s="77"/>
      <c r="DJV127" s="77"/>
      <c r="DJW127" s="77"/>
      <c r="DJX127" s="77"/>
      <c r="DJY127" s="77"/>
      <c r="DJZ127" s="77"/>
      <c r="DKA127" s="77"/>
      <c r="DKB127" s="77"/>
      <c r="DKC127" s="77"/>
      <c r="DKD127" s="77"/>
      <c r="DKE127" s="77"/>
      <c r="DKF127" s="77"/>
      <c r="DKG127" s="77"/>
      <c r="DKH127" s="77"/>
      <c r="DKI127" s="77"/>
      <c r="DKJ127" s="77"/>
      <c r="DKK127" s="77"/>
      <c r="DKL127" s="77"/>
      <c r="DKM127" s="77"/>
      <c r="DKN127" s="77"/>
      <c r="DKO127" s="77"/>
      <c r="DKP127" s="77"/>
      <c r="DKQ127" s="77"/>
      <c r="DKR127" s="77"/>
      <c r="DKS127" s="77"/>
      <c r="DKT127" s="77"/>
      <c r="DKU127" s="77"/>
      <c r="DKV127" s="77"/>
      <c r="DKW127" s="77"/>
      <c r="DKX127" s="77"/>
      <c r="DKY127" s="77"/>
      <c r="DKZ127" s="77"/>
      <c r="DLA127" s="77"/>
      <c r="DLB127" s="77"/>
      <c r="DLC127" s="77"/>
      <c r="DLD127" s="77"/>
      <c r="DLE127" s="77"/>
      <c r="DLF127" s="77"/>
      <c r="DLG127" s="77"/>
      <c r="DLH127" s="77"/>
      <c r="DLI127" s="77"/>
      <c r="DLJ127" s="77"/>
      <c r="DLK127" s="77"/>
      <c r="DLL127" s="77"/>
      <c r="DLM127" s="77"/>
      <c r="DLN127" s="77"/>
      <c r="DLO127" s="77"/>
      <c r="DLP127" s="77"/>
      <c r="DLQ127" s="77"/>
      <c r="DLR127" s="77"/>
      <c r="DLS127" s="77"/>
      <c r="DLT127" s="77"/>
      <c r="DLU127" s="77"/>
      <c r="DLV127" s="77"/>
      <c r="DLW127" s="77"/>
      <c r="DLX127" s="77"/>
      <c r="DLY127" s="77"/>
      <c r="DLZ127" s="77"/>
      <c r="DMA127" s="77"/>
      <c r="DMB127" s="77"/>
      <c r="DMC127" s="77"/>
      <c r="DMD127" s="77"/>
      <c r="DME127" s="77"/>
      <c r="DMF127" s="77"/>
      <c r="DMG127" s="77"/>
      <c r="DMH127" s="77"/>
      <c r="DMI127" s="77"/>
      <c r="DMJ127" s="77"/>
      <c r="DMK127" s="77"/>
      <c r="DML127" s="77"/>
      <c r="DMM127" s="77"/>
      <c r="DMN127" s="77"/>
      <c r="DMO127" s="77"/>
      <c r="DMP127" s="77"/>
      <c r="DMQ127" s="77"/>
      <c r="DMR127" s="77"/>
      <c r="DMS127" s="77"/>
      <c r="DMT127" s="77"/>
      <c r="DMU127" s="77"/>
      <c r="DMV127" s="77"/>
      <c r="DMW127" s="77"/>
      <c r="DMX127" s="77"/>
      <c r="DMY127" s="77"/>
      <c r="DMZ127" s="77"/>
      <c r="DNA127" s="77"/>
      <c r="DNB127" s="77"/>
      <c r="DNC127" s="77"/>
      <c r="DND127" s="77"/>
      <c r="DNE127" s="77"/>
      <c r="DNF127" s="77"/>
      <c r="DNG127" s="77"/>
      <c r="DNH127" s="77"/>
      <c r="DNI127" s="77"/>
      <c r="DNJ127" s="77"/>
      <c r="DNK127" s="77"/>
      <c r="DNL127" s="77"/>
      <c r="DNM127" s="77"/>
      <c r="DNN127" s="77"/>
      <c r="DNO127" s="77"/>
      <c r="DNP127" s="77"/>
      <c r="DNQ127" s="77"/>
      <c r="DNR127" s="77"/>
      <c r="DNS127" s="77"/>
      <c r="DNT127" s="77"/>
      <c r="DNU127" s="77"/>
      <c r="DNV127" s="77"/>
      <c r="DNW127" s="77"/>
      <c r="DNX127" s="77"/>
      <c r="DNY127" s="77"/>
      <c r="DNZ127" s="77"/>
      <c r="DOA127" s="77"/>
      <c r="DOB127" s="77"/>
      <c r="DOC127" s="77"/>
      <c r="DOD127" s="77"/>
      <c r="DOE127" s="77"/>
      <c r="DOF127" s="77"/>
      <c r="DOG127" s="77"/>
      <c r="DOH127" s="77"/>
      <c r="DOI127" s="77"/>
      <c r="DOJ127" s="77"/>
      <c r="DOK127" s="77"/>
      <c r="DOL127" s="77"/>
      <c r="DOM127" s="77"/>
      <c r="DON127" s="77"/>
      <c r="DOO127" s="77"/>
      <c r="DOP127" s="77"/>
      <c r="DOQ127" s="77"/>
      <c r="DOR127" s="77"/>
      <c r="DOS127" s="77"/>
      <c r="DOT127" s="77"/>
      <c r="DOU127" s="77"/>
      <c r="DOV127" s="77"/>
      <c r="DOW127" s="77"/>
      <c r="DOX127" s="77"/>
      <c r="DOY127" s="77"/>
      <c r="DOZ127" s="77"/>
      <c r="DPA127" s="77"/>
      <c r="DPB127" s="77"/>
      <c r="DPC127" s="77"/>
      <c r="DPD127" s="77"/>
      <c r="DPE127" s="77"/>
      <c r="DPF127" s="77"/>
      <c r="DPG127" s="77"/>
      <c r="DPH127" s="77"/>
      <c r="DPI127" s="77"/>
      <c r="DPJ127" s="77"/>
      <c r="DPK127" s="77"/>
      <c r="DPL127" s="77"/>
      <c r="DPM127" s="77"/>
      <c r="DPN127" s="77"/>
      <c r="DPO127" s="77"/>
      <c r="DPP127" s="77"/>
      <c r="DPQ127" s="77"/>
      <c r="DPR127" s="77"/>
      <c r="DPS127" s="77"/>
      <c r="DPT127" s="77"/>
      <c r="DPU127" s="77"/>
      <c r="DPV127" s="77"/>
      <c r="DPW127" s="77"/>
      <c r="DPX127" s="77"/>
      <c r="DPY127" s="77"/>
      <c r="DPZ127" s="77"/>
      <c r="DQA127" s="77"/>
      <c r="DQB127" s="77"/>
      <c r="DQC127" s="77"/>
      <c r="DQD127" s="77"/>
      <c r="DQE127" s="77"/>
      <c r="DQF127" s="77"/>
      <c r="DQG127" s="77"/>
      <c r="DQH127" s="77"/>
      <c r="DQI127" s="77"/>
      <c r="DQJ127" s="77"/>
      <c r="DQK127" s="77"/>
      <c r="DQL127" s="77"/>
      <c r="DQM127" s="77"/>
      <c r="DQN127" s="77"/>
      <c r="DQO127" s="77"/>
      <c r="DQP127" s="77"/>
      <c r="DQQ127" s="77"/>
      <c r="DQR127" s="77"/>
      <c r="DQS127" s="77"/>
      <c r="DQT127" s="77"/>
      <c r="DQU127" s="77"/>
      <c r="DQV127" s="77"/>
      <c r="DQW127" s="77"/>
      <c r="DQX127" s="77"/>
      <c r="DQY127" s="77"/>
      <c r="DQZ127" s="77"/>
      <c r="DRA127" s="77"/>
      <c r="DRB127" s="77"/>
      <c r="DRC127" s="77"/>
      <c r="DRD127" s="77"/>
      <c r="DRE127" s="77"/>
      <c r="DRF127" s="77"/>
      <c r="DRG127" s="77"/>
      <c r="DRH127" s="77"/>
      <c r="DRI127" s="77"/>
      <c r="DRJ127" s="77"/>
      <c r="DRK127" s="77"/>
      <c r="DRL127" s="77"/>
      <c r="DRM127" s="77"/>
      <c r="DRN127" s="77"/>
      <c r="DRO127" s="77"/>
      <c r="DRP127" s="77"/>
      <c r="DRQ127" s="77"/>
      <c r="DRR127" s="77"/>
      <c r="DRS127" s="77"/>
      <c r="DRT127" s="77"/>
      <c r="DRU127" s="77"/>
      <c r="DRV127" s="77"/>
      <c r="DRW127" s="77"/>
      <c r="DRX127" s="77"/>
      <c r="DRY127" s="77"/>
      <c r="DRZ127" s="77"/>
      <c r="DSA127" s="77"/>
      <c r="DSB127" s="77"/>
      <c r="DSC127" s="77"/>
      <c r="DSD127" s="77"/>
      <c r="DSE127" s="77"/>
      <c r="DSF127" s="77"/>
      <c r="DSG127" s="77"/>
      <c r="DSH127" s="77"/>
      <c r="DSI127" s="77"/>
      <c r="DSJ127" s="77"/>
      <c r="DSK127" s="77"/>
      <c r="DSL127" s="77"/>
      <c r="DSM127" s="77"/>
      <c r="DSN127" s="77"/>
      <c r="DSO127" s="77"/>
      <c r="DSP127" s="77"/>
      <c r="DSQ127" s="77"/>
      <c r="DSR127" s="77"/>
      <c r="DSS127" s="77"/>
      <c r="DST127" s="77"/>
      <c r="DSU127" s="77"/>
      <c r="DSV127" s="77"/>
      <c r="DSW127" s="77"/>
      <c r="DSX127" s="77"/>
      <c r="DSY127" s="77"/>
      <c r="DSZ127" s="77"/>
      <c r="DTA127" s="77"/>
      <c r="DTB127" s="77"/>
      <c r="DTC127" s="77"/>
      <c r="DTD127" s="77"/>
      <c r="DTE127" s="77"/>
      <c r="DTF127" s="77"/>
      <c r="DTG127" s="77"/>
      <c r="DTH127" s="77"/>
      <c r="DTI127" s="77"/>
      <c r="DTJ127" s="77"/>
      <c r="DTK127" s="77"/>
      <c r="DTL127" s="77"/>
      <c r="DTM127" s="77"/>
      <c r="DTN127" s="77"/>
      <c r="DTO127" s="77"/>
      <c r="DTP127" s="77"/>
      <c r="DTQ127" s="77"/>
      <c r="DTR127" s="77"/>
      <c r="DTS127" s="77"/>
      <c r="DTT127" s="77"/>
      <c r="DTU127" s="77"/>
      <c r="DTV127" s="77"/>
      <c r="DTW127" s="77"/>
      <c r="DTX127" s="77"/>
      <c r="DTY127" s="77"/>
      <c r="DTZ127" s="77"/>
      <c r="DUA127" s="77"/>
      <c r="DUB127" s="77"/>
      <c r="DUC127" s="77"/>
      <c r="DUD127" s="77"/>
      <c r="DUE127" s="77"/>
      <c r="DUF127" s="77"/>
      <c r="DUG127" s="77"/>
      <c r="DUH127" s="77"/>
      <c r="DUI127" s="77"/>
      <c r="DUJ127" s="77"/>
      <c r="DUK127" s="77"/>
      <c r="DUL127" s="77"/>
      <c r="DUM127" s="77"/>
      <c r="DUN127" s="77"/>
      <c r="DUO127" s="77"/>
      <c r="DUP127" s="77"/>
      <c r="DUQ127" s="77"/>
      <c r="DUR127" s="77"/>
      <c r="DUS127" s="77"/>
      <c r="DUT127" s="77"/>
      <c r="DUU127" s="77"/>
      <c r="DUV127" s="77"/>
      <c r="DUW127" s="77"/>
      <c r="DUX127" s="77"/>
      <c r="DUY127" s="77"/>
      <c r="DUZ127" s="77"/>
      <c r="DVA127" s="77"/>
      <c r="DVB127" s="77"/>
      <c r="DVC127" s="77"/>
      <c r="DVD127" s="77"/>
      <c r="DVE127" s="77"/>
      <c r="DVF127" s="77"/>
      <c r="DVG127" s="77"/>
      <c r="DVH127" s="77"/>
      <c r="DVI127" s="77"/>
      <c r="DVJ127" s="77"/>
      <c r="DVK127" s="77"/>
      <c r="DVL127" s="77"/>
      <c r="DVM127" s="77"/>
      <c r="DVN127" s="77"/>
      <c r="DVO127" s="77"/>
      <c r="DVP127" s="77"/>
      <c r="DVQ127" s="77"/>
      <c r="DVR127" s="77"/>
      <c r="DVS127" s="77"/>
      <c r="DVT127" s="77"/>
      <c r="DVU127" s="77"/>
      <c r="DVV127" s="77"/>
      <c r="DVW127" s="77"/>
      <c r="DVX127" s="77"/>
      <c r="DVY127" s="77"/>
      <c r="DVZ127" s="77"/>
      <c r="DWA127" s="77"/>
      <c r="DWB127" s="77"/>
      <c r="DWC127" s="77"/>
      <c r="DWD127" s="77"/>
      <c r="DWE127" s="77"/>
      <c r="DWF127" s="77"/>
      <c r="DWG127" s="77"/>
      <c r="DWH127" s="77"/>
      <c r="DWI127" s="77"/>
      <c r="DWJ127" s="77"/>
      <c r="DWK127" s="77"/>
      <c r="DWL127" s="77"/>
      <c r="DWM127" s="77"/>
      <c r="DWN127" s="77"/>
      <c r="DWO127" s="77"/>
      <c r="DWP127" s="77"/>
      <c r="DWQ127" s="77"/>
      <c r="DWR127" s="77"/>
      <c r="DWS127" s="77"/>
      <c r="DWT127" s="77"/>
      <c r="DWU127" s="77"/>
      <c r="DWV127" s="77"/>
      <c r="DWW127" s="77"/>
      <c r="DWX127" s="77"/>
      <c r="DWY127" s="77"/>
      <c r="DWZ127" s="77"/>
      <c r="DXA127" s="77"/>
      <c r="DXB127" s="77"/>
      <c r="DXC127" s="77"/>
      <c r="DXD127" s="77"/>
      <c r="DXE127" s="77"/>
      <c r="DXF127" s="77"/>
      <c r="DXG127" s="77"/>
      <c r="DXH127" s="77"/>
      <c r="DXI127" s="77"/>
      <c r="DXJ127" s="77"/>
      <c r="DXK127" s="77"/>
      <c r="DXL127" s="77"/>
      <c r="DXM127" s="77"/>
      <c r="DXN127" s="77"/>
      <c r="DXO127" s="77"/>
      <c r="DXP127" s="77"/>
      <c r="DXQ127" s="77"/>
      <c r="DXR127" s="77"/>
      <c r="DXS127" s="77"/>
      <c r="DXT127" s="77"/>
      <c r="DXU127" s="77"/>
      <c r="DXV127" s="77"/>
      <c r="DXW127" s="77"/>
      <c r="DXX127" s="77"/>
      <c r="DXY127" s="77"/>
      <c r="DXZ127" s="77"/>
      <c r="DYA127" s="77"/>
      <c r="DYB127" s="77"/>
      <c r="DYC127" s="77"/>
      <c r="DYD127" s="77"/>
      <c r="DYE127" s="77"/>
      <c r="DYF127" s="77"/>
      <c r="DYG127" s="77"/>
      <c r="DYH127" s="77"/>
      <c r="DYI127" s="77"/>
      <c r="DYJ127" s="77"/>
      <c r="DYK127" s="77"/>
      <c r="DYL127" s="77"/>
      <c r="DYM127" s="77"/>
      <c r="DYN127" s="77"/>
      <c r="DYO127" s="77"/>
      <c r="DYP127" s="77"/>
      <c r="DYQ127" s="77"/>
      <c r="DYR127" s="77"/>
      <c r="DYS127" s="77"/>
      <c r="DYT127" s="77"/>
      <c r="DYU127" s="77"/>
      <c r="DYV127" s="77"/>
      <c r="DYW127" s="77"/>
      <c r="DYX127" s="77"/>
      <c r="DYY127" s="77"/>
      <c r="DYZ127" s="77"/>
      <c r="DZA127" s="77"/>
      <c r="DZB127" s="77"/>
      <c r="DZC127" s="77"/>
      <c r="DZD127" s="77"/>
      <c r="DZE127" s="77"/>
      <c r="DZF127" s="77"/>
      <c r="DZG127" s="77"/>
      <c r="DZH127" s="77"/>
      <c r="DZI127" s="77"/>
      <c r="DZJ127" s="77"/>
      <c r="DZK127" s="77"/>
      <c r="DZL127" s="77"/>
      <c r="DZM127" s="77"/>
      <c r="DZN127" s="77"/>
      <c r="DZO127" s="77"/>
      <c r="DZP127" s="77"/>
      <c r="DZQ127" s="77"/>
      <c r="DZR127" s="77"/>
      <c r="DZS127" s="77"/>
      <c r="DZT127" s="77"/>
      <c r="DZU127" s="77"/>
      <c r="DZV127" s="77"/>
      <c r="DZW127" s="77"/>
      <c r="DZX127" s="77"/>
      <c r="DZY127" s="77"/>
      <c r="DZZ127" s="77"/>
      <c r="EAA127" s="77"/>
      <c r="EAB127" s="77"/>
      <c r="EAC127" s="77"/>
      <c r="EAD127" s="77"/>
      <c r="EAE127" s="77"/>
      <c r="EAF127" s="77"/>
      <c r="EAG127" s="77"/>
      <c r="EAH127" s="77"/>
      <c r="EAI127" s="77"/>
      <c r="EAJ127" s="77"/>
      <c r="EAK127" s="77"/>
      <c r="EAL127" s="77"/>
      <c r="EAM127" s="77"/>
      <c r="EAN127" s="77"/>
      <c r="EAO127" s="77"/>
      <c r="EAP127" s="77"/>
      <c r="EAQ127" s="77"/>
      <c r="EAR127" s="77"/>
      <c r="EAS127" s="77"/>
      <c r="EAT127" s="77"/>
      <c r="EAU127" s="77"/>
      <c r="EAV127" s="77"/>
      <c r="EAW127" s="77"/>
      <c r="EAX127" s="77"/>
      <c r="EAY127" s="77"/>
      <c r="EAZ127" s="77"/>
      <c r="EBA127" s="77"/>
      <c r="EBB127" s="77"/>
      <c r="EBC127" s="77"/>
      <c r="EBD127" s="77"/>
      <c r="EBE127" s="77"/>
      <c r="EBF127" s="77"/>
      <c r="EBG127" s="77"/>
      <c r="EBH127" s="77"/>
      <c r="EBI127" s="77"/>
      <c r="EBJ127" s="77"/>
      <c r="EBK127" s="77"/>
      <c r="EBL127" s="77"/>
      <c r="EBM127" s="77"/>
      <c r="EBN127" s="77"/>
      <c r="EBO127" s="77"/>
      <c r="EBP127" s="77"/>
      <c r="EBQ127" s="77"/>
      <c r="EBR127" s="77"/>
      <c r="EBS127" s="77"/>
      <c r="EBT127" s="77"/>
      <c r="EBU127" s="77"/>
      <c r="EBV127" s="77"/>
      <c r="EBW127" s="77"/>
      <c r="EBX127" s="77"/>
      <c r="EBY127" s="77"/>
      <c r="EBZ127" s="77"/>
      <c r="ECA127" s="77"/>
      <c r="ECB127" s="77"/>
      <c r="ECC127" s="77"/>
      <c r="ECD127" s="77"/>
      <c r="ECE127" s="77"/>
      <c r="ECF127" s="77"/>
      <c r="ECG127" s="77"/>
      <c r="ECH127" s="77"/>
      <c r="ECI127" s="77"/>
      <c r="ECJ127" s="77"/>
      <c r="ECK127" s="77"/>
      <c r="ECL127" s="77"/>
      <c r="ECM127" s="77"/>
      <c r="ECN127" s="77"/>
      <c r="ECO127" s="77"/>
      <c r="ECP127" s="77"/>
      <c r="ECQ127" s="77"/>
      <c r="ECR127" s="77"/>
      <c r="ECS127" s="77"/>
      <c r="ECT127" s="77"/>
      <c r="ECU127" s="77"/>
      <c r="ECV127" s="77"/>
      <c r="ECW127" s="77"/>
      <c r="ECX127" s="77"/>
      <c r="ECY127" s="77"/>
      <c r="ECZ127" s="77"/>
      <c r="EDA127" s="77"/>
      <c r="EDB127" s="77"/>
      <c r="EDC127" s="77"/>
      <c r="EDD127" s="77"/>
      <c r="EDE127" s="77"/>
      <c r="EDF127" s="77"/>
      <c r="EDG127" s="77"/>
      <c r="EDH127" s="77"/>
      <c r="EDI127" s="77"/>
      <c r="EDJ127" s="77"/>
      <c r="EDK127" s="77"/>
      <c r="EDL127" s="77"/>
      <c r="EDM127" s="77"/>
      <c r="EDN127" s="77"/>
      <c r="EDO127" s="77"/>
      <c r="EDP127" s="77"/>
      <c r="EDQ127" s="77"/>
      <c r="EDR127" s="77"/>
      <c r="EDS127" s="77"/>
      <c r="EDT127" s="77"/>
      <c r="EDU127" s="77"/>
      <c r="EDV127" s="77"/>
      <c r="EDW127" s="77"/>
      <c r="EDX127" s="77"/>
      <c r="EDY127" s="77"/>
      <c r="EDZ127" s="77"/>
      <c r="EEA127" s="77"/>
      <c r="EEB127" s="77"/>
      <c r="EEC127" s="77"/>
      <c r="EED127" s="77"/>
      <c r="EEE127" s="77"/>
      <c r="EEF127" s="77"/>
      <c r="EEG127" s="77"/>
      <c r="EEH127" s="77"/>
      <c r="EEI127" s="77"/>
      <c r="EEJ127" s="77"/>
      <c r="EEK127" s="77"/>
      <c r="EEL127" s="77"/>
      <c r="EEM127" s="77"/>
      <c r="EEN127" s="77"/>
      <c r="EEO127" s="77"/>
      <c r="EEP127" s="77"/>
      <c r="EEQ127" s="77"/>
      <c r="EER127" s="77"/>
      <c r="EES127" s="77"/>
      <c r="EET127" s="77"/>
      <c r="EEU127" s="77"/>
      <c r="EEV127" s="77"/>
      <c r="EEW127" s="77"/>
      <c r="EEX127" s="77"/>
      <c r="EEY127" s="77"/>
      <c r="EEZ127" s="77"/>
      <c r="EFA127" s="77"/>
      <c r="EFB127" s="77"/>
      <c r="EFC127" s="77"/>
      <c r="EFD127" s="77"/>
      <c r="EFE127" s="77"/>
      <c r="EFF127" s="77"/>
      <c r="EFG127" s="77"/>
      <c r="EFH127" s="77"/>
      <c r="EFI127" s="77"/>
      <c r="EFJ127" s="77"/>
      <c r="EFK127" s="77"/>
      <c r="EFL127" s="77"/>
      <c r="EFM127" s="77"/>
      <c r="EFN127" s="77"/>
      <c r="EFO127" s="77"/>
      <c r="EFP127" s="77"/>
      <c r="EFQ127" s="77"/>
      <c r="EFR127" s="77"/>
      <c r="EFS127" s="77"/>
      <c r="EFT127" s="77"/>
      <c r="EFU127" s="77"/>
      <c r="EFV127" s="77"/>
      <c r="EFW127" s="77"/>
      <c r="EFX127" s="77"/>
      <c r="EFY127" s="77"/>
      <c r="EFZ127" s="77"/>
      <c r="EGA127" s="77"/>
      <c r="EGB127" s="77"/>
      <c r="EGC127" s="77"/>
      <c r="EGD127" s="77"/>
      <c r="EGE127" s="77"/>
      <c r="EGF127" s="77"/>
      <c r="EGG127" s="77"/>
      <c r="EGH127" s="77"/>
      <c r="EGI127" s="77"/>
      <c r="EGJ127" s="77"/>
      <c r="EGK127" s="77"/>
      <c r="EGL127" s="77"/>
      <c r="EGM127" s="77"/>
      <c r="EGN127" s="77"/>
      <c r="EGO127" s="77"/>
      <c r="EGP127" s="77"/>
      <c r="EGQ127" s="77"/>
      <c r="EGR127" s="77"/>
      <c r="EGS127" s="77"/>
      <c r="EGT127" s="77"/>
      <c r="EGU127" s="77"/>
      <c r="EGV127" s="77"/>
      <c r="EGW127" s="77"/>
      <c r="EGX127" s="77"/>
      <c r="EGY127" s="77"/>
      <c r="EGZ127" s="77"/>
      <c r="EHA127" s="77"/>
      <c r="EHB127" s="77"/>
      <c r="EHC127" s="77"/>
      <c r="EHD127" s="77"/>
      <c r="EHE127" s="77"/>
      <c r="EHF127" s="77"/>
      <c r="EHG127" s="77"/>
      <c r="EHH127" s="77"/>
      <c r="EHI127" s="77"/>
      <c r="EHJ127" s="77"/>
      <c r="EHK127" s="77"/>
      <c r="EHL127" s="77"/>
      <c r="EHM127" s="77"/>
      <c r="EHN127" s="77"/>
      <c r="EHO127" s="77"/>
      <c r="EHP127" s="77"/>
      <c r="EHQ127" s="77"/>
      <c r="EHR127" s="77"/>
      <c r="EHS127" s="77"/>
      <c r="EHT127" s="77"/>
      <c r="EHU127" s="77"/>
      <c r="EHV127" s="77"/>
      <c r="EHW127" s="77"/>
      <c r="EHX127" s="77"/>
      <c r="EHY127" s="77"/>
      <c r="EHZ127" s="77"/>
      <c r="EIA127" s="77"/>
      <c r="EIB127" s="77"/>
      <c r="EIC127" s="77"/>
      <c r="EID127" s="77"/>
      <c r="EIE127" s="77"/>
      <c r="EIF127" s="77"/>
      <c r="EIG127" s="77"/>
      <c r="EIH127" s="77"/>
      <c r="EII127" s="77"/>
      <c r="EIJ127" s="77"/>
      <c r="EIK127" s="77"/>
      <c r="EIL127" s="77"/>
      <c r="EIM127" s="77"/>
      <c r="EIN127" s="77"/>
      <c r="EIO127" s="77"/>
      <c r="EIP127" s="77"/>
      <c r="EIQ127" s="77"/>
      <c r="EIR127" s="77"/>
      <c r="EIS127" s="77"/>
      <c r="EIT127" s="77"/>
      <c r="EIU127" s="77"/>
      <c r="EIV127" s="77"/>
      <c r="EIW127" s="77"/>
      <c r="EIX127" s="77"/>
      <c r="EIY127" s="77"/>
      <c r="EIZ127" s="77"/>
      <c r="EJA127" s="77"/>
      <c r="EJB127" s="77"/>
      <c r="EJC127" s="77"/>
      <c r="EJD127" s="77"/>
      <c r="EJE127" s="77"/>
      <c r="EJF127" s="77"/>
      <c r="EJG127" s="77"/>
      <c r="EJH127" s="77"/>
      <c r="EJI127" s="77"/>
      <c r="EJJ127" s="77"/>
      <c r="EJK127" s="77"/>
      <c r="EJL127" s="77"/>
      <c r="EJM127" s="77"/>
      <c r="EJN127" s="77"/>
      <c r="EJO127" s="77"/>
      <c r="EJP127" s="77"/>
      <c r="EJQ127" s="77"/>
      <c r="EJR127" s="77"/>
      <c r="EJS127" s="77"/>
      <c r="EJT127" s="77"/>
      <c r="EJU127" s="77"/>
      <c r="EJV127" s="77"/>
      <c r="EJW127" s="77"/>
      <c r="EJX127" s="77"/>
      <c r="EJY127" s="77"/>
      <c r="EJZ127" s="77"/>
      <c r="EKA127" s="77"/>
      <c r="EKB127" s="77"/>
      <c r="EKC127" s="77"/>
      <c r="EKD127" s="77"/>
      <c r="EKE127" s="77"/>
      <c r="EKF127" s="77"/>
      <c r="EKG127" s="77"/>
      <c r="EKH127" s="77"/>
      <c r="EKI127" s="77"/>
      <c r="EKJ127" s="77"/>
      <c r="EKK127" s="77"/>
      <c r="EKL127" s="77"/>
      <c r="EKM127" s="77"/>
      <c r="EKN127" s="77"/>
      <c r="EKO127" s="77"/>
      <c r="EKP127" s="77"/>
      <c r="EKQ127" s="77"/>
      <c r="EKR127" s="77"/>
      <c r="EKS127" s="77"/>
      <c r="EKT127" s="77"/>
      <c r="EKU127" s="77"/>
      <c r="EKV127" s="77"/>
      <c r="EKW127" s="77"/>
      <c r="EKX127" s="77"/>
      <c r="EKY127" s="77"/>
      <c r="EKZ127" s="77"/>
      <c r="ELA127" s="77"/>
      <c r="ELB127" s="77"/>
      <c r="ELC127" s="77"/>
      <c r="ELD127" s="77"/>
      <c r="ELE127" s="77"/>
      <c r="ELF127" s="77"/>
      <c r="ELG127" s="77"/>
      <c r="ELH127" s="77"/>
      <c r="ELI127" s="77"/>
      <c r="ELJ127" s="77"/>
      <c r="ELK127" s="77"/>
      <c r="ELL127" s="77"/>
      <c r="ELM127" s="77"/>
      <c r="ELN127" s="77"/>
      <c r="ELO127" s="77"/>
      <c r="ELP127" s="77"/>
      <c r="ELQ127" s="77"/>
      <c r="ELR127" s="77"/>
      <c r="ELS127" s="77"/>
      <c r="ELT127" s="77"/>
      <c r="ELU127" s="77"/>
      <c r="ELV127" s="77"/>
      <c r="ELW127" s="77"/>
      <c r="ELX127" s="77"/>
      <c r="ELY127" s="77"/>
      <c r="ELZ127" s="77"/>
      <c r="EMA127" s="77"/>
      <c r="EMB127" s="77"/>
      <c r="EMC127" s="77"/>
      <c r="EMD127" s="77"/>
      <c r="EME127" s="77"/>
      <c r="EMF127" s="77"/>
      <c r="EMG127" s="77"/>
      <c r="EMH127" s="77"/>
      <c r="EMI127" s="77"/>
      <c r="EMJ127" s="77"/>
      <c r="EMK127" s="77"/>
      <c r="EML127" s="77"/>
      <c r="EMM127" s="77"/>
      <c r="EMN127" s="77"/>
      <c r="EMO127" s="77"/>
      <c r="EMP127" s="77"/>
      <c r="EMQ127" s="77"/>
      <c r="EMR127" s="77"/>
      <c r="EMS127" s="77"/>
      <c r="EMT127" s="77"/>
      <c r="EMU127" s="77"/>
      <c r="EMV127" s="77"/>
      <c r="EMW127" s="77"/>
      <c r="EMX127" s="77"/>
      <c r="EMY127" s="77"/>
      <c r="EMZ127" s="77"/>
      <c r="ENA127" s="77"/>
      <c r="ENB127" s="77"/>
      <c r="ENC127" s="77"/>
      <c r="END127" s="77"/>
      <c r="ENE127" s="77"/>
      <c r="ENF127" s="77"/>
      <c r="ENG127" s="77"/>
      <c r="ENH127" s="77"/>
      <c r="ENI127" s="77"/>
      <c r="ENJ127" s="77"/>
      <c r="ENK127" s="77"/>
      <c r="ENL127" s="77"/>
      <c r="ENM127" s="77"/>
      <c r="ENN127" s="77"/>
      <c r="ENO127" s="77"/>
      <c r="ENP127" s="77"/>
      <c r="ENQ127" s="77"/>
      <c r="ENR127" s="77"/>
      <c r="ENS127" s="77"/>
      <c r="ENT127" s="77"/>
      <c r="ENU127" s="77"/>
      <c r="ENV127" s="77"/>
      <c r="ENW127" s="77"/>
      <c r="ENX127" s="77"/>
      <c r="ENY127" s="77"/>
      <c r="ENZ127" s="77"/>
      <c r="EOA127" s="77"/>
      <c r="EOB127" s="77"/>
      <c r="EOC127" s="77"/>
      <c r="EOD127" s="77"/>
      <c r="EOE127" s="77"/>
      <c r="EOF127" s="77"/>
      <c r="EOG127" s="77"/>
      <c r="EOH127" s="77"/>
      <c r="EOI127" s="77"/>
      <c r="EOJ127" s="77"/>
      <c r="EOK127" s="77"/>
      <c r="EOL127" s="77"/>
      <c r="EOM127" s="77"/>
      <c r="EON127" s="77"/>
      <c r="EOO127" s="77"/>
      <c r="EOP127" s="77"/>
      <c r="EOQ127" s="77"/>
      <c r="EOR127" s="77"/>
      <c r="EOS127" s="77"/>
      <c r="EOT127" s="77"/>
      <c r="EOU127" s="77"/>
      <c r="EOV127" s="77"/>
      <c r="EOW127" s="77"/>
      <c r="EOX127" s="77"/>
      <c r="EOY127" s="77"/>
      <c r="EOZ127" s="77"/>
      <c r="EPA127" s="77"/>
      <c r="EPB127" s="77"/>
      <c r="EPC127" s="77"/>
      <c r="EPD127" s="77"/>
      <c r="EPE127" s="77"/>
      <c r="EPF127" s="77"/>
      <c r="EPG127" s="77"/>
      <c r="EPH127" s="77"/>
      <c r="EPI127" s="77"/>
      <c r="EPJ127" s="77"/>
      <c r="EPK127" s="77"/>
      <c r="EPL127" s="77"/>
      <c r="EPM127" s="77"/>
      <c r="EPN127" s="77"/>
      <c r="EPO127" s="77"/>
      <c r="EPP127" s="77"/>
      <c r="EPQ127" s="77"/>
      <c r="EPR127" s="77"/>
      <c r="EPS127" s="77"/>
      <c r="EPT127" s="77"/>
      <c r="EPU127" s="77"/>
      <c r="EPV127" s="77"/>
      <c r="EPW127" s="77"/>
      <c r="EPX127" s="77"/>
      <c r="EPY127" s="77"/>
      <c r="EPZ127" s="77"/>
      <c r="EQA127" s="77"/>
      <c r="EQB127" s="77"/>
      <c r="EQC127" s="77"/>
      <c r="EQD127" s="77"/>
      <c r="EQE127" s="77"/>
      <c r="EQF127" s="77"/>
      <c r="EQG127" s="77"/>
      <c r="EQH127" s="77"/>
      <c r="EQI127" s="77"/>
      <c r="EQJ127" s="77"/>
      <c r="EQK127" s="77"/>
      <c r="EQL127" s="77"/>
      <c r="EQM127" s="77"/>
      <c r="EQN127" s="77"/>
      <c r="EQO127" s="77"/>
      <c r="EQP127" s="77"/>
      <c r="EQQ127" s="77"/>
      <c r="EQR127" s="77"/>
      <c r="EQS127" s="77"/>
      <c r="EQT127" s="77"/>
      <c r="EQU127" s="77"/>
      <c r="EQV127" s="77"/>
      <c r="EQW127" s="77"/>
      <c r="EQX127" s="77"/>
      <c r="EQY127" s="77"/>
      <c r="EQZ127" s="77"/>
      <c r="ERA127" s="77"/>
      <c r="ERB127" s="77"/>
      <c r="ERC127" s="77"/>
      <c r="ERD127" s="77"/>
      <c r="ERE127" s="77"/>
      <c r="ERF127" s="77"/>
      <c r="ERG127" s="77"/>
      <c r="ERH127" s="77"/>
      <c r="ERI127" s="77"/>
      <c r="ERJ127" s="77"/>
      <c r="ERK127" s="77"/>
      <c r="ERL127" s="77"/>
      <c r="ERM127" s="77"/>
      <c r="ERN127" s="77"/>
      <c r="ERO127" s="77"/>
      <c r="ERP127" s="77"/>
      <c r="ERQ127" s="77"/>
      <c r="ERR127" s="77"/>
      <c r="ERS127" s="77"/>
      <c r="ERT127" s="77"/>
      <c r="ERU127" s="77"/>
      <c r="ERV127" s="77"/>
      <c r="ERW127" s="77"/>
      <c r="ERX127" s="77"/>
      <c r="ERY127" s="77"/>
      <c r="ERZ127" s="77"/>
      <c r="ESA127" s="77"/>
      <c r="ESB127" s="77"/>
      <c r="ESC127" s="77"/>
      <c r="ESD127" s="77"/>
      <c r="ESE127" s="77"/>
      <c r="ESF127" s="77"/>
      <c r="ESG127" s="77"/>
      <c r="ESH127" s="77"/>
      <c r="ESI127" s="77"/>
      <c r="ESJ127" s="77"/>
      <c r="ESK127" s="77"/>
      <c r="ESL127" s="77"/>
      <c r="ESM127" s="77"/>
      <c r="ESN127" s="77"/>
      <c r="ESO127" s="77"/>
      <c r="ESP127" s="77"/>
      <c r="ESQ127" s="77"/>
      <c r="ESR127" s="77"/>
      <c r="ESS127" s="77"/>
      <c r="EST127" s="77"/>
      <c r="ESU127" s="77"/>
      <c r="ESV127" s="77"/>
      <c r="ESW127" s="77"/>
      <c r="ESX127" s="77"/>
      <c r="ESY127" s="77"/>
      <c r="ESZ127" s="77"/>
      <c r="ETA127" s="77"/>
      <c r="ETB127" s="77"/>
      <c r="ETC127" s="77"/>
      <c r="ETD127" s="77"/>
      <c r="ETE127" s="77"/>
      <c r="ETF127" s="77"/>
      <c r="ETG127" s="77"/>
      <c r="ETH127" s="77"/>
      <c r="ETI127" s="77"/>
      <c r="ETJ127" s="77"/>
      <c r="ETK127" s="77"/>
      <c r="ETL127" s="77"/>
      <c r="ETM127" s="77"/>
      <c r="ETN127" s="77"/>
      <c r="ETO127" s="77"/>
      <c r="ETP127" s="77"/>
      <c r="ETQ127" s="77"/>
      <c r="ETR127" s="77"/>
      <c r="ETS127" s="77"/>
      <c r="ETT127" s="77"/>
      <c r="ETU127" s="77"/>
      <c r="ETV127" s="77"/>
      <c r="ETW127" s="77"/>
      <c r="ETX127" s="77"/>
      <c r="ETY127" s="77"/>
      <c r="ETZ127" s="77"/>
      <c r="EUA127" s="77"/>
      <c r="EUB127" s="77"/>
      <c r="EUC127" s="77"/>
      <c r="EUD127" s="77"/>
      <c r="EUE127" s="77"/>
      <c r="EUF127" s="77"/>
      <c r="EUG127" s="77"/>
      <c r="EUH127" s="77"/>
      <c r="EUI127" s="77"/>
      <c r="EUJ127" s="77"/>
      <c r="EUK127" s="77"/>
      <c r="EUL127" s="77"/>
      <c r="EUM127" s="77"/>
      <c r="EUN127" s="77"/>
      <c r="EUO127" s="77"/>
      <c r="EUP127" s="77"/>
      <c r="EUQ127" s="77"/>
      <c r="EUR127" s="77"/>
      <c r="EUS127" s="77"/>
      <c r="EUT127" s="77"/>
      <c r="EUU127" s="77"/>
      <c r="EUV127" s="77"/>
      <c r="EUW127" s="77"/>
      <c r="EUX127" s="77"/>
      <c r="EUY127" s="77"/>
      <c r="EUZ127" s="77"/>
      <c r="EVA127" s="77"/>
      <c r="EVB127" s="77"/>
      <c r="EVC127" s="77"/>
      <c r="EVD127" s="77"/>
      <c r="EVE127" s="77"/>
      <c r="EVF127" s="77"/>
      <c r="EVG127" s="77"/>
      <c r="EVH127" s="77"/>
      <c r="EVI127" s="77"/>
      <c r="EVJ127" s="77"/>
      <c r="EVK127" s="77"/>
      <c r="EVL127" s="77"/>
      <c r="EVM127" s="77"/>
      <c r="EVN127" s="77"/>
      <c r="EVO127" s="77"/>
      <c r="EVP127" s="77"/>
      <c r="EVQ127" s="77"/>
      <c r="EVR127" s="77"/>
      <c r="EVS127" s="77"/>
      <c r="EVT127" s="77"/>
      <c r="EVU127" s="77"/>
      <c r="EVV127" s="77"/>
      <c r="EVW127" s="77"/>
      <c r="EVX127" s="77"/>
      <c r="EVY127" s="77"/>
      <c r="EVZ127" s="77"/>
      <c r="EWA127" s="77"/>
      <c r="EWB127" s="77"/>
      <c r="EWC127" s="77"/>
      <c r="EWD127" s="77"/>
      <c r="EWE127" s="77"/>
      <c r="EWF127" s="77"/>
      <c r="EWG127" s="77"/>
      <c r="EWH127" s="77"/>
      <c r="EWI127" s="77"/>
      <c r="EWJ127" s="77"/>
      <c r="EWK127" s="77"/>
      <c r="EWL127" s="77"/>
      <c r="EWM127" s="77"/>
      <c r="EWN127" s="77"/>
      <c r="EWO127" s="77"/>
      <c r="EWP127" s="77"/>
      <c r="EWQ127" s="77"/>
      <c r="EWR127" s="77"/>
      <c r="EWS127" s="77"/>
      <c r="EWT127" s="77"/>
      <c r="EWU127" s="77"/>
      <c r="EWV127" s="77"/>
      <c r="EWW127" s="77"/>
      <c r="EWX127" s="77"/>
      <c r="EWY127" s="77"/>
      <c r="EWZ127" s="77"/>
      <c r="EXA127" s="77"/>
      <c r="EXB127" s="77"/>
      <c r="EXC127" s="77"/>
      <c r="EXD127" s="77"/>
      <c r="EXE127" s="77"/>
      <c r="EXF127" s="77"/>
      <c r="EXG127" s="77"/>
      <c r="EXH127" s="77"/>
      <c r="EXI127" s="77"/>
      <c r="EXJ127" s="77"/>
      <c r="EXK127" s="77"/>
      <c r="EXL127" s="77"/>
      <c r="EXM127" s="77"/>
      <c r="EXN127" s="77"/>
      <c r="EXO127" s="77"/>
      <c r="EXP127" s="77"/>
      <c r="EXQ127" s="77"/>
      <c r="EXR127" s="77"/>
      <c r="EXS127" s="77"/>
      <c r="EXT127" s="77"/>
      <c r="EXU127" s="77"/>
      <c r="EXV127" s="77"/>
      <c r="EXW127" s="77"/>
      <c r="EXX127" s="77"/>
      <c r="EXY127" s="77"/>
      <c r="EXZ127" s="77"/>
      <c r="EYA127" s="77"/>
      <c r="EYB127" s="77"/>
      <c r="EYC127" s="77"/>
      <c r="EYD127" s="77"/>
      <c r="EYE127" s="77"/>
      <c r="EYF127" s="77"/>
      <c r="EYG127" s="77"/>
      <c r="EYH127" s="77"/>
      <c r="EYI127" s="77"/>
      <c r="EYJ127" s="77"/>
      <c r="EYK127" s="77"/>
      <c r="EYL127" s="77"/>
      <c r="EYM127" s="77"/>
      <c r="EYN127" s="77"/>
      <c r="EYO127" s="77"/>
      <c r="EYP127" s="77"/>
      <c r="EYQ127" s="77"/>
      <c r="EYR127" s="77"/>
      <c r="EYS127" s="77"/>
      <c r="EYT127" s="77"/>
      <c r="EYU127" s="77"/>
      <c r="EYV127" s="77"/>
      <c r="EYW127" s="77"/>
      <c r="EYX127" s="77"/>
      <c r="EYY127" s="77"/>
      <c r="EYZ127" s="77"/>
      <c r="EZA127" s="77"/>
      <c r="EZB127" s="77"/>
      <c r="EZC127" s="77"/>
      <c r="EZD127" s="77"/>
      <c r="EZE127" s="77"/>
      <c r="EZF127" s="77"/>
      <c r="EZG127" s="77"/>
      <c r="EZH127" s="77"/>
      <c r="EZI127" s="77"/>
      <c r="EZJ127" s="77"/>
      <c r="EZK127" s="77"/>
      <c r="EZL127" s="77"/>
      <c r="EZM127" s="77"/>
      <c r="EZN127" s="77"/>
      <c r="EZO127" s="77"/>
      <c r="EZP127" s="77"/>
      <c r="EZQ127" s="77"/>
      <c r="EZR127" s="77"/>
      <c r="EZS127" s="77"/>
      <c r="EZT127" s="77"/>
      <c r="EZU127" s="77"/>
      <c r="EZV127" s="77"/>
      <c r="EZW127" s="77"/>
      <c r="EZX127" s="77"/>
      <c r="EZY127" s="77"/>
      <c r="EZZ127" s="77"/>
      <c r="FAA127" s="77"/>
      <c r="FAB127" s="77"/>
      <c r="FAC127" s="77"/>
      <c r="FAD127" s="77"/>
      <c r="FAE127" s="77"/>
      <c r="FAF127" s="77"/>
      <c r="FAG127" s="77"/>
      <c r="FAH127" s="77"/>
      <c r="FAI127" s="77"/>
      <c r="FAJ127" s="77"/>
      <c r="FAK127" s="77"/>
      <c r="FAL127" s="77"/>
      <c r="FAM127" s="77"/>
      <c r="FAN127" s="77"/>
      <c r="FAO127" s="77"/>
      <c r="FAP127" s="77"/>
      <c r="FAQ127" s="77"/>
      <c r="FAR127" s="77"/>
      <c r="FAS127" s="77"/>
      <c r="FAT127" s="77"/>
      <c r="FAU127" s="77"/>
      <c r="FAV127" s="77"/>
      <c r="FAW127" s="77"/>
      <c r="FAX127" s="77"/>
      <c r="FAY127" s="77"/>
      <c r="FAZ127" s="77"/>
      <c r="FBA127" s="77"/>
      <c r="FBB127" s="77"/>
      <c r="FBC127" s="77"/>
      <c r="FBD127" s="77"/>
      <c r="FBE127" s="77"/>
      <c r="FBF127" s="77"/>
      <c r="FBG127" s="77"/>
      <c r="FBH127" s="77"/>
      <c r="FBI127" s="77"/>
      <c r="FBJ127" s="77"/>
      <c r="FBK127" s="77"/>
      <c r="FBL127" s="77"/>
      <c r="FBM127" s="77"/>
      <c r="FBN127" s="77"/>
      <c r="FBO127" s="77"/>
      <c r="FBP127" s="77"/>
      <c r="FBQ127" s="77"/>
      <c r="FBR127" s="77"/>
      <c r="FBS127" s="77"/>
      <c r="FBT127" s="77"/>
      <c r="FBU127" s="77"/>
      <c r="FBV127" s="77"/>
      <c r="FBW127" s="77"/>
      <c r="FBX127" s="77"/>
      <c r="FBY127" s="77"/>
      <c r="FBZ127" s="77"/>
      <c r="FCA127" s="77"/>
      <c r="FCB127" s="77"/>
      <c r="FCC127" s="77"/>
      <c r="FCD127" s="77"/>
      <c r="FCE127" s="77"/>
      <c r="FCF127" s="77"/>
      <c r="FCG127" s="77"/>
      <c r="FCH127" s="77"/>
      <c r="FCI127" s="77"/>
      <c r="FCJ127" s="77"/>
      <c r="FCK127" s="77"/>
      <c r="FCL127" s="77"/>
      <c r="FCM127" s="77"/>
      <c r="FCN127" s="77"/>
      <c r="FCO127" s="77"/>
      <c r="FCP127" s="77"/>
      <c r="FCQ127" s="77"/>
      <c r="FCR127" s="77"/>
      <c r="FCS127" s="77"/>
      <c r="FCT127" s="77"/>
      <c r="FCU127" s="77"/>
      <c r="FCV127" s="77"/>
      <c r="FCW127" s="77"/>
      <c r="FCX127" s="77"/>
      <c r="FCY127" s="77"/>
      <c r="FCZ127" s="77"/>
      <c r="FDA127" s="77"/>
      <c r="FDB127" s="77"/>
      <c r="FDC127" s="77"/>
      <c r="FDD127" s="77"/>
      <c r="FDE127" s="77"/>
      <c r="FDF127" s="77"/>
      <c r="FDG127" s="77"/>
      <c r="FDH127" s="77"/>
      <c r="FDI127" s="77"/>
      <c r="FDJ127" s="77"/>
      <c r="FDK127" s="77"/>
      <c r="FDL127" s="77"/>
      <c r="FDM127" s="77"/>
      <c r="FDN127" s="77"/>
      <c r="FDO127" s="77"/>
      <c r="FDP127" s="77"/>
      <c r="FDQ127" s="77"/>
      <c r="FDR127" s="77"/>
      <c r="FDS127" s="77"/>
      <c r="FDT127" s="77"/>
      <c r="FDU127" s="77"/>
      <c r="FDV127" s="77"/>
      <c r="FDW127" s="77"/>
      <c r="FDX127" s="77"/>
      <c r="FDY127" s="77"/>
      <c r="FDZ127" s="77"/>
      <c r="FEA127" s="77"/>
      <c r="FEB127" s="77"/>
      <c r="FEC127" s="77"/>
      <c r="FED127" s="77"/>
      <c r="FEE127" s="77"/>
      <c r="FEF127" s="77"/>
      <c r="FEG127" s="77"/>
      <c r="FEH127" s="77"/>
      <c r="FEI127" s="77"/>
      <c r="FEJ127" s="77"/>
      <c r="FEK127" s="77"/>
      <c r="FEL127" s="77"/>
      <c r="FEM127" s="77"/>
      <c r="FEN127" s="77"/>
      <c r="FEO127" s="77"/>
      <c r="FEP127" s="77"/>
      <c r="FEQ127" s="77"/>
      <c r="FER127" s="77"/>
      <c r="FES127" s="77"/>
      <c r="FET127" s="77"/>
      <c r="FEU127" s="77"/>
      <c r="FEV127" s="77"/>
      <c r="FEW127" s="77"/>
      <c r="FEX127" s="77"/>
      <c r="FEY127" s="77"/>
      <c r="FEZ127" s="77"/>
      <c r="FFA127" s="77"/>
      <c r="FFB127" s="77"/>
      <c r="FFC127" s="77"/>
      <c r="FFD127" s="77"/>
      <c r="FFE127" s="77"/>
      <c r="FFF127" s="77"/>
      <c r="FFG127" s="77"/>
      <c r="FFH127" s="77"/>
      <c r="FFI127" s="77"/>
      <c r="FFJ127" s="77"/>
      <c r="FFK127" s="77"/>
      <c r="FFL127" s="77"/>
      <c r="FFM127" s="77"/>
      <c r="FFN127" s="77"/>
      <c r="FFO127" s="77"/>
      <c r="FFP127" s="77"/>
      <c r="FFQ127" s="77"/>
      <c r="FFR127" s="77"/>
      <c r="FFS127" s="77"/>
      <c r="FFT127" s="77"/>
      <c r="FFU127" s="77"/>
      <c r="FFV127" s="77"/>
      <c r="FFW127" s="77"/>
      <c r="FFX127" s="77"/>
      <c r="FFY127" s="77"/>
      <c r="FFZ127" s="77"/>
      <c r="FGA127" s="77"/>
      <c r="FGB127" s="77"/>
      <c r="FGC127" s="77"/>
      <c r="FGD127" s="77"/>
      <c r="FGE127" s="77"/>
      <c r="FGF127" s="77"/>
      <c r="FGG127" s="77"/>
      <c r="FGH127" s="77"/>
      <c r="FGI127" s="77"/>
      <c r="FGJ127" s="77"/>
      <c r="FGK127" s="77"/>
      <c r="FGL127" s="77"/>
      <c r="FGM127" s="77"/>
      <c r="FGN127" s="77"/>
      <c r="FGO127" s="77"/>
      <c r="FGP127" s="77"/>
      <c r="FGQ127" s="77"/>
      <c r="FGR127" s="77"/>
      <c r="FGS127" s="77"/>
      <c r="FGT127" s="77"/>
      <c r="FGU127" s="77"/>
      <c r="FGV127" s="77"/>
      <c r="FGW127" s="77"/>
      <c r="FGX127" s="77"/>
      <c r="FGY127" s="77"/>
      <c r="FGZ127" s="77"/>
      <c r="FHA127" s="77"/>
      <c r="FHB127" s="77"/>
      <c r="FHC127" s="77"/>
      <c r="FHD127" s="77"/>
      <c r="FHE127" s="77"/>
      <c r="FHF127" s="77"/>
      <c r="FHG127" s="77"/>
      <c r="FHH127" s="77"/>
      <c r="FHI127" s="77"/>
      <c r="FHJ127" s="77"/>
      <c r="FHK127" s="77"/>
      <c r="FHL127" s="77"/>
      <c r="FHM127" s="77"/>
      <c r="FHN127" s="77"/>
      <c r="FHO127" s="77"/>
      <c r="FHP127" s="77"/>
      <c r="FHQ127" s="77"/>
      <c r="FHR127" s="77"/>
      <c r="FHS127" s="77"/>
      <c r="FHT127" s="77"/>
      <c r="FHU127" s="77"/>
      <c r="FHV127" s="77"/>
      <c r="FHW127" s="77"/>
      <c r="FHX127" s="77"/>
      <c r="FHY127" s="77"/>
      <c r="FHZ127" s="77"/>
      <c r="FIA127" s="77"/>
      <c r="FIB127" s="77"/>
      <c r="FIC127" s="77"/>
      <c r="FID127" s="77"/>
      <c r="FIE127" s="77"/>
      <c r="FIF127" s="77"/>
      <c r="FIG127" s="77"/>
      <c r="FIH127" s="77"/>
      <c r="FII127" s="77"/>
      <c r="FIJ127" s="77"/>
      <c r="FIK127" s="77"/>
      <c r="FIL127" s="77"/>
      <c r="FIM127" s="77"/>
      <c r="FIN127" s="77"/>
      <c r="FIO127" s="77"/>
      <c r="FIP127" s="77"/>
      <c r="FIQ127" s="77"/>
      <c r="FIR127" s="77"/>
      <c r="FIS127" s="77"/>
      <c r="FIT127" s="77"/>
      <c r="FIU127" s="77"/>
      <c r="FIV127" s="77"/>
      <c r="FIW127" s="77"/>
      <c r="FIX127" s="77"/>
      <c r="FIY127" s="77"/>
      <c r="FIZ127" s="77"/>
      <c r="FJA127" s="77"/>
      <c r="FJB127" s="77"/>
      <c r="FJC127" s="77"/>
      <c r="FJD127" s="77"/>
      <c r="FJE127" s="77"/>
      <c r="FJF127" s="77"/>
      <c r="FJG127" s="77"/>
      <c r="FJH127" s="77"/>
      <c r="FJI127" s="77"/>
      <c r="FJJ127" s="77"/>
      <c r="FJK127" s="77"/>
      <c r="FJL127" s="77"/>
      <c r="FJM127" s="77"/>
      <c r="FJN127" s="77"/>
      <c r="FJO127" s="77"/>
      <c r="FJP127" s="77"/>
      <c r="FJQ127" s="77"/>
      <c r="FJR127" s="77"/>
      <c r="FJS127" s="77"/>
      <c r="FJT127" s="77"/>
      <c r="FJU127" s="77"/>
      <c r="FJV127" s="77"/>
      <c r="FJW127" s="77"/>
      <c r="FJX127" s="77"/>
      <c r="FJY127" s="77"/>
      <c r="FJZ127" s="77"/>
      <c r="FKA127" s="77"/>
      <c r="FKB127" s="77"/>
      <c r="FKC127" s="77"/>
      <c r="FKD127" s="77"/>
      <c r="FKE127" s="77"/>
      <c r="FKF127" s="77"/>
      <c r="FKG127" s="77"/>
      <c r="FKH127" s="77"/>
      <c r="FKI127" s="77"/>
      <c r="FKJ127" s="77"/>
      <c r="FKK127" s="77"/>
      <c r="FKL127" s="77"/>
      <c r="FKM127" s="77"/>
      <c r="FKN127" s="77"/>
      <c r="FKO127" s="77"/>
      <c r="FKP127" s="77"/>
      <c r="FKQ127" s="77"/>
      <c r="FKR127" s="77"/>
      <c r="FKS127" s="77"/>
      <c r="FKT127" s="77"/>
      <c r="FKU127" s="77"/>
      <c r="FKV127" s="77"/>
      <c r="FKW127" s="77"/>
      <c r="FKX127" s="77"/>
      <c r="FKY127" s="77"/>
      <c r="FKZ127" s="77"/>
      <c r="FLA127" s="77"/>
      <c r="FLB127" s="77"/>
      <c r="FLC127" s="77"/>
      <c r="FLD127" s="77"/>
      <c r="FLE127" s="77"/>
      <c r="FLF127" s="77"/>
      <c r="FLG127" s="77"/>
      <c r="FLH127" s="77"/>
      <c r="FLI127" s="77"/>
      <c r="FLJ127" s="77"/>
      <c r="FLK127" s="77"/>
      <c r="FLL127" s="77"/>
      <c r="FLM127" s="77"/>
      <c r="FLN127" s="77"/>
      <c r="FLO127" s="77"/>
      <c r="FLP127" s="77"/>
      <c r="FLQ127" s="77"/>
      <c r="FLR127" s="77"/>
      <c r="FLS127" s="77"/>
      <c r="FLT127" s="77"/>
      <c r="FLU127" s="77"/>
      <c r="FLV127" s="77"/>
      <c r="FLW127" s="77"/>
      <c r="FLX127" s="77"/>
      <c r="FLY127" s="77"/>
      <c r="FLZ127" s="77"/>
      <c r="FMA127" s="77"/>
      <c r="FMB127" s="77"/>
      <c r="FMC127" s="77"/>
      <c r="FMD127" s="77"/>
      <c r="FME127" s="77"/>
      <c r="FMF127" s="77"/>
      <c r="FMG127" s="77"/>
      <c r="FMH127" s="77"/>
      <c r="FMI127" s="77"/>
      <c r="FMJ127" s="77"/>
      <c r="FMK127" s="77"/>
      <c r="FML127" s="77"/>
      <c r="FMM127" s="77"/>
      <c r="FMN127" s="77"/>
      <c r="FMO127" s="77"/>
      <c r="FMP127" s="77"/>
      <c r="FMQ127" s="77"/>
      <c r="FMR127" s="77"/>
      <c r="FMS127" s="77"/>
      <c r="FMT127" s="77"/>
      <c r="FMU127" s="77"/>
      <c r="FMV127" s="77"/>
      <c r="FMW127" s="77"/>
      <c r="FMX127" s="77"/>
      <c r="FMY127" s="77"/>
      <c r="FMZ127" s="77"/>
      <c r="FNA127" s="77"/>
      <c r="FNB127" s="77"/>
      <c r="FNC127" s="77"/>
      <c r="FND127" s="77"/>
      <c r="FNE127" s="77"/>
      <c r="FNF127" s="77"/>
      <c r="FNG127" s="77"/>
      <c r="FNH127" s="77"/>
      <c r="FNI127" s="77"/>
      <c r="FNJ127" s="77"/>
      <c r="FNK127" s="77"/>
      <c r="FNL127" s="77"/>
      <c r="FNM127" s="77"/>
      <c r="FNN127" s="77"/>
      <c r="FNO127" s="77"/>
      <c r="FNP127" s="77"/>
      <c r="FNQ127" s="77"/>
      <c r="FNR127" s="77"/>
      <c r="FNS127" s="77"/>
      <c r="FNT127" s="77"/>
      <c r="FNU127" s="77"/>
      <c r="FNV127" s="77"/>
      <c r="FNW127" s="77"/>
      <c r="FNX127" s="77"/>
      <c r="FNY127" s="77"/>
      <c r="FNZ127" s="77"/>
      <c r="FOA127" s="77"/>
      <c r="FOB127" s="77"/>
      <c r="FOC127" s="77"/>
      <c r="FOD127" s="77"/>
      <c r="FOE127" s="77"/>
      <c r="FOF127" s="77"/>
      <c r="FOG127" s="77"/>
      <c r="FOH127" s="77"/>
      <c r="FOI127" s="77"/>
      <c r="FOJ127" s="77"/>
      <c r="FOK127" s="77"/>
      <c r="FOL127" s="77"/>
      <c r="FOM127" s="77"/>
      <c r="FON127" s="77"/>
      <c r="FOO127" s="77"/>
      <c r="FOP127" s="77"/>
      <c r="FOQ127" s="77"/>
      <c r="FOR127" s="77"/>
      <c r="FOS127" s="77"/>
      <c r="FOT127" s="77"/>
      <c r="FOU127" s="77"/>
      <c r="FOV127" s="77"/>
      <c r="FOW127" s="77"/>
      <c r="FOX127" s="77"/>
      <c r="FOY127" s="77"/>
      <c r="FOZ127" s="77"/>
      <c r="FPA127" s="77"/>
      <c r="FPB127" s="77"/>
      <c r="FPC127" s="77"/>
      <c r="FPD127" s="77"/>
      <c r="FPE127" s="77"/>
      <c r="FPF127" s="77"/>
      <c r="FPG127" s="77"/>
      <c r="FPH127" s="77"/>
      <c r="FPI127" s="77"/>
      <c r="FPJ127" s="77"/>
      <c r="FPK127" s="77"/>
      <c r="FPL127" s="77"/>
      <c r="FPM127" s="77"/>
      <c r="FPN127" s="77"/>
      <c r="FPO127" s="77"/>
      <c r="FPP127" s="77"/>
      <c r="FPQ127" s="77"/>
      <c r="FPR127" s="77"/>
      <c r="FPS127" s="77"/>
      <c r="FPT127" s="77"/>
      <c r="FPU127" s="77"/>
      <c r="FPV127" s="77"/>
      <c r="FPW127" s="77"/>
      <c r="FPX127" s="77"/>
      <c r="FPY127" s="77"/>
      <c r="FPZ127" s="77"/>
      <c r="FQA127" s="77"/>
      <c r="FQB127" s="77"/>
      <c r="FQC127" s="77"/>
      <c r="FQD127" s="77"/>
      <c r="FQE127" s="77"/>
      <c r="FQF127" s="77"/>
      <c r="FQG127" s="77"/>
      <c r="FQH127" s="77"/>
      <c r="FQI127" s="77"/>
      <c r="FQJ127" s="77"/>
      <c r="FQK127" s="77"/>
      <c r="FQL127" s="77"/>
      <c r="FQM127" s="77"/>
      <c r="FQN127" s="77"/>
      <c r="FQO127" s="77"/>
      <c r="FQP127" s="77"/>
      <c r="FQQ127" s="77"/>
      <c r="FQR127" s="77"/>
      <c r="FQS127" s="77"/>
      <c r="FQT127" s="77"/>
      <c r="FQU127" s="77"/>
      <c r="FQV127" s="77"/>
      <c r="FQW127" s="77"/>
      <c r="FQX127" s="77"/>
      <c r="FQY127" s="77"/>
      <c r="FQZ127" s="77"/>
      <c r="FRA127" s="77"/>
      <c r="FRB127" s="77"/>
      <c r="FRC127" s="77"/>
      <c r="FRD127" s="77"/>
      <c r="FRE127" s="77"/>
      <c r="FRF127" s="77"/>
      <c r="FRG127" s="77"/>
      <c r="FRH127" s="77"/>
      <c r="FRI127" s="77"/>
      <c r="FRJ127" s="77"/>
      <c r="FRK127" s="77"/>
      <c r="FRL127" s="77"/>
      <c r="FRM127" s="77"/>
      <c r="FRN127" s="77"/>
      <c r="FRO127" s="77"/>
      <c r="FRP127" s="77"/>
      <c r="FRQ127" s="77"/>
      <c r="FRR127" s="77"/>
      <c r="FRS127" s="77"/>
      <c r="FRT127" s="77"/>
      <c r="FRU127" s="77"/>
      <c r="FRV127" s="77"/>
      <c r="FRW127" s="77"/>
      <c r="FRX127" s="77"/>
      <c r="FRY127" s="77"/>
      <c r="FRZ127" s="77"/>
      <c r="FSA127" s="77"/>
      <c r="FSB127" s="77"/>
      <c r="FSC127" s="77"/>
      <c r="FSD127" s="77"/>
      <c r="FSE127" s="77"/>
      <c r="FSF127" s="77"/>
      <c r="FSG127" s="77"/>
      <c r="FSH127" s="77"/>
      <c r="FSI127" s="77"/>
      <c r="FSJ127" s="77"/>
      <c r="FSK127" s="77"/>
      <c r="FSL127" s="77"/>
      <c r="FSM127" s="77"/>
      <c r="FSN127" s="77"/>
      <c r="FSO127" s="77"/>
      <c r="FSP127" s="77"/>
      <c r="FSQ127" s="77"/>
      <c r="FSR127" s="77"/>
      <c r="FSS127" s="77"/>
      <c r="FST127" s="77"/>
      <c r="FSU127" s="77"/>
      <c r="FSV127" s="77"/>
      <c r="FSW127" s="77"/>
      <c r="FSX127" s="77"/>
      <c r="FSY127" s="77"/>
      <c r="FSZ127" s="77"/>
      <c r="FTA127" s="77"/>
      <c r="FTB127" s="77"/>
      <c r="FTC127" s="77"/>
      <c r="FTD127" s="77"/>
      <c r="FTE127" s="77"/>
      <c r="FTF127" s="77"/>
      <c r="FTG127" s="77"/>
      <c r="FTH127" s="77"/>
      <c r="FTI127" s="77"/>
      <c r="FTJ127" s="77"/>
      <c r="FTK127" s="77"/>
      <c r="FTL127" s="77"/>
      <c r="FTM127" s="77"/>
      <c r="FTN127" s="77"/>
      <c r="FTO127" s="77"/>
      <c r="FTP127" s="77"/>
      <c r="FTQ127" s="77"/>
      <c r="FTR127" s="77"/>
      <c r="FTS127" s="77"/>
      <c r="FTT127" s="77"/>
      <c r="FTU127" s="77"/>
      <c r="FTV127" s="77"/>
      <c r="FTW127" s="77"/>
      <c r="FTX127" s="77"/>
      <c r="FTY127" s="77"/>
      <c r="FTZ127" s="77"/>
      <c r="FUA127" s="77"/>
      <c r="FUB127" s="77"/>
      <c r="FUC127" s="77"/>
      <c r="FUD127" s="77"/>
      <c r="FUE127" s="77"/>
      <c r="FUF127" s="77"/>
      <c r="FUG127" s="77"/>
      <c r="FUH127" s="77"/>
      <c r="FUI127" s="77"/>
      <c r="FUJ127" s="77"/>
      <c r="FUK127" s="77"/>
      <c r="FUL127" s="77"/>
      <c r="FUM127" s="77"/>
      <c r="FUN127" s="77"/>
      <c r="FUO127" s="77"/>
      <c r="FUP127" s="77"/>
      <c r="FUQ127" s="77"/>
      <c r="FUR127" s="77"/>
      <c r="FUS127" s="77"/>
      <c r="FUT127" s="77"/>
      <c r="FUU127" s="77"/>
      <c r="FUV127" s="77"/>
      <c r="FUW127" s="77"/>
      <c r="FUX127" s="77"/>
      <c r="FUY127" s="77"/>
      <c r="FUZ127" s="77"/>
      <c r="FVA127" s="77"/>
      <c r="FVB127" s="77"/>
      <c r="FVC127" s="77"/>
      <c r="FVD127" s="77"/>
      <c r="FVE127" s="77"/>
      <c r="FVF127" s="77"/>
      <c r="FVG127" s="77"/>
      <c r="FVH127" s="77"/>
      <c r="FVI127" s="77"/>
      <c r="FVJ127" s="77"/>
      <c r="FVK127" s="77"/>
      <c r="FVL127" s="77"/>
      <c r="FVM127" s="77"/>
      <c r="FVN127" s="77"/>
      <c r="FVO127" s="77"/>
      <c r="FVP127" s="77"/>
      <c r="FVQ127" s="77"/>
      <c r="FVR127" s="77"/>
      <c r="FVS127" s="77"/>
      <c r="FVT127" s="77"/>
      <c r="FVU127" s="77"/>
      <c r="FVV127" s="77"/>
      <c r="FVW127" s="77"/>
      <c r="FVX127" s="77"/>
      <c r="FVY127" s="77"/>
      <c r="FVZ127" s="77"/>
      <c r="FWA127" s="77"/>
      <c r="FWB127" s="77"/>
      <c r="FWC127" s="77"/>
      <c r="FWD127" s="77"/>
      <c r="FWE127" s="77"/>
      <c r="FWF127" s="77"/>
      <c r="FWG127" s="77"/>
      <c r="FWH127" s="77"/>
      <c r="FWI127" s="77"/>
      <c r="FWJ127" s="77"/>
      <c r="FWK127" s="77"/>
      <c r="FWL127" s="77"/>
      <c r="FWM127" s="77"/>
      <c r="FWN127" s="77"/>
      <c r="FWO127" s="77"/>
      <c r="FWP127" s="77"/>
      <c r="FWQ127" s="77"/>
      <c r="FWR127" s="77"/>
      <c r="FWS127" s="77"/>
      <c r="FWT127" s="77"/>
      <c r="FWU127" s="77"/>
      <c r="FWV127" s="77"/>
      <c r="FWW127" s="77"/>
      <c r="FWX127" s="77"/>
      <c r="FWY127" s="77"/>
      <c r="FWZ127" s="77"/>
      <c r="FXA127" s="77"/>
      <c r="FXB127" s="77"/>
      <c r="FXC127" s="77"/>
      <c r="FXD127" s="77"/>
      <c r="FXE127" s="77"/>
      <c r="FXF127" s="77"/>
      <c r="FXG127" s="77"/>
      <c r="FXH127" s="77"/>
      <c r="FXI127" s="77"/>
      <c r="FXJ127" s="77"/>
      <c r="FXK127" s="77"/>
      <c r="FXL127" s="77"/>
      <c r="FXM127" s="77"/>
      <c r="FXN127" s="77"/>
      <c r="FXO127" s="77"/>
      <c r="FXP127" s="77"/>
      <c r="FXQ127" s="77"/>
      <c r="FXR127" s="77"/>
      <c r="FXS127" s="77"/>
      <c r="FXT127" s="77"/>
      <c r="FXU127" s="77"/>
      <c r="FXV127" s="77"/>
      <c r="FXW127" s="77"/>
      <c r="FXX127" s="77"/>
      <c r="FXY127" s="77"/>
      <c r="FXZ127" s="77"/>
      <c r="FYA127" s="77"/>
      <c r="FYB127" s="77"/>
      <c r="FYC127" s="77"/>
      <c r="FYD127" s="77"/>
      <c r="FYE127" s="77"/>
      <c r="FYF127" s="77"/>
      <c r="FYG127" s="77"/>
      <c r="FYH127" s="77"/>
      <c r="FYI127" s="77"/>
      <c r="FYJ127" s="77"/>
      <c r="FYK127" s="77"/>
      <c r="FYL127" s="77"/>
      <c r="FYM127" s="77"/>
      <c r="FYN127" s="77"/>
      <c r="FYO127" s="77"/>
      <c r="FYP127" s="77"/>
      <c r="FYQ127" s="77"/>
      <c r="FYR127" s="77"/>
      <c r="FYS127" s="77"/>
      <c r="FYT127" s="77"/>
      <c r="FYU127" s="77"/>
      <c r="FYV127" s="77"/>
      <c r="FYW127" s="77"/>
      <c r="FYX127" s="77"/>
      <c r="FYY127" s="77"/>
      <c r="FYZ127" s="77"/>
      <c r="FZA127" s="77"/>
      <c r="FZB127" s="77"/>
      <c r="FZC127" s="77"/>
      <c r="FZD127" s="77"/>
      <c r="FZE127" s="77"/>
      <c r="FZF127" s="77"/>
      <c r="FZG127" s="77"/>
      <c r="FZH127" s="77"/>
      <c r="FZI127" s="77"/>
      <c r="FZJ127" s="77"/>
      <c r="FZK127" s="77"/>
      <c r="FZL127" s="77"/>
      <c r="FZM127" s="77"/>
      <c r="FZN127" s="77"/>
      <c r="FZO127" s="77"/>
      <c r="FZP127" s="77"/>
      <c r="FZQ127" s="77"/>
      <c r="FZR127" s="77"/>
      <c r="FZS127" s="77"/>
      <c r="FZT127" s="77"/>
      <c r="FZU127" s="77"/>
      <c r="FZV127" s="77"/>
      <c r="FZW127" s="77"/>
      <c r="FZX127" s="77"/>
      <c r="FZY127" s="77"/>
      <c r="FZZ127" s="77"/>
      <c r="GAA127" s="77"/>
      <c r="GAB127" s="77"/>
      <c r="GAC127" s="77"/>
      <c r="GAD127" s="77"/>
      <c r="GAE127" s="77"/>
      <c r="GAF127" s="77"/>
      <c r="GAG127" s="77"/>
      <c r="GAH127" s="77"/>
      <c r="GAI127" s="77"/>
      <c r="GAJ127" s="77"/>
      <c r="GAK127" s="77"/>
      <c r="GAL127" s="77"/>
      <c r="GAM127" s="77"/>
      <c r="GAN127" s="77"/>
      <c r="GAO127" s="77"/>
      <c r="GAP127" s="77"/>
      <c r="GAQ127" s="77"/>
      <c r="GAR127" s="77"/>
      <c r="GAS127" s="77"/>
      <c r="GAT127" s="77"/>
      <c r="GAU127" s="77"/>
      <c r="GAV127" s="77"/>
      <c r="GAW127" s="77"/>
      <c r="GAX127" s="77"/>
      <c r="GAY127" s="77"/>
      <c r="GAZ127" s="77"/>
      <c r="GBA127" s="77"/>
      <c r="GBB127" s="77"/>
      <c r="GBC127" s="77"/>
      <c r="GBD127" s="77"/>
      <c r="GBE127" s="77"/>
      <c r="GBF127" s="77"/>
      <c r="GBG127" s="77"/>
      <c r="GBH127" s="77"/>
      <c r="GBI127" s="77"/>
      <c r="GBJ127" s="77"/>
      <c r="GBK127" s="77"/>
      <c r="GBL127" s="77"/>
      <c r="GBM127" s="77"/>
      <c r="GBN127" s="77"/>
      <c r="GBO127" s="77"/>
      <c r="GBP127" s="77"/>
      <c r="GBQ127" s="77"/>
      <c r="GBR127" s="77"/>
      <c r="GBS127" s="77"/>
      <c r="GBT127" s="77"/>
      <c r="GBU127" s="77"/>
      <c r="GBV127" s="77"/>
      <c r="GBW127" s="77"/>
      <c r="GBX127" s="77"/>
      <c r="GBY127" s="77"/>
      <c r="GBZ127" s="77"/>
      <c r="GCA127" s="77"/>
      <c r="GCB127" s="77"/>
      <c r="GCC127" s="77"/>
      <c r="GCD127" s="77"/>
      <c r="GCE127" s="77"/>
      <c r="GCF127" s="77"/>
      <c r="GCG127" s="77"/>
      <c r="GCH127" s="77"/>
      <c r="GCI127" s="77"/>
      <c r="GCJ127" s="77"/>
      <c r="GCK127" s="77"/>
      <c r="GCL127" s="77"/>
      <c r="GCM127" s="77"/>
      <c r="GCN127" s="77"/>
      <c r="GCO127" s="77"/>
      <c r="GCP127" s="77"/>
      <c r="GCQ127" s="77"/>
      <c r="GCR127" s="77"/>
      <c r="GCS127" s="77"/>
      <c r="GCT127" s="77"/>
      <c r="GCU127" s="77"/>
      <c r="GCV127" s="77"/>
      <c r="GCW127" s="77"/>
      <c r="GCX127" s="77"/>
      <c r="GCY127" s="77"/>
      <c r="GCZ127" s="77"/>
      <c r="GDA127" s="77"/>
      <c r="GDB127" s="77"/>
      <c r="GDC127" s="77"/>
      <c r="GDD127" s="77"/>
      <c r="GDE127" s="77"/>
      <c r="GDF127" s="77"/>
      <c r="GDG127" s="77"/>
      <c r="GDH127" s="77"/>
      <c r="GDI127" s="77"/>
      <c r="GDJ127" s="77"/>
      <c r="GDK127" s="77"/>
      <c r="GDL127" s="77"/>
      <c r="GDM127" s="77"/>
      <c r="GDN127" s="77"/>
      <c r="GDO127" s="77"/>
      <c r="GDP127" s="77"/>
      <c r="GDQ127" s="77"/>
      <c r="GDR127" s="77"/>
      <c r="GDS127" s="77"/>
      <c r="GDT127" s="77"/>
      <c r="GDU127" s="77"/>
      <c r="GDV127" s="77"/>
      <c r="GDW127" s="77"/>
      <c r="GDX127" s="77"/>
      <c r="GDY127" s="77"/>
      <c r="GDZ127" s="77"/>
      <c r="GEA127" s="77"/>
      <c r="GEB127" s="77"/>
      <c r="GEC127" s="77"/>
      <c r="GED127" s="77"/>
      <c r="GEE127" s="77"/>
      <c r="GEF127" s="77"/>
      <c r="GEG127" s="77"/>
      <c r="GEH127" s="77"/>
      <c r="GEI127" s="77"/>
      <c r="GEJ127" s="77"/>
      <c r="GEK127" s="77"/>
      <c r="GEL127" s="77"/>
      <c r="GEM127" s="77"/>
      <c r="GEN127" s="77"/>
      <c r="GEO127" s="77"/>
      <c r="GEP127" s="77"/>
      <c r="GEQ127" s="77"/>
      <c r="GER127" s="77"/>
      <c r="GES127" s="77"/>
      <c r="GET127" s="77"/>
      <c r="GEU127" s="77"/>
      <c r="GEV127" s="77"/>
      <c r="GEW127" s="77"/>
      <c r="GEX127" s="77"/>
      <c r="GEY127" s="77"/>
      <c r="GEZ127" s="77"/>
      <c r="GFA127" s="77"/>
      <c r="GFB127" s="77"/>
      <c r="GFC127" s="77"/>
      <c r="GFD127" s="77"/>
      <c r="GFE127" s="77"/>
      <c r="GFF127" s="77"/>
      <c r="GFG127" s="77"/>
      <c r="GFH127" s="77"/>
      <c r="GFI127" s="77"/>
      <c r="GFJ127" s="77"/>
      <c r="GFK127" s="77"/>
      <c r="GFL127" s="77"/>
      <c r="GFM127" s="77"/>
      <c r="GFN127" s="77"/>
      <c r="GFO127" s="77"/>
      <c r="GFP127" s="77"/>
      <c r="GFQ127" s="77"/>
      <c r="GFR127" s="77"/>
      <c r="GFS127" s="77"/>
      <c r="GFT127" s="77"/>
      <c r="GFU127" s="77"/>
      <c r="GFV127" s="77"/>
      <c r="GFW127" s="77"/>
      <c r="GFX127" s="77"/>
      <c r="GFY127" s="77"/>
      <c r="GFZ127" s="77"/>
      <c r="GGA127" s="77"/>
      <c r="GGB127" s="77"/>
      <c r="GGC127" s="77"/>
      <c r="GGD127" s="77"/>
      <c r="GGE127" s="77"/>
      <c r="GGF127" s="77"/>
      <c r="GGG127" s="77"/>
      <c r="GGH127" s="77"/>
      <c r="GGI127" s="77"/>
      <c r="GGJ127" s="77"/>
      <c r="GGK127" s="77"/>
      <c r="GGL127" s="77"/>
      <c r="GGM127" s="77"/>
      <c r="GGN127" s="77"/>
      <c r="GGO127" s="77"/>
      <c r="GGP127" s="77"/>
      <c r="GGQ127" s="77"/>
      <c r="GGR127" s="77"/>
      <c r="GGS127" s="77"/>
      <c r="GGT127" s="77"/>
      <c r="GGU127" s="77"/>
      <c r="GGV127" s="77"/>
      <c r="GGW127" s="77"/>
      <c r="GGX127" s="77"/>
      <c r="GGY127" s="77"/>
      <c r="GGZ127" s="77"/>
      <c r="GHA127" s="77"/>
      <c r="GHB127" s="77"/>
      <c r="GHC127" s="77"/>
      <c r="GHD127" s="77"/>
      <c r="GHE127" s="77"/>
      <c r="GHF127" s="77"/>
      <c r="GHG127" s="77"/>
      <c r="GHH127" s="77"/>
      <c r="GHI127" s="77"/>
      <c r="GHJ127" s="77"/>
      <c r="GHK127" s="77"/>
      <c r="GHL127" s="77"/>
      <c r="GHM127" s="77"/>
      <c r="GHN127" s="77"/>
      <c r="GHO127" s="77"/>
      <c r="GHP127" s="77"/>
      <c r="GHQ127" s="77"/>
      <c r="GHR127" s="77"/>
      <c r="GHS127" s="77"/>
      <c r="GHT127" s="77"/>
      <c r="GHU127" s="77"/>
      <c r="GHV127" s="77"/>
      <c r="GHW127" s="77"/>
      <c r="GHX127" s="77"/>
      <c r="GHY127" s="77"/>
      <c r="GHZ127" s="77"/>
      <c r="GIA127" s="77"/>
      <c r="GIB127" s="77"/>
      <c r="GIC127" s="77"/>
      <c r="GID127" s="77"/>
      <c r="GIE127" s="77"/>
      <c r="GIF127" s="77"/>
      <c r="GIG127" s="77"/>
      <c r="GIH127" s="77"/>
      <c r="GII127" s="77"/>
      <c r="GIJ127" s="77"/>
      <c r="GIK127" s="77"/>
      <c r="GIL127" s="77"/>
      <c r="GIM127" s="77"/>
      <c r="GIN127" s="77"/>
      <c r="GIO127" s="77"/>
      <c r="GIP127" s="77"/>
      <c r="GIQ127" s="77"/>
      <c r="GIR127" s="77"/>
      <c r="GIS127" s="77"/>
      <c r="GIT127" s="77"/>
      <c r="GIU127" s="77"/>
      <c r="GIV127" s="77"/>
      <c r="GIW127" s="77"/>
      <c r="GIX127" s="77"/>
      <c r="GIY127" s="77"/>
      <c r="GIZ127" s="77"/>
      <c r="GJA127" s="77"/>
      <c r="GJB127" s="77"/>
      <c r="GJC127" s="77"/>
      <c r="GJD127" s="77"/>
      <c r="GJE127" s="77"/>
      <c r="GJF127" s="77"/>
      <c r="GJG127" s="77"/>
      <c r="GJH127" s="77"/>
      <c r="GJI127" s="77"/>
      <c r="GJJ127" s="77"/>
      <c r="GJK127" s="77"/>
      <c r="GJL127" s="77"/>
      <c r="GJM127" s="77"/>
      <c r="GJN127" s="77"/>
      <c r="GJO127" s="77"/>
      <c r="GJP127" s="77"/>
      <c r="GJQ127" s="77"/>
      <c r="GJR127" s="77"/>
      <c r="GJS127" s="77"/>
      <c r="GJT127" s="77"/>
      <c r="GJU127" s="77"/>
      <c r="GJV127" s="77"/>
      <c r="GJW127" s="77"/>
      <c r="GJX127" s="77"/>
      <c r="GJY127" s="77"/>
      <c r="GJZ127" s="77"/>
      <c r="GKA127" s="77"/>
      <c r="GKB127" s="77"/>
      <c r="GKC127" s="77"/>
      <c r="GKD127" s="77"/>
      <c r="GKE127" s="77"/>
      <c r="GKF127" s="77"/>
      <c r="GKG127" s="77"/>
      <c r="GKH127" s="77"/>
      <c r="GKI127" s="77"/>
      <c r="GKJ127" s="77"/>
      <c r="GKK127" s="77"/>
      <c r="GKL127" s="77"/>
      <c r="GKM127" s="77"/>
      <c r="GKN127" s="77"/>
      <c r="GKO127" s="77"/>
      <c r="GKP127" s="77"/>
      <c r="GKQ127" s="77"/>
      <c r="GKR127" s="77"/>
      <c r="GKS127" s="77"/>
      <c r="GKT127" s="77"/>
      <c r="GKU127" s="77"/>
      <c r="GKV127" s="77"/>
      <c r="GKW127" s="77"/>
      <c r="GKX127" s="77"/>
      <c r="GKY127" s="77"/>
      <c r="GKZ127" s="77"/>
      <c r="GLA127" s="77"/>
      <c r="GLB127" s="77"/>
      <c r="GLC127" s="77"/>
      <c r="GLD127" s="77"/>
      <c r="GLE127" s="77"/>
      <c r="GLF127" s="77"/>
      <c r="GLG127" s="77"/>
      <c r="GLH127" s="77"/>
      <c r="GLI127" s="77"/>
      <c r="GLJ127" s="77"/>
      <c r="GLK127" s="77"/>
      <c r="GLL127" s="77"/>
      <c r="GLM127" s="77"/>
      <c r="GLN127" s="77"/>
      <c r="GLO127" s="77"/>
      <c r="GLP127" s="77"/>
      <c r="GLQ127" s="77"/>
      <c r="GLR127" s="77"/>
      <c r="GLS127" s="77"/>
      <c r="GLT127" s="77"/>
      <c r="GLU127" s="77"/>
      <c r="GLV127" s="77"/>
      <c r="GLW127" s="77"/>
      <c r="GLX127" s="77"/>
      <c r="GLY127" s="77"/>
      <c r="GLZ127" s="77"/>
      <c r="GMA127" s="77"/>
      <c r="GMB127" s="77"/>
      <c r="GMC127" s="77"/>
      <c r="GMD127" s="77"/>
      <c r="GME127" s="77"/>
      <c r="GMF127" s="77"/>
      <c r="GMG127" s="77"/>
      <c r="GMH127" s="77"/>
      <c r="GMI127" s="77"/>
      <c r="GMJ127" s="77"/>
      <c r="GMK127" s="77"/>
      <c r="GML127" s="77"/>
      <c r="GMM127" s="77"/>
      <c r="GMN127" s="77"/>
      <c r="GMO127" s="77"/>
      <c r="GMP127" s="77"/>
      <c r="GMQ127" s="77"/>
      <c r="GMR127" s="77"/>
      <c r="GMS127" s="77"/>
      <c r="GMT127" s="77"/>
      <c r="GMU127" s="77"/>
      <c r="GMV127" s="77"/>
      <c r="GMW127" s="77"/>
      <c r="GMX127" s="77"/>
      <c r="GMY127" s="77"/>
      <c r="GMZ127" s="77"/>
      <c r="GNA127" s="77"/>
      <c r="GNB127" s="77"/>
      <c r="GNC127" s="77"/>
      <c r="GND127" s="77"/>
      <c r="GNE127" s="77"/>
      <c r="GNF127" s="77"/>
      <c r="GNG127" s="77"/>
      <c r="GNH127" s="77"/>
      <c r="GNI127" s="77"/>
      <c r="GNJ127" s="77"/>
      <c r="GNK127" s="77"/>
      <c r="GNL127" s="77"/>
      <c r="GNM127" s="77"/>
      <c r="GNN127" s="77"/>
      <c r="GNO127" s="77"/>
      <c r="GNP127" s="77"/>
      <c r="GNQ127" s="77"/>
      <c r="GNR127" s="77"/>
      <c r="GNS127" s="77"/>
      <c r="GNT127" s="77"/>
      <c r="GNU127" s="77"/>
      <c r="GNV127" s="77"/>
      <c r="GNW127" s="77"/>
      <c r="GNX127" s="77"/>
      <c r="GNY127" s="77"/>
      <c r="GNZ127" s="77"/>
      <c r="GOA127" s="77"/>
      <c r="GOB127" s="77"/>
      <c r="GOC127" s="77"/>
      <c r="GOD127" s="77"/>
      <c r="GOE127" s="77"/>
      <c r="GOF127" s="77"/>
      <c r="GOG127" s="77"/>
      <c r="GOH127" s="77"/>
      <c r="GOI127" s="77"/>
      <c r="GOJ127" s="77"/>
      <c r="GOK127" s="77"/>
      <c r="GOL127" s="77"/>
      <c r="GOM127" s="77"/>
      <c r="GON127" s="77"/>
      <c r="GOO127" s="77"/>
      <c r="GOP127" s="77"/>
      <c r="GOQ127" s="77"/>
      <c r="GOR127" s="77"/>
      <c r="GOS127" s="77"/>
      <c r="GOT127" s="77"/>
      <c r="GOU127" s="77"/>
      <c r="GOV127" s="77"/>
      <c r="GOW127" s="77"/>
      <c r="GOX127" s="77"/>
      <c r="GOY127" s="77"/>
      <c r="GOZ127" s="77"/>
      <c r="GPA127" s="77"/>
      <c r="GPB127" s="77"/>
      <c r="GPC127" s="77"/>
      <c r="GPD127" s="77"/>
      <c r="GPE127" s="77"/>
      <c r="GPF127" s="77"/>
      <c r="GPG127" s="77"/>
      <c r="GPH127" s="77"/>
      <c r="GPI127" s="77"/>
      <c r="GPJ127" s="77"/>
      <c r="GPK127" s="77"/>
      <c r="GPL127" s="77"/>
      <c r="GPM127" s="77"/>
      <c r="GPN127" s="77"/>
      <c r="GPO127" s="77"/>
      <c r="GPP127" s="77"/>
      <c r="GPQ127" s="77"/>
      <c r="GPR127" s="77"/>
      <c r="GPS127" s="77"/>
      <c r="GPT127" s="77"/>
      <c r="GPU127" s="77"/>
      <c r="GPV127" s="77"/>
      <c r="GPW127" s="77"/>
      <c r="GPX127" s="77"/>
      <c r="GPY127" s="77"/>
      <c r="GPZ127" s="77"/>
      <c r="GQA127" s="77"/>
      <c r="GQB127" s="77"/>
      <c r="GQC127" s="77"/>
      <c r="GQD127" s="77"/>
      <c r="GQE127" s="77"/>
      <c r="GQF127" s="77"/>
      <c r="GQG127" s="77"/>
      <c r="GQH127" s="77"/>
      <c r="GQI127" s="77"/>
      <c r="GQJ127" s="77"/>
      <c r="GQK127" s="77"/>
      <c r="GQL127" s="77"/>
      <c r="GQM127" s="77"/>
      <c r="GQN127" s="77"/>
      <c r="GQO127" s="77"/>
      <c r="GQP127" s="77"/>
      <c r="GQQ127" s="77"/>
      <c r="GQR127" s="77"/>
      <c r="GQS127" s="77"/>
      <c r="GQT127" s="77"/>
      <c r="GQU127" s="77"/>
      <c r="GQV127" s="77"/>
      <c r="GQW127" s="77"/>
      <c r="GQX127" s="77"/>
      <c r="GQY127" s="77"/>
      <c r="GQZ127" s="77"/>
      <c r="GRA127" s="77"/>
      <c r="GRB127" s="77"/>
      <c r="GRC127" s="77"/>
      <c r="GRD127" s="77"/>
      <c r="GRE127" s="77"/>
      <c r="GRF127" s="77"/>
      <c r="GRG127" s="77"/>
      <c r="GRH127" s="77"/>
      <c r="GRI127" s="77"/>
      <c r="GRJ127" s="77"/>
      <c r="GRK127" s="77"/>
      <c r="GRL127" s="77"/>
      <c r="GRM127" s="77"/>
      <c r="GRN127" s="77"/>
      <c r="GRO127" s="77"/>
      <c r="GRP127" s="77"/>
      <c r="GRQ127" s="77"/>
      <c r="GRR127" s="77"/>
      <c r="GRS127" s="77"/>
      <c r="GRT127" s="77"/>
      <c r="GRU127" s="77"/>
      <c r="GRV127" s="77"/>
      <c r="GRW127" s="77"/>
      <c r="GRX127" s="77"/>
      <c r="GRY127" s="77"/>
      <c r="GRZ127" s="77"/>
      <c r="GSA127" s="77"/>
      <c r="GSB127" s="77"/>
      <c r="GSC127" s="77"/>
      <c r="GSD127" s="77"/>
      <c r="GSE127" s="77"/>
      <c r="GSF127" s="77"/>
      <c r="GSG127" s="77"/>
      <c r="GSH127" s="77"/>
      <c r="GSI127" s="77"/>
      <c r="GSJ127" s="77"/>
      <c r="GSK127" s="77"/>
      <c r="GSL127" s="77"/>
      <c r="GSM127" s="77"/>
      <c r="GSN127" s="77"/>
      <c r="GSO127" s="77"/>
      <c r="GSP127" s="77"/>
      <c r="GSQ127" s="77"/>
      <c r="GSR127" s="77"/>
      <c r="GSS127" s="77"/>
      <c r="GST127" s="77"/>
      <c r="GSU127" s="77"/>
      <c r="GSV127" s="77"/>
      <c r="GSW127" s="77"/>
      <c r="GSX127" s="77"/>
      <c r="GSY127" s="77"/>
      <c r="GSZ127" s="77"/>
      <c r="GTA127" s="77"/>
      <c r="GTB127" s="77"/>
      <c r="GTC127" s="77"/>
      <c r="GTD127" s="77"/>
      <c r="GTE127" s="77"/>
      <c r="GTF127" s="77"/>
      <c r="GTG127" s="77"/>
      <c r="GTH127" s="77"/>
      <c r="GTI127" s="77"/>
      <c r="GTJ127" s="77"/>
      <c r="GTK127" s="77"/>
      <c r="GTL127" s="77"/>
      <c r="GTM127" s="77"/>
      <c r="GTN127" s="77"/>
      <c r="GTO127" s="77"/>
      <c r="GTP127" s="77"/>
      <c r="GTQ127" s="77"/>
      <c r="GTR127" s="77"/>
      <c r="GTS127" s="77"/>
      <c r="GTT127" s="77"/>
      <c r="GTU127" s="77"/>
      <c r="GTV127" s="77"/>
      <c r="GTW127" s="77"/>
      <c r="GTX127" s="77"/>
      <c r="GTY127" s="77"/>
      <c r="GTZ127" s="77"/>
      <c r="GUA127" s="77"/>
      <c r="GUB127" s="77"/>
      <c r="GUC127" s="77"/>
      <c r="GUD127" s="77"/>
      <c r="GUE127" s="77"/>
      <c r="GUF127" s="77"/>
      <c r="GUG127" s="77"/>
      <c r="GUH127" s="77"/>
      <c r="GUI127" s="77"/>
      <c r="GUJ127" s="77"/>
      <c r="GUK127" s="77"/>
      <c r="GUL127" s="77"/>
      <c r="GUM127" s="77"/>
      <c r="GUN127" s="77"/>
      <c r="GUO127" s="77"/>
      <c r="GUP127" s="77"/>
      <c r="GUQ127" s="77"/>
      <c r="GUR127" s="77"/>
      <c r="GUS127" s="77"/>
      <c r="GUT127" s="77"/>
      <c r="GUU127" s="77"/>
      <c r="GUV127" s="77"/>
      <c r="GUW127" s="77"/>
      <c r="GUX127" s="77"/>
      <c r="GUY127" s="77"/>
      <c r="GUZ127" s="77"/>
      <c r="GVA127" s="77"/>
      <c r="GVB127" s="77"/>
      <c r="GVC127" s="77"/>
      <c r="GVD127" s="77"/>
      <c r="GVE127" s="77"/>
      <c r="GVF127" s="77"/>
      <c r="GVG127" s="77"/>
      <c r="GVH127" s="77"/>
      <c r="GVI127" s="77"/>
      <c r="GVJ127" s="77"/>
      <c r="GVK127" s="77"/>
      <c r="GVL127" s="77"/>
      <c r="GVM127" s="77"/>
      <c r="GVN127" s="77"/>
      <c r="GVO127" s="77"/>
      <c r="GVP127" s="77"/>
      <c r="GVQ127" s="77"/>
      <c r="GVR127" s="77"/>
      <c r="GVS127" s="77"/>
      <c r="GVT127" s="77"/>
      <c r="GVU127" s="77"/>
      <c r="GVV127" s="77"/>
      <c r="GVW127" s="77"/>
      <c r="GVX127" s="77"/>
      <c r="GVY127" s="77"/>
      <c r="GVZ127" s="77"/>
      <c r="GWA127" s="77"/>
      <c r="GWB127" s="77"/>
      <c r="GWC127" s="77"/>
      <c r="GWD127" s="77"/>
      <c r="GWE127" s="77"/>
      <c r="GWF127" s="77"/>
      <c r="GWG127" s="77"/>
      <c r="GWH127" s="77"/>
      <c r="GWI127" s="77"/>
      <c r="GWJ127" s="77"/>
      <c r="GWK127" s="77"/>
      <c r="GWL127" s="77"/>
      <c r="GWM127" s="77"/>
      <c r="GWN127" s="77"/>
      <c r="GWO127" s="77"/>
      <c r="GWP127" s="77"/>
      <c r="GWQ127" s="77"/>
      <c r="GWR127" s="77"/>
      <c r="GWS127" s="77"/>
      <c r="GWT127" s="77"/>
      <c r="GWU127" s="77"/>
      <c r="GWV127" s="77"/>
      <c r="GWW127" s="77"/>
      <c r="GWX127" s="77"/>
      <c r="GWY127" s="77"/>
      <c r="GWZ127" s="77"/>
      <c r="GXA127" s="77"/>
      <c r="GXB127" s="77"/>
      <c r="GXC127" s="77"/>
      <c r="GXD127" s="77"/>
      <c r="GXE127" s="77"/>
      <c r="GXF127" s="77"/>
      <c r="GXG127" s="77"/>
      <c r="GXH127" s="77"/>
      <c r="GXI127" s="77"/>
      <c r="GXJ127" s="77"/>
      <c r="GXK127" s="77"/>
      <c r="GXL127" s="77"/>
      <c r="GXM127" s="77"/>
      <c r="GXN127" s="77"/>
      <c r="GXO127" s="77"/>
      <c r="GXP127" s="77"/>
      <c r="GXQ127" s="77"/>
      <c r="GXR127" s="77"/>
      <c r="GXS127" s="77"/>
      <c r="GXT127" s="77"/>
      <c r="GXU127" s="77"/>
      <c r="GXV127" s="77"/>
      <c r="GXW127" s="77"/>
      <c r="GXX127" s="77"/>
      <c r="GXY127" s="77"/>
      <c r="GXZ127" s="77"/>
      <c r="GYA127" s="77"/>
      <c r="GYB127" s="77"/>
      <c r="GYC127" s="77"/>
      <c r="GYD127" s="77"/>
      <c r="GYE127" s="77"/>
      <c r="GYF127" s="77"/>
      <c r="GYG127" s="77"/>
      <c r="GYH127" s="77"/>
      <c r="GYI127" s="77"/>
      <c r="GYJ127" s="77"/>
      <c r="GYK127" s="77"/>
      <c r="GYL127" s="77"/>
      <c r="GYM127" s="77"/>
      <c r="GYN127" s="77"/>
      <c r="GYO127" s="77"/>
      <c r="GYP127" s="77"/>
      <c r="GYQ127" s="77"/>
      <c r="GYR127" s="77"/>
      <c r="GYS127" s="77"/>
      <c r="GYT127" s="77"/>
      <c r="GYU127" s="77"/>
      <c r="GYV127" s="77"/>
      <c r="GYW127" s="77"/>
      <c r="GYX127" s="77"/>
      <c r="GYY127" s="77"/>
      <c r="GYZ127" s="77"/>
      <c r="GZA127" s="77"/>
      <c r="GZB127" s="77"/>
      <c r="GZC127" s="77"/>
      <c r="GZD127" s="77"/>
      <c r="GZE127" s="77"/>
      <c r="GZF127" s="77"/>
      <c r="GZG127" s="77"/>
      <c r="GZH127" s="77"/>
      <c r="GZI127" s="77"/>
      <c r="GZJ127" s="77"/>
      <c r="GZK127" s="77"/>
      <c r="GZL127" s="77"/>
      <c r="GZM127" s="77"/>
      <c r="GZN127" s="77"/>
      <c r="GZO127" s="77"/>
      <c r="GZP127" s="77"/>
      <c r="GZQ127" s="77"/>
      <c r="GZR127" s="77"/>
      <c r="GZS127" s="77"/>
      <c r="GZT127" s="77"/>
      <c r="GZU127" s="77"/>
      <c r="GZV127" s="77"/>
      <c r="GZW127" s="77"/>
      <c r="GZX127" s="77"/>
      <c r="GZY127" s="77"/>
      <c r="GZZ127" s="77"/>
      <c r="HAA127" s="77"/>
      <c r="HAB127" s="77"/>
      <c r="HAC127" s="77"/>
      <c r="HAD127" s="77"/>
      <c r="HAE127" s="77"/>
      <c r="HAF127" s="77"/>
      <c r="HAG127" s="77"/>
      <c r="HAH127" s="77"/>
      <c r="HAI127" s="77"/>
      <c r="HAJ127" s="77"/>
      <c r="HAK127" s="77"/>
      <c r="HAL127" s="77"/>
      <c r="HAM127" s="77"/>
      <c r="HAN127" s="77"/>
      <c r="HAO127" s="77"/>
      <c r="HAP127" s="77"/>
      <c r="HAQ127" s="77"/>
      <c r="HAR127" s="77"/>
      <c r="HAS127" s="77"/>
      <c r="HAT127" s="77"/>
      <c r="HAU127" s="77"/>
      <c r="HAV127" s="77"/>
      <c r="HAW127" s="77"/>
      <c r="HAX127" s="77"/>
      <c r="HAY127" s="77"/>
      <c r="HAZ127" s="77"/>
      <c r="HBA127" s="77"/>
      <c r="HBB127" s="77"/>
      <c r="HBC127" s="77"/>
      <c r="HBD127" s="77"/>
      <c r="HBE127" s="77"/>
      <c r="HBF127" s="77"/>
      <c r="HBG127" s="77"/>
      <c r="HBH127" s="77"/>
      <c r="HBI127" s="77"/>
      <c r="HBJ127" s="77"/>
      <c r="HBK127" s="77"/>
      <c r="HBL127" s="77"/>
      <c r="HBM127" s="77"/>
      <c r="HBN127" s="77"/>
      <c r="HBO127" s="77"/>
      <c r="HBP127" s="77"/>
      <c r="HBQ127" s="77"/>
      <c r="HBR127" s="77"/>
      <c r="HBS127" s="77"/>
      <c r="HBT127" s="77"/>
      <c r="HBU127" s="77"/>
      <c r="HBV127" s="77"/>
      <c r="HBW127" s="77"/>
      <c r="HBX127" s="77"/>
      <c r="HBY127" s="77"/>
      <c r="HBZ127" s="77"/>
      <c r="HCA127" s="77"/>
      <c r="HCB127" s="77"/>
      <c r="HCC127" s="77"/>
      <c r="HCD127" s="77"/>
      <c r="HCE127" s="77"/>
      <c r="HCF127" s="77"/>
      <c r="HCG127" s="77"/>
      <c r="HCH127" s="77"/>
      <c r="HCI127" s="77"/>
      <c r="HCJ127" s="77"/>
      <c r="HCK127" s="77"/>
      <c r="HCL127" s="77"/>
      <c r="HCM127" s="77"/>
      <c r="HCN127" s="77"/>
      <c r="HCO127" s="77"/>
      <c r="HCP127" s="77"/>
      <c r="HCQ127" s="77"/>
      <c r="HCR127" s="77"/>
      <c r="HCS127" s="77"/>
      <c r="HCT127" s="77"/>
      <c r="HCU127" s="77"/>
      <c r="HCV127" s="77"/>
      <c r="HCW127" s="77"/>
      <c r="HCX127" s="77"/>
      <c r="HCY127" s="77"/>
      <c r="HCZ127" s="77"/>
      <c r="HDA127" s="77"/>
      <c r="HDB127" s="77"/>
      <c r="HDC127" s="77"/>
      <c r="HDD127" s="77"/>
      <c r="HDE127" s="77"/>
      <c r="HDF127" s="77"/>
      <c r="HDG127" s="77"/>
      <c r="HDH127" s="77"/>
      <c r="HDI127" s="77"/>
      <c r="HDJ127" s="77"/>
      <c r="HDK127" s="77"/>
      <c r="HDL127" s="77"/>
      <c r="HDM127" s="77"/>
      <c r="HDN127" s="77"/>
      <c r="HDO127" s="77"/>
      <c r="HDP127" s="77"/>
      <c r="HDQ127" s="77"/>
      <c r="HDR127" s="77"/>
      <c r="HDS127" s="77"/>
      <c r="HDT127" s="77"/>
      <c r="HDU127" s="77"/>
      <c r="HDV127" s="77"/>
      <c r="HDW127" s="77"/>
      <c r="HDX127" s="77"/>
      <c r="HDY127" s="77"/>
      <c r="HDZ127" s="77"/>
      <c r="HEA127" s="77"/>
      <c r="HEB127" s="77"/>
      <c r="HEC127" s="77"/>
      <c r="HED127" s="77"/>
      <c r="HEE127" s="77"/>
      <c r="HEF127" s="77"/>
      <c r="HEG127" s="77"/>
      <c r="HEH127" s="77"/>
      <c r="HEI127" s="77"/>
      <c r="HEJ127" s="77"/>
      <c r="HEK127" s="77"/>
      <c r="HEL127" s="77"/>
      <c r="HEM127" s="77"/>
      <c r="HEN127" s="77"/>
      <c r="HEO127" s="77"/>
      <c r="HEP127" s="77"/>
      <c r="HEQ127" s="77"/>
      <c r="HER127" s="77"/>
      <c r="HES127" s="77"/>
      <c r="HET127" s="77"/>
      <c r="HEU127" s="77"/>
      <c r="HEV127" s="77"/>
      <c r="HEW127" s="77"/>
      <c r="HEX127" s="77"/>
      <c r="HEY127" s="77"/>
      <c r="HEZ127" s="77"/>
      <c r="HFA127" s="77"/>
      <c r="HFB127" s="77"/>
      <c r="HFC127" s="77"/>
      <c r="HFD127" s="77"/>
      <c r="HFE127" s="77"/>
      <c r="HFF127" s="77"/>
      <c r="HFG127" s="77"/>
      <c r="HFH127" s="77"/>
      <c r="HFI127" s="77"/>
      <c r="HFJ127" s="77"/>
      <c r="HFK127" s="77"/>
      <c r="HFL127" s="77"/>
      <c r="HFM127" s="77"/>
      <c r="HFN127" s="77"/>
      <c r="HFO127" s="77"/>
      <c r="HFP127" s="77"/>
      <c r="HFQ127" s="77"/>
      <c r="HFR127" s="77"/>
      <c r="HFS127" s="77"/>
      <c r="HFT127" s="77"/>
      <c r="HFU127" s="77"/>
      <c r="HFV127" s="77"/>
      <c r="HFW127" s="77"/>
      <c r="HFX127" s="77"/>
      <c r="HFY127" s="77"/>
      <c r="HFZ127" s="77"/>
      <c r="HGA127" s="77"/>
      <c r="HGB127" s="77"/>
      <c r="HGC127" s="77"/>
      <c r="HGD127" s="77"/>
      <c r="HGE127" s="77"/>
      <c r="HGF127" s="77"/>
      <c r="HGG127" s="77"/>
      <c r="HGH127" s="77"/>
      <c r="HGI127" s="77"/>
      <c r="HGJ127" s="77"/>
      <c r="HGK127" s="77"/>
      <c r="HGL127" s="77"/>
      <c r="HGM127" s="77"/>
      <c r="HGN127" s="77"/>
      <c r="HGO127" s="77"/>
      <c r="HGP127" s="77"/>
      <c r="HGQ127" s="77"/>
      <c r="HGR127" s="77"/>
      <c r="HGS127" s="77"/>
      <c r="HGT127" s="77"/>
      <c r="HGU127" s="77"/>
      <c r="HGV127" s="77"/>
      <c r="HGW127" s="77"/>
      <c r="HGX127" s="77"/>
      <c r="HGY127" s="77"/>
      <c r="HGZ127" s="77"/>
      <c r="HHA127" s="77"/>
      <c r="HHB127" s="77"/>
      <c r="HHC127" s="77"/>
      <c r="HHD127" s="77"/>
      <c r="HHE127" s="77"/>
      <c r="HHF127" s="77"/>
      <c r="HHG127" s="77"/>
      <c r="HHH127" s="77"/>
      <c r="HHI127" s="77"/>
      <c r="HHJ127" s="77"/>
      <c r="HHK127" s="77"/>
      <c r="HHL127" s="77"/>
      <c r="HHM127" s="77"/>
      <c r="HHN127" s="77"/>
      <c r="HHO127" s="77"/>
      <c r="HHP127" s="77"/>
      <c r="HHQ127" s="77"/>
      <c r="HHR127" s="77"/>
      <c r="HHS127" s="77"/>
      <c r="HHT127" s="77"/>
      <c r="HHU127" s="77"/>
      <c r="HHV127" s="77"/>
      <c r="HHW127" s="77"/>
      <c r="HHX127" s="77"/>
      <c r="HHY127" s="77"/>
      <c r="HHZ127" s="77"/>
      <c r="HIA127" s="77"/>
      <c r="HIB127" s="77"/>
      <c r="HIC127" s="77"/>
      <c r="HID127" s="77"/>
      <c r="HIE127" s="77"/>
      <c r="HIF127" s="77"/>
      <c r="HIG127" s="77"/>
      <c r="HIH127" s="77"/>
      <c r="HII127" s="77"/>
      <c r="HIJ127" s="77"/>
      <c r="HIK127" s="77"/>
      <c r="HIL127" s="77"/>
      <c r="HIM127" s="77"/>
      <c r="HIN127" s="77"/>
      <c r="HIO127" s="77"/>
      <c r="HIP127" s="77"/>
      <c r="HIQ127" s="77"/>
      <c r="HIR127" s="77"/>
      <c r="HIS127" s="77"/>
      <c r="HIT127" s="77"/>
      <c r="HIU127" s="77"/>
      <c r="HIV127" s="77"/>
      <c r="HIW127" s="77"/>
      <c r="HIX127" s="77"/>
      <c r="HIY127" s="77"/>
      <c r="HIZ127" s="77"/>
      <c r="HJA127" s="77"/>
      <c r="HJB127" s="77"/>
      <c r="HJC127" s="77"/>
      <c r="HJD127" s="77"/>
      <c r="HJE127" s="77"/>
      <c r="HJF127" s="77"/>
      <c r="HJG127" s="77"/>
      <c r="HJH127" s="77"/>
      <c r="HJI127" s="77"/>
      <c r="HJJ127" s="77"/>
      <c r="HJK127" s="77"/>
      <c r="HJL127" s="77"/>
      <c r="HJM127" s="77"/>
      <c r="HJN127" s="77"/>
      <c r="HJO127" s="77"/>
      <c r="HJP127" s="77"/>
      <c r="HJQ127" s="77"/>
      <c r="HJR127" s="77"/>
      <c r="HJS127" s="77"/>
      <c r="HJT127" s="77"/>
      <c r="HJU127" s="77"/>
      <c r="HJV127" s="77"/>
      <c r="HJW127" s="77"/>
      <c r="HJX127" s="77"/>
      <c r="HJY127" s="77"/>
      <c r="HJZ127" s="77"/>
      <c r="HKA127" s="77"/>
      <c r="HKB127" s="77"/>
      <c r="HKC127" s="77"/>
      <c r="HKD127" s="77"/>
      <c r="HKE127" s="77"/>
      <c r="HKF127" s="77"/>
      <c r="HKG127" s="77"/>
      <c r="HKH127" s="77"/>
      <c r="HKI127" s="77"/>
      <c r="HKJ127" s="77"/>
      <c r="HKK127" s="77"/>
      <c r="HKL127" s="77"/>
      <c r="HKM127" s="77"/>
      <c r="HKN127" s="77"/>
      <c r="HKO127" s="77"/>
      <c r="HKP127" s="77"/>
      <c r="HKQ127" s="77"/>
      <c r="HKR127" s="77"/>
      <c r="HKS127" s="77"/>
      <c r="HKT127" s="77"/>
      <c r="HKU127" s="77"/>
      <c r="HKV127" s="77"/>
      <c r="HKW127" s="77"/>
      <c r="HKX127" s="77"/>
      <c r="HKY127" s="77"/>
      <c r="HKZ127" s="77"/>
      <c r="HLA127" s="77"/>
      <c r="HLB127" s="77"/>
      <c r="HLC127" s="77"/>
      <c r="HLD127" s="77"/>
      <c r="HLE127" s="77"/>
      <c r="HLF127" s="77"/>
      <c r="HLG127" s="77"/>
      <c r="HLH127" s="77"/>
      <c r="HLI127" s="77"/>
      <c r="HLJ127" s="77"/>
      <c r="HLK127" s="77"/>
      <c r="HLL127" s="77"/>
      <c r="HLM127" s="77"/>
      <c r="HLN127" s="77"/>
      <c r="HLO127" s="77"/>
      <c r="HLP127" s="77"/>
      <c r="HLQ127" s="77"/>
      <c r="HLR127" s="77"/>
      <c r="HLS127" s="77"/>
      <c r="HLT127" s="77"/>
      <c r="HLU127" s="77"/>
      <c r="HLV127" s="77"/>
      <c r="HLW127" s="77"/>
      <c r="HLX127" s="77"/>
      <c r="HLY127" s="77"/>
      <c r="HLZ127" s="77"/>
      <c r="HMA127" s="77"/>
      <c r="HMB127" s="77"/>
      <c r="HMC127" s="77"/>
      <c r="HMD127" s="77"/>
      <c r="HME127" s="77"/>
      <c r="HMF127" s="77"/>
      <c r="HMG127" s="77"/>
      <c r="HMH127" s="77"/>
      <c r="HMI127" s="77"/>
      <c r="HMJ127" s="77"/>
      <c r="HMK127" s="77"/>
      <c r="HML127" s="77"/>
      <c r="HMM127" s="77"/>
      <c r="HMN127" s="77"/>
      <c r="HMO127" s="77"/>
      <c r="HMP127" s="77"/>
      <c r="HMQ127" s="77"/>
      <c r="HMR127" s="77"/>
      <c r="HMS127" s="77"/>
      <c r="HMT127" s="77"/>
      <c r="HMU127" s="77"/>
      <c r="HMV127" s="77"/>
      <c r="HMW127" s="77"/>
      <c r="HMX127" s="77"/>
      <c r="HMY127" s="77"/>
      <c r="HMZ127" s="77"/>
      <c r="HNA127" s="77"/>
      <c r="HNB127" s="77"/>
      <c r="HNC127" s="77"/>
      <c r="HND127" s="77"/>
      <c r="HNE127" s="77"/>
      <c r="HNF127" s="77"/>
      <c r="HNG127" s="77"/>
      <c r="HNH127" s="77"/>
      <c r="HNI127" s="77"/>
      <c r="HNJ127" s="77"/>
      <c r="HNK127" s="77"/>
      <c r="HNL127" s="77"/>
      <c r="HNM127" s="77"/>
      <c r="HNN127" s="77"/>
      <c r="HNO127" s="77"/>
      <c r="HNP127" s="77"/>
      <c r="HNQ127" s="77"/>
      <c r="HNR127" s="77"/>
      <c r="HNS127" s="77"/>
      <c r="HNT127" s="77"/>
      <c r="HNU127" s="77"/>
      <c r="HNV127" s="77"/>
      <c r="HNW127" s="77"/>
      <c r="HNX127" s="77"/>
      <c r="HNY127" s="77"/>
      <c r="HNZ127" s="77"/>
      <c r="HOA127" s="77"/>
      <c r="HOB127" s="77"/>
      <c r="HOC127" s="77"/>
      <c r="HOD127" s="77"/>
      <c r="HOE127" s="77"/>
      <c r="HOF127" s="77"/>
      <c r="HOG127" s="77"/>
      <c r="HOH127" s="77"/>
      <c r="HOI127" s="77"/>
      <c r="HOJ127" s="77"/>
      <c r="HOK127" s="77"/>
      <c r="HOL127" s="77"/>
      <c r="HOM127" s="77"/>
      <c r="HON127" s="77"/>
      <c r="HOO127" s="77"/>
      <c r="HOP127" s="77"/>
      <c r="HOQ127" s="77"/>
      <c r="HOR127" s="77"/>
      <c r="HOS127" s="77"/>
      <c r="HOT127" s="77"/>
      <c r="HOU127" s="77"/>
      <c r="HOV127" s="77"/>
      <c r="HOW127" s="77"/>
      <c r="HOX127" s="77"/>
      <c r="HOY127" s="77"/>
      <c r="HOZ127" s="77"/>
      <c r="HPA127" s="77"/>
      <c r="HPB127" s="77"/>
      <c r="HPC127" s="77"/>
      <c r="HPD127" s="77"/>
      <c r="HPE127" s="77"/>
      <c r="HPF127" s="77"/>
      <c r="HPG127" s="77"/>
      <c r="HPH127" s="77"/>
      <c r="HPI127" s="77"/>
      <c r="HPJ127" s="77"/>
      <c r="HPK127" s="77"/>
      <c r="HPL127" s="77"/>
      <c r="HPM127" s="77"/>
      <c r="HPN127" s="77"/>
      <c r="HPO127" s="77"/>
      <c r="HPP127" s="77"/>
      <c r="HPQ127" s="77"/>
      <c r="HPR127" s="77"/>
      <c r="HPS127" s="77"/>
      <c r="HPT127" s="77"/>
      <c r="HPU127" s="77"/>
      <c r="HPV127" s="77"/>
      <c r="HPW127" s="77"/>
      <c r="HPX127" s="77"/>
      <c r="HPY127" s="77"/>
      <c r="HPZ127" s="77"/>
      <c r="HQA127" s="77"/>
      <c r="HQB127" s="77"/>
      <c r="HQC127" s="77"/>
      <c r="HQD127" s="77"/>
      <c r="HQE127" s="77"/>
      <c r="HQF127" s="77"/>
      <c r="HQG127" s="77"/>
      <c r="HQH127" s="77"/>
      <c r="HQI127" s="77"/>
      <c r="HQJ127" s="77"/>
      <c r="HQK127" s="77"/>
      <c r="HQL127" s="77"/>
      <c r="HQM127" s="77"/>
      <c r="HQN127" s="77"/>
      <c r="HQO127" s="77"/>
      <c r="HQP127" s="77"/>
      <c r="HQQ127" s="77"/>
      <c r="HQR127" s="77"/>
      <c r="HQS127" s="77"/>
      <c r="HQT127" s="77"/>
      <c r="HQU127" s="77"/>
      <c r="HQV127" s="77"/>
      <c r="HQW127" s="77"/>
      <c r="HQX127" s="77"/>
      <c r="HQY127" s="77"/>
      <c r="HQZ127" s="77"/>
      <c r="HRA127" s="77"/>
      <c r="HRB127" s="77"/>
      <c r="HRC127" s="77"/>
      <c r="HRD127" s="77"/>
      <c r="HRE127" s="77"/>
      <c r="HRF127" s="77"/>
      <c r="HRG127" s="77"/>
      <c r="HRH127" s="77"/>
      <c r="HRI127" s="77"/>
      <c r="HRJ127" s="77"/>
      <c r="HRK127" s="77"/>
      <c r="HRL127" s="77"/>
      <c r="HRM127" s="77"/>
      <c r="HRN127" s="77"/>
      <c r="HRO127" s="77"/>
      <c r="HRP127" s="77"/>
      <c r="HRQ127" s="77"/>
      <c r="HRR127" s="77"/>
      <c r="HRS127" s="77"/>
      <c r="HRT127" s="77"/>
      <c r="HRU127" s="77"/>
      <c r="HRV127" s="77"/>
      <c r="HRW127" s="77"/>
      <c r="HRX127" s="77"/>
      <c r="HRY127" s="77"/>
      <c r="HRZ127" s="77"/>
      <c r="HSA127" s="77"/>
      <c r="HSB127" s="77"/>
      <c r="HSC127" s="77"/>
      <c r="HSD127" s="77"/>
      <c r="HSE127" s="77"/>
      <c r="HSF127" s="77"/>
      <c r="HSG127" s="77"/>
      <c r="HSH127" s="77"/>
      <c r="HSI127" s="77"/>
      <c r="HSJ127" s="77"/>
      <c r="HSK127" s="77"/>
      <c r="HSL127" s="77"/>
      <c r="HSM127" s="77"/>
      <c r="HSN127" s="77"/>
      <c r="HSO127" s="77"/>
      <c r="HSP127" s="77"/>
      <c r="HSQ127" s="77"/>
      <c r="HSR127" s="77"/>
      <c r="HSS127" s="77"/>
      <c r="HST127" s="77"/>
      <c r="HSU127" s="77"/>
      <c r="HSV127" s="77"/>
      <c r="HSW127" s="77"/>
      <c r="HSX127" s="77"/>
      <c r="HSY127" s="77"/>
      <c r="HSZ127" s="77"/>
      <c r="HTA127" s="77"/>
      <c r="HTB127" s="77"/>
      <c r="HTC127" s="77"/>
      <c r="HTD127" s="77"/>
      <c r="HTE127" s="77"/>
      <c r="HTF127" s="77"/>
      <c r="HTG127" s="77"/>
      <c r="HTH127" s="77"/>
      <c r="HTI127" s="77"/>
      <c r="HTJ127" s="77"/>
      <c r="HTK127" s="77"/>
      <c r="HTL127" s="77"/>
      <c r="HTM127" s="77"/>
      <c r="HTN127" s="77"/>
      <c r="HTO127" s="77"/>
      <c r="HTP127" s="77"/>
      <c r="HTQ127" s="77"/>
      <c r="HTR127" s="77"/>
      <c r="HTS127" s="77"/>
      <c r="HTT127" s="77"/>
      <c r="HTU127" s="77"/>
      <c r="HTV127" s="77"/>
      <c r="HTW127" s="77"/>
      <c r="HTX127" s="77"/>
      <c r="HTY127" s="77"/>
      <c r="HTZ127" s="77"/>
      <c r="HUA127" s="77"/>
      <c r="HUB127" s="77"/>
      <c r="HUC127" s="77"/>
      <c r="HUD127" s="77"/>
      <c r="HUE127" s="77"/>
      <c r="HUF127" s="77"/>
      <c r="HUG127" s="77"/>
      <c r="HUH127" s="77"/>
      <c r="HUI127" s="77"/>
      <c r="HUJ127" s="77"/>
      <c r="HUK127" s="77"/>
      <c r="HUL127" s="77"/>
      <c r="HUM127" s="77"/>
      <c r="HUN127" s="77"/>
      <c r="HUO127" s="77"/>
      <c r="HUP127" s="77"/>
      <c r="HUQ127" s="77"/>
      <c r="HUR127" s="77"/>
      <c r="HUS127" s="77"/>
      <c r="HUT127" s="77"/>
      <c r="HUU127" s="77"/>
      <c r="HUV127" s="77"/>
      <c r="HUW127" s="77"/>
      <c r="HUX127" s="77"/>
      <c r="HUY127" s="77"/>
      <c r="HUZ127" s="77"/>
      <c r="HVA127" s="77"/>
      <c r="HVB127" s="77"/>
      <c r="HVC127" s="77"/>
      <c r="HVD127" s="77"/>
      <c r="HVE127" s="77"/>
      <c r="HVF127" s="77"/>
      <c r="HVG127" s="77"/>
      <c r="HVH127" s="77"/>
      <c r="HVI127" s="77"/>
      <c r="HVJ127" s="77"/>
      <c r="HVK127" s="77"/>
      <c r="HVL127" s="77"/>
      <c r="HVM127" s="77"/>
      <c r="HVN127" s="77"/>
      <c r="HVO127" s="77"/>
      <c r="HVP127" s="77"/>
      <c r="HVQ127" s="77"/>
      <c r="HVR127" s="77"/>
      <c r="HVS127" s="77"/>
      <c r="HVT127" s="77"/>
      <c r="HVU127" s="77"/>
      <c r="HVV127" s="77"/>
      <c r="HVW127" s="77"/>
      <c r="HVX127" s="77"/>
      <c r="HVY127" s="77"/>
      <c r="HVZ127" s="77"/>
      <c r="HWA127" s="77"/>
      <c r="HWB127" s="77"/>
      <c r="HWC127" s="77"/>
      <c r="HWD127" s="77"/>
      <c r="HWE127" s="77"/>
      <c r="HWF127" s="77"/>
      <c r="HWG127" s="77"/>
      <c r="HWH127" s="77"/>
      <c r="HWI127" s="77"/>
      <c r="HWJ127" s="77"/>
      <c r="HWK127" s="77"/>
      <c r="HWL127" s="77"/>
      <c r="HWM127" s="77"/>
      <c r="HWN127" s="77"/>
      <c r="HWO127" s="77"/>
      <c r="HWP127" s="77"/>
      <c r="HWQ127" s="77"/>
      <c r="HWR127" s="77"/>
      <c r="HWS127" s="77"/>
      <c r="HWT127" s="77"/>
      <c r="HWU127" s="77"/>
      <c r="HWV127" s="77"/>
      <c r="HWW127" s="77"/>
      <c r="HWX127" s="77"/>
      <c r="HWY127" s="77"/>
      <c r="HWZ127" s="77"/>
      <c r="HXA127" s="77"/>
      <c r="HXB127" s="77"/>
      <c r="HXC127" s="77"/>
      <c r="HXD127" s="77"/>
      <c r="HXE127" s="77"/>
      <c r="HXF127" s="77"/>
      <c r="HXG127" s="77"/>
      <c r="HXH127" s="77"/>
      <c r="HXI127" s="77"/>
      <c r="HXJ127" s="77"/>
      <c r="HXK127" s="77"/>
      <c r="HXL127" s="77"/>
      <c r="HXM127" s="77"/>
      <c r="HXN127" s="77"/>
      <c r="HXO127" s="77"/>
      <c r="HXP127" s="77"/>
      <c r="HXQ127" s="77"/>
      <c r="HXR127" s="77"/>
      <c r="HXS127" s="77"/>
      <c r="HXT127" s="77"/>
      <c r="HXU127" s="77"/>
      <c r="HXV127" s="77"/>
      <c r="HXW127" s="77"/>
      <c r="HXX127" s="77"/>
      <c r="HXY127" s="77"/>
      <c r="HXZ127" s="77"/>
      <c r="HYA127" s="77"/>
      <c r="HYB127" s="77"/>
      <c r="HYC127" s="77"/>
      <c r="HYD127" s="77"/>
      <c r="HYE127" s="77"/>
      <c r="HYF127" s="77"/>
      <c r="HYG127" s="77"/>
      <c r="HYH127" s="77"/>
      <c r="HYI127" s="77"/>
      <c r="HYJ127" s="77"/>
      <c r="HYK127" s="77"/>
      <c r="HYL127" s="77"/>
      <c r="HYM127" s="77"/>
      <c r="HYN127" s="77"/>
      <c r="HYO127" s="77"/>
      <c r="HYP127" s="77"/>
      <c r="HYQ127" s="77"/>
      <c r="HYR127" s="77"/>
      <c r="HYS127" s="77"/>
      <c r="HYT127" s="77"/>
      <c r="HYU127" s="77"/>
      <c r="HYV127" s="77"/>
      <c r="HYW127" s="77"/>
      <c r="HYX127" s="77"/>
      <c r="HYY127" s="77"/>
      <c r="HYZ127" s="77"/>
      <c r="HZA127" s="77"/>
      <c r="HZB127" s="77"/>
      <c r="HZC127" s="77"/>
      <c r="HZD127" s="77"/>
      <c r="HZE127" s="77"/>
      <c r="HZF127" s="77"/>
      <c r="HZG127" s="77"/>
      <c r="HZH127" s="77"/>
      <c r="HZI127" s="77"/>
      <c r="HZJ127" s="77"/>
      <c r="HZK127" s="77"/>
      <c r="HZL127" s="77"/>
      <c r="HZM127" s="77"/>
      <c r="HZN127" s="77"/>
      <c r="HZO127" s="77"/>
      <c r="HZP127" s="77"/>
      <c r="HZQ127" s="77"/>
      <c r="HZR127" s="77"/>
      <c r="HZS127" s="77"/>
      <c r="HZT127" s="77"/>
      <c r="HZU127" s="77"/>
      <c r="HZV127" s="77"/>
      <c r="HZW127" s="77"/>
      <c r="HZX127" s="77"/>
      <c r="HZY127" s="77"/>
      <c r="HZZ127" s="77"/>
      <c r="IAA127" s="77"/>
      <c r="IAB127" s="77"/>
      <c r="IAC127" s="77"/>
      <c r="IAD127" s="77"/>
      <c r="IAE127" s="77"/>
      <c r="IAF127" s="77"/>
      <c r="IAG127" s="77"/>
      <c r="IAH127" s="77"/>
      <c r="IAI127" s="77"/>
      <c r="IAJ127" s="77"/>
      <c r="IAK127" s="77"/>
      <c r="IAL127" s="77"/>
      <c r="IAM127" s="77"/>
      <c r="IAN127" s="77"/>
      <c r="IAO127" s="77"/>
      <c r="IAP127" s="77"/>
      <c r="IAQ127" s="77"/>
      <c r="IAR127" s="77"/>
      <c r="IAS127" s="77"/>
      <c r="IAT127" s="77"/>
      <c r="IAU127" s="77"/>
      <c r="IAV127" s="77"/>
      <c r="IAW127" s="77"/>
      <c r="IAX127" s="77"/>
      <c r="IAY127" s="77"/>
      <c r="IAZ127" s="77"/>
      <c r="IBA127" s="77"/>
      <c r="IBB127" s="77"/>
      <c r="IBC127" s="77"/>
      <c r="IBD127" s="77"/>
      <c r="IBE127" s="77"/>
      <c r="IBF127" s="77"/>
      <c r="IBG127" s="77"/>
      <c r="IBH127" s="77"/>
      <c r="IBI127" s="77"/>
      <c r="IBJ127" s="77"/>
      <c r="IBK127" s="77"/>
      <c r="IBL127" s="77"/>
      <c r="IBM127" s="77"/>
      <c r="IBN127" s="77"/>
      <c r="IBO127" s="77"/>
      <c r="IBP127" s="77"/>
      <c r="IBQ127" s="77"/>
      <c r="IBR127" s="77"/>
      <c r="IBS127" s="77"/>
      <c r="IBT127" s="77"/>
      <c r="IBU127" s="77"/>
      <c r="IBV127" s="77"/>
      <c r="IBW127" s="77"/>
      <c r="IBX127" s="77"/>
      <c r="IBY127" s="77"/>
      <c r="IBZ127" s="77"/>
      <c r="ICA127" s="77"/>
      <c r="ICB127" s="77"/>
      <c r="ICC127" s="77"/>
      <c r="ICD127" s="77"/>
      <c r="ICE127" s="77"/>
      <c r="ICF127" s="77"/>
      <c r="ICG127" s="77"/>
      <c r="ICH127" s="77"/>
      <c r="ICI127" s="77"/>
      <c r="ICJ127" s="77"/>
      <c r="ICK127" s="77"/>
      <c r="ICL127" s="77"/>
      <c r="ICM127" s="77"/>
      <c r="ICN127" s="77"/>
      <c r="ICO127" s="77"/>
      <c r="ICP127" s="77"/>
      <c r="ICQ127" s="77"/>
      <c r="ICR127" s="77"/>
      <c r="ICS127" s="77"/>
      <c r="ICT127" s="77"/>
      <c r="ICU127" s="77"/>
      <c r="ICV127" s="77"/>
      <c r="ICW127" s="77"/>
      <c r="ICX127" s="77"/>
      <c r="ICY127" s="77"/>
      <c r="ICZ127" s="77"/>
      <c r="IDA127" s="77"/>
      <c r="IDB127" s="77"/>
      <c r="IDC127" s="77"/>
      <c r="IDD127" s="77"/>
      <c r="IDE127" s="77"/>
      <c r="IDF127" s="77"/>
      <c r="IDG127" s="77"/>
      <c r="IDH127" s="77"/>
      <c r="IDI127" s="77"/>
      <c r="IDJ127" s="77"/>
      <c r="IDK127" s="77"/>
      <c r="IDL127" s="77"/>
      <c r="IDM127" s="77"/>
      <c r="IDN127" s="77"/>
      <c r="IDO127" s="77"/>
      <c r="IDP127" s="77"/>
      <c r="IDQ127" s="77"/>
      <c r="IDR127" s="77"/>
      <c r="IDS127" s="77"/>
      <c r="IDT127" s="77"/>
      <c r="IDU127" s="77"/>
      <c r="IDV127" s="77"/>
      <c r="IDW127" s="77"/>
      <c r="IDX127" s="77"/>
      <c r="IDY127" s="77"/>
      <c r="IDZ127" s="77"/>
      <c r="IEA127" s="77"/>
      <c r="IEB127" s="77"/>
      <c r="IEC127" s="77"/>
      <c r="IED127" s="77"/>
      <c r="IEE127" s="77"/>
      <c r="IEF127" s="77"/>
      <c r="IEG127" s="77"/>
      <c r="IEH127" s="77"/>
      <c r="IEI127" s="77"/>
      <c r="IEJ127" s="77"/>
      <c r="IEK127" s="77"/>
      <c r="IEL127" s="77"/>
      <c r="IEM127" s="77"/>
      <c r="IEN127" s="77"/>
      <c r="IEO127" s="77"/>
      <c r="IEP127" s="77"/>
      <c r="IEQ127" s="77"/>
      <c r="IER127" s="77"/>
      <c r="IES127" s="77"/>
      <c r="IET127" s="77"/>
      <c r="IEU127" s="77"/>
      <c r="IEV127" s="77"/>
      <c r="IEW127" s="77"/>
      <c r="IEX127" s="77"/>
      <c r="IEY127" s="77"/>
      <c r="IEZ127" s="77"/>
      <c r="IFA127" s="77"/>
      <c r="IFB127" s="77"/>
      <c r="IFC127" s="77"/>
      <c r="IFD127" s="77"/>
      <c r="IFE127" s="77"/>
      <c r="IFF127" s="77"/>
      <c r="IFG127" s="77"/>
      <c r="IFH127" s="77"/>
      <c r="IFI127" s="77"/>
      <c r="IFJ127" s="77"/>
      <c r="IFK127" s="77"/>
      <c r="IFL127" s="77"/>
      <c r="IFM127" s="77"/>
      <c r="IFN127" s="77"/>
      <c r="IFO127" s="77"/>
      <c r="IFP127" s="77"/>
      <c r="IFQ127" s="77"/>
      <c r="IFR127" s="77"/>
      <c r="IFS127" s="77"/>
      <c r="IFT127" s="77"/>
      <c r="IFU127" s="77"/>
      <c r="IFV127" s="77"/>
      <c r="IFW127" s="77"/>
      <c r="IFX127" s="77"/>
      <c r="IFY127" s="77"/>
      <c r="IFZ127" s="77"/>
      <c r="IGA127" s="77"/>
      <c r="IGB127" s="77"/>
      <c r="IGC127" s="77"/>
      <c r="IGD127" s="77"/>
      <c r="IGE127" s="77"/>
      <c r="IGF127" s="77"/>
      <c r="IGG127" s="77"/>
      <c r="IGH127" s="77"/>
      <c r="IGI127" s="77"/>
      <c r="IGJ127" s="77"/>
      <c r="IGK127" s="77"/>
      <c r="IGL127" s="77"/>
      <c r="IGM127" s="77"/>
      <c r="IGN127" s="77"/>
      <c r="IGO127" s="77"/>
      <c r="IGP127" s="77"/>
      <c r="IGQ127" s="77"/>
      <c r="IGR127" s="77"/>
      <c r="IGS127" s="77"/>
      <c r="IGT127" s="77"/>
      <c r="IGU127" s="77"/>
      <c r="IGV127" s="77"/>
      <c r="IGW127" s="77"/>
      <c r="IGX127" s="77"/>
      <c r="IGY127" s="77"/>
      <c r="IGZ127" s="77"/>
      <c r="IHA127" s="77"/>
      <c r="IHB127" s="77"/>
      <c r="IHC127" s="77"/>
      <c r="IHD127" s="77"/>
      <c r="IHE127" s="77"/>
      <c r="IHF127" s="77"/>
      <c r="IHG127" s="77"/>
      <c r="IHH127" s="77"/>
      <c r="IHI127" s="77"/>
      <c r="IHJ127" s="77"/>
      <c r="IHK127" s="77"/>
      <c r="IHL127" s="77"/>
      <c r="IHM127" s="77"/>
      <c r="IHN127" s="77"/>
      <c r="IHO127" s="77"/>
      <c r="IHP127" s="77"/>
      <c r="IHQ127" s="77"/>
      <c r="IHR127" s="77"/>
      <c r="IHS127" s="77"/>
      <c r="IHT127" s="77"/>
      <c r="IHU127" s="77"/>
      <c r="IHV127" s="77"/>
      <c r="IHW127" s="77"/>
      <c r="IHX127" s="77"/>
      <c r="IHY127" s="77"/>
      <c r="IHZ127" s="77"/>
      <c r="IIA127" s="77"/>
      <c r="IIB127" s="77"/>
      <c r="IIC127" s="77"/>
      <c r="IID127" s="77"/>
      <c r="IIE127" s="77"/>
      <c r="IIF127" s="77"/>
      <c r="IIG127" s="77"/>
      <c r="IIH127" s="77"/>
      <c r="III127" s="77"/>
      <c r="IIJ127" s="77"/>
      <c r="IIK127" s="77"/>
      <c r="IIL127" s="77"/>
      <c r="IIM127" s="77"/>
      <c r="IIN127" s="77"/>
      <c r="IIO127" s="77"/>
      <c r="IIP127" s="77"/>
      <c r="IIQ127" s="77"/>
      <c r="IIR127" s="77"/>
      <c r="IIS127" s="77"/>
      <c r="IIT127" s="77"/>
      <c r="IIU127" s="77"/>
      <c r="IIV127" s="77"/>
      <c r="IIW127" s="77"/>
      <c r="IIX127" s="77"/>
      <c r="IIY127" s="77"/>
      <c r="IIZ127" s="77"/>
      <c r="IJA127" s="77"/>
      <c r="IJB127" s="77"/>
      <c r="IJC127" s="77"/>
      <c r="IJD127" s="77"/>
      <c r="IJE127" s="77"/>
      <c r="IJF127" s="77"/>
      <c r="IJG127" s="77"/>
      <c r="IJH127" s="77"/>
      <c r="IJI127" s="77"/>
      <c r="IJJ127" s="77"/>
      <c r="IJK127" s="77"/>
      <c r="IJL127" s="77"/>
      <c r="IJM127" s="77"/>
      <c r="IJN127" s="77"/>
      <c r="IJO127" s="77"/>
      <c r="IJP127" s="77"/>
      <c r="IJQ127" s="77"/>
      <c r="IJR127" s="77"/>
      <c r="IJS127" s="77"/>
      <c r="IJT127" s="77"/>
      <c r="IJU127" s="77"/>
      <c r="IJV127" s="77"/>
      <c r="IJW127" s="77"/>
      <c r="IJX127" s="77"/>
      <c r="IJY127" s="77"/>
      <c r="IJZ127" s="77"/>
      <c r="IKA127" s="77"/>
      <c r="IKB127" s="77"/>
      <c r="IKC127" s="77"/>
      <c r="IKD127" s="77"/>
      <c r="IKE127" s="77"/>
      <c r="IKF127" s="77"/>
      <c r="IKG127" s="77"/>
      <c r="IKH127" s="77"/>
      <c r="IKI127" s="77"/>
      <c r="IKJ127" s="77"/>
      <c r="IKK127" s="77"/>
      <c r="IKL127" s="77"/>
      <c r="IKM127" s="77"/>
      <c r="IKN127" s="77"/>
      <c r="IKO127" s="77"/>
      <c r="IKP127" s="77"/>
      <c r="IKQ127" s="77"/>
      <c r="IKR127" s="77"/>
      <c r="IKS127" s="77"/>
      <c r="IKT127" s="77"/>
      <c r="IKU127" s="77"/>
      <c r="IKV127" s="77"/>
      <c r="IKW127" s="77"/>
      <c r="IKX127" s="77"/>
      <c r="IKY127" s="77"/>
      <c r="IKZ127" s="77"/>
      <c r="ILA127" s="77"/>
      <c r="ILB127" s="77"/>
      <c r="ILC127" s="77"/>
      <c r="ILD127" s="77"/>
      <c r="ILE127" s="77"/>
      <c r="ILF127" s="77"/>
      <c r="ILG127" s="77"/>
      <c r="ILH127" s="77"/>
      <c r="ILI127" s="77"/>
      <c r="ILJ127" s="77"/>
      <c r="ILK127" s="77"/>
      <c r="ILL127" s="77"/>
      <c r="ILM127" s="77"/>
      <c r="ILN127" s="77"/>
      <c r="ILO127" s="77"/>
      <c r="ILP127" s="77"/>
      <c r="ILQ127" s="77"/>
      <c r="ILR127" s="77"/>
      <c r="ILS127" s="77"/>
      <c r="ILT127" s="77"/>
      <c r="ILU127" s="77"/>
      <c r="ILV127" s="77"/>
      <c r="ILW127" s="77"/>
      <c r="ILX127" s="77"/>
      <c r="ILY127" s="77"/>
      <c r="ILZ127" s="77"/>
      <c r="IMA127" s="77"/>
      <c r="IMB127" s="77"/>
      <c r="IMC127" s="77"/>
      <c r="IMD127" s="77"/>
      <c r="IME127" s="77"/>
      <c r="IMF127" s="77"/>
      <c r="IMG127" s="77"/>
      <c r="IMH127" s="77"/>
      <c r="IMI127" s="77"/>
      <c r="IMJ127" s="77"/>
      <c r="IMK127" s="77"/>
      <c r="IML127" s="77"/>
      <c r="IMM127" s="77"/>
      <c r="IMN127" s="77"/>
      <c r="IMO127" s="77"/>
      <c r="IMP127" s="77"/>
      <c r="IMQ127" s="77"/>
      <c r="IMR127" s="77"/>
      <c r="IMS127" s="77"/>
      <c r="IMT127" s="77"/>
      <c r="IMU127" s="77"/>
      <c r="IMV127" s="77"/>
      <c r="IMW127" s="77"/>
      <c r="IMX127" s="77"/>
      <c r="IMY127" s="77"/>
      <c r="IMZ127" s="77"/>
      <c r="INA127" s="77"/>
      <c r="INB127" s="77"/>
      <c r="INC127" s="77"/>
      <c r="IND127" s="77"/>
      <c r="INE127" s="77"/>
      <c r="INF127" s="77"/>
      <c r="ING127" s="77"/>
      <c r="INH127" s="77"/>
      <c r="INI127" s="77"/>
      <c r="INJ127" s="77"/>
      <c r="INK127" s="77"/>
      <c r="INL127" s="77"/>
      <c r="INM127" s="77"/>
      <c r="INN127" s="77"/>
      <c r="INO127" s="77"/>
      <c r="INP127" s="77"/>
      <c r="INQ127" s="77"/>
      <c r="INR127" s="77"/>
      <c r="INS127" s="77"/>
      <c r="INT127" s="77"/>
      <c r="INU127" s="77"/>
      <c r="INV127" s="77"/>
      <c r="INW127" s="77"/>
      <c r="INX127" s="77"/>
      <c r="INY127" s="77"/>
      <c r="INZ127" s="77"/>
      <c r="IOA127" s="77"/>
      <c r="IOB127" s="77"/>
      <c r="IOC127" s="77"/>
      <c r="IOD127" s="77"/>
      <c r="IOE127" s="77"/>
      <c r="IOF127" s="77"/>
      <c r="IOG127" s="77"/>
      <c r="IOH127" s="77"/>
      <c r="IOI127" s="77"/>
      <c r="IOJ127" s="77"/>
      <c r="IOK127" s="77"/>
      <c r="IOL127" s="77"/>
      <c r="IOM127" s="77"/>
      <c r="ION127" s="77"/>
      <c r="IOO127" s="77"/>
      <c r="IOP127" s="77"/>
      <c r="IOQ127" s="77"/>
      <c r="IOR127" s="77"/>
      <c r="IOS127" s="77"/>
      <c r="IOT127" s="77"/>
      <c r="IOU127" s="77"/>
      <c r="IOV127" s="77"/>
      <c r="IOW127" s="77"/>
      <c r="IOX127" s="77"/>
      <c r="IOY127" s="77"/>
      <c r="IOZ127" s="77"/>
      <c r="IPA127" s="77"/>
      <c r="IPB127" s="77"/>
      <c r="IPC127" s="77"/>
      <c r="IPD127" s="77"/>
      <c r="IPE127" s="77"/>
      <c r="IPF127" s="77"/>
      <c r="IPG127" s="77"/>
      <c r="IPH127" s="77"/>
      <c r="IPI127" s="77"/>
      <c r="IPJ127" s="77"/>
      <c r="IPK127" s="77"/>
      <c r="IPL127" s="77"/>
      <c r="IPM127" s="77"/>
      <c r="IPN127" s="77"/>
      <c r="IPO127" s="77"/>
      <c r="IPP127" s="77"/>
      <c r="IPQ127" s="77"/>
      <c r="IPR127" s="77"/>
      <c r="IPS127" s="77"/>
      <c r="IPT127" s="77"/>
      <c r="IPU127" s="77"/>
      <c r="IPV127" s="77"/>
      <c r="IPW127" s="77"/>
      <c r="IPX127" s="77"/>
      <c r="IPY127" s="77"/>
      <c r="IPZ127" s="77"/>
      <c r="IQA127" s="77"/>
      <c r="IQB127" s="77"/>
      <c r="IQC127" s="77"/>
      <c r="IQD127" s="77"/>
      <c r="IQE127" s="77"/>
      <c r="IQF127" s="77"/>
      <c r="IQG127" s="77"/>
      <c r="IQH127" s="77"/>
      <c r="IQI127" s="77"/>
      <c r="IQJ127" s="77"/>
      <c r="IQK127" s="77"/>
      <c r="IQL127" s="77"/>
      <c r="IQM127" s="77"/>
      <c r="IQN127" s="77"/>
      <c r="IQO127" s="77"/>
      <c r="IQP127" s="77"/>
      <c r="IQQ127" s="77"/>
      <c r="IQR127" s="77"/>
      <c r="IQS127" s="77"/>
      <c r="IQT127" s="77"/>
      <c r="IQU127" s="77"/>
      <c r="IQV127" s="77"/>
      <c r="IQW127" s="77"/>
      <c r="IQX127" s="77"/>
      <c r="IQY127" s="77"/>
      <c r="IQZ127" s="77"/>
      <c r="IRA127" s="77"/>
      <c r="IRB127" s="77"/>
      <c r="IRC127" s="77"/>
      <c r="IRD127" s="77"/>
      <c r="IRE127" s="77"/>
      <c r="IRF127" s="77"/>
      <c r="IRG127" s="77"/>
      <c r="IRH127" s="77"/>
      <c r="IRI127" s="77"/>
      <c r="IRJ127" s="77"/>
      <c r="IRK127" s="77"/>
      <c r="IRL127" s="77"/>
      <c r="IRM127" s="77"/>
      <c r="IRN127" s="77"/>
      <c r="IRO127" s="77"/>
      <c r="IRP127" s="77"/>
      <c r="IRQ127" s="77"/>
      <c r="IRR127" s="77"/>
      <c r="IRS127" s="77"/>
      <c r="IRT127" s="77"/>
      <c r="IRU127" s="77"/>
      <c r="IRV127" s="77"/>
      <c r="IRW127" s="77"/>
      <c r="IRX127" s="77"/>
      <c r="IRY127" s="77"/>
      <c r="IRZ127" s="77"/>
      <c r="ISA127" s="77"/>
      <c r="ISB127" s="77"/>
      <c r="ISC127" s="77"/>
      <c r="ISD127" s="77"/>
      <c r="ISE127" s="77"/>
      <c r="ISF127" s="77"/>
      <c r="ISG127" s="77"/>
      <c r="ISH127" s="77"/>
      <c r="ISI127" s="77"/>
      <c r="ISJ127" s="77"/>
      <c r="ISK127" s="77"/>
      <c r="ISL127" s="77"/>
      <c r="ISM127" s="77"/>
      <c r="ISN127" s="77"/>
      <c r="ISO127" s="77"/>
      <c r="ISP127" s="77"/>
      <c r="ISQ127" s="77"/>
      <c r="ISR127" s="77"/>
      <c r="ISS127" s="77"/>
      <c r="IST127" s="77"/>
      <c r="ISU127" s="77"/>
      <c r="ISV127" s="77"/>
      <c r="ISW127" s="77"/>
      <c r="ISX127" s="77"/>
      <c r="ISY127" s="77"/>
      <c r="ISZ127" s="77"/>
      <c r="ITA127" s="77"/>
      <c r="ITB127" s="77"/>
      <c r="ITC127" s="77"/>
      <c r="ITD127" s="77"/>
      <c r="ITE127" s="77"/>
      <c r="ITF127" s="77"/>
      <c r="ITG127" s="77"/>
      <c r="ITH127" s="77"/>
      <c r="ITI127" s="77"/>
      <c r="ITJ127" s="77"/>
      <c r="ITK127" s="77"/>
      <c r="ITL127" s="77"/>
      <c r="ITM127" s="77"/>
      <c r="ITN127" s="77"/>
      <c r="ITO127" s="77"/>
      <c r="ITP127" s="77"/>
      <c r="ITQ127" s="77"/>
      <c r="ITR127" s="77"/>
      <c r="ITS127" s="77"/>
      <c r="ITT127" s="77"/>
      <c r="ITU127" s="77"/>
      <c r="ITV127" s="77"/>
      <c r="ITW127" s="77"/>
      <c r="ITX127" s="77"/>
      <c r="ITY127" s="77"/>
      <c r="ITZ127" s="77"/>
      <c r="IUA127" s="77"/>
      <c r="IUB127" s="77"/>
      <c r="IUC127" s="77"/>
      <c r="IUD127" s="77"/>
      <c r="IUE127" s="77"/>
      <c r="IUF127" s="77"/>
      <c r="IUG127" s="77"/>
      <c r="IUH127" s="77"/>
      <c r="IUI127" s="77"/>
      <c r="IUJ127" s="77"/>
      <c r="IUK127" s="77"/>
      <c r="IUL127" s="77"/>
      <c r="IUM127" s="77"/>
      <c r="IUN127" s="77"/>
      <c r="IUO127" s="77"/>
      <c r="IUP127" s="77"/>
      <c r="IUQ127" s="77"/>
      <c r="IUR127" s="77"/>
      <c r="IUS127" s="77"/>
      <c r="IUT127" s="77"/>
      <c r="IUU127" s="77"/>
      <c r="IUV127" s="77"/>
      <c r="IUW127" s="77"/>
      <c r="IUX127" s="77"/>
      <c r="IUY127" s="77"/>
      <c r="IUZ127" s="77"/>
      <c r="IVA127" s="77"/>
      <c r="IVB127" s="77"/>
      <c r="IVC127" s="77"/>
      <c r="IVD127" s="77"/>
      <c r="IVE127" s="77"/>
      <c r="IVF127" s="77"/>
      <c r="IVG127" s="77"/>
      <c r="IVH127" s="77"/>
      <c r="IVI127" s="77"/>
      <c r="IVJ127" s="77"/>
      <c r="IVK127" s="77"/>
      <c r="IVL127" s="77"/>
      <c r="IVM127" s="77"/>
      <c r="IVN127" s="77"/>
      <c r="IVO127" s="77"/>
      <c r="IVP127" s="77"/>
      <c r="IVQ127" s="77"/>
      <c r="IVR127" s="77"/>
      <c r="IVS127" s="77"/>
      <c r="IVT127" s="77"/>
      <c r="IVU127" s="77"/>
      <c r="IVV127" s="77"/>
      <c r="IVW127" s="77"/>
      <c r="IVX127" s="77"/>
      <c r="IVY127" s="77"/>
      <c r="IVZ127" s="77"/>
      <c r="IWA127" s="77"/>
      <c r="IWB127" s="77"/>
      <c r="IWC127" s="77"/>
      <c r="IWD127" s="77"/>
      <c r="IWE127" s="77"/>
      <c r="IWF127" s="77"/>
      <c r="IWG127" s="77"/>
      <c r="IWH127" s="77"/>
      <c r="IWI127" s="77"/>
      <c r="IWJ127" s="77"/>
      <c r="IWK127" s="77"/>
      <c r="IWL127" s="77"/>
      <c r="IWM127" s="77"/>
      <c r="IWN127" s="77"/>
      <c r="IWO127" s="77"/>
      <c r="IWP127" s="77"/>
      <c r="IWQ127" s="77"/>
      <c r="IWR127" s="77"/>
      <c r="IWS127" s="77"/>
      <c r="IWT127" s="77"/>
      <c r="IWU127" s="77"/>
      <c r="IWV127" s="77"/>
      <c r="IWW127" s="77"/>
      <c r="IWX127" s="77"/>
      <c r="IWY127" s="77"/>
      <c r="IWZ127" s="77"/>
      <c r="IXA127" s="77"/>
      <c r="IXB127" s="77"/>
      <c r="IXC127" s="77"/>
      <c r="IXD127" s="77"/>
      <c r="IXE127" s="77"/>
      <c r="IXF127" s="77"/>
      <c r="IXG127" s="77"/>
      <c r="IXH127" s="77"/>
      <c r="IXI127" s="77"/>
      <c r="IXJ127" s="77"/>
      <c r="IXK127" s="77"/>
      <c r="IXL127" s="77"/>
      <c r="IXM127" s="77"/>
      <c r="IXN127" s="77"/>
      <c r="IXO127" s="77"/>
      <c r="IXP127" s="77"/>
      <c r="IXQ127" s="77"/>
      <c r="IXR127" s="77"/>
      <c r="IXS127" s="77"/>
      <c r="IXT127" s="77"/>
      <c r="IXU127" s="77"/>
      <c r="IXV127" s="77"/>
      <c r="IXW127" s="77"/>
      <c r="IXX127" s="77"/>
      <c r="IXY127" s="77"/>
      <c r="IXZ127" s="77"/>
      <c r="IYA127" s="77"/>
      <c r="IYB127" s="77"/>
      <c r="IYC127" s="77"/>
      <c r="IYD127" s="77"/>
      <c r="IYE127" s="77"/>
      <c r="IYF127" s="77"/>
      <c r="IYG127" s="77"/>
      <c r="IYH127" s="77"/>
      <c r="IYI127" s="77"/>
      <c r="IYJ127" s="77"/>
      <c r="IYK127" s="77"/>
      <c r="IYL127" s="77"/>
      <c r="IYM127" s="77"/>
      <c r="IYN127" s="77"/>
      <c r="IYO127" s="77"/>
      <c r="IYP127" s="77"/>
      <c r="IYQ127" s="77"/>
      <c r="IYR127" s="77"/>
      <c r="IYS127" s="77"/>
      <c r="IYT127" s="77"/>
      <c r="IYU127" s="77"/>
      <c r="IYV127" s="77"/>
      <c r="IYW127" s="77"/>
      <c r="IYX127" s="77"/>
      <c r="IYY127" s="77"/>
      <c r="IYZ127" s="77"/>
      <c r="IZA127" s="77"/>
      <c r="IZB127" s="77"/>
      <c r="IZC127" s="77"/>
      <c r="IZD127" s="77"/>
      <c r="IZE127" s="77"/>
      <c r="IZF127" s="77"/>
      <c r="IZG127" s="77"/>
      <c r="IZH127" s="77"/>
      <c r="IZI127" s="77"/>
      <c r="IZJ127" s="77"/>
      <c r="IZK127" s="77"/>
      <c r="IZL127" s="77"/>
      <c r="IZM127" s="77"/>
      <c r="IZN127" s="77"/>
      <c r="IZO127" s="77"/>
      <c r="IZP127" s="77"/>
      <c r="IZQ127" s="77"/>
      <c r="IZR127" s="77"/>
      <c r="IZS127" s="77"/>
      <c r="IZT127" s="77"/>
      <c r="IZU127" s="77"/>
      <c r="IZV127" s="77"/>
      <c r="IZW127" s="77"/>
      <c r="IZX127" s="77"/>
      <c r="IZY127" s="77"/>
      <c r="IZZ127" s="77"/>
      <c r="JAA127" s="77"/>
      <c r="JAB127" s="77"/>
      <c r="JAC127" s="77"/>
      <c r="JAD127" s="77"/>
      <c r="JAE127" s="77"/>
      <c r="JAF127" s="77"/>
      <c r="JAG127" s="77"/>
      <c r="JAH127" s="77"/>
      <c r="JAI127" s="77"/>
      <c r="JAJ127" s="77"/>
      <c r="JAK127" s="77"/>
      <c r="JAL127" s="77"/>
      <c r="JAM127" s="77"/>
      <c r="JAN127" s="77"/>
      <c r="JAO127" s="77"/>
      <c r="JAP127" s="77"/>
      <c r="JAQ127" s="77"/>
      <c r="JAR127" s="77"/>
      <c r="JAS127" s="77"/>
      <c r="JAT127" s="77"/>
      <c r="JAU127" s="77"/>
      <c r="JAV127" s="77"/>
      <c r="JAW127" s="77"/>
      <c r="JAX127" s="77"/>
      <c r="JAY127" s="77"/>
      <c r="JAZ127" s="77"/>
      <c r="JBA127" s="77"/>
      <c r="JBB127" s="77"/>
      <c r="JBC127" s="77"/>
      <c r="JBD127" s="77"/>
      <c r="JBE127" s="77"/>
      <c r="JBF127" s="77"/>
      <c r="JBG127" s="77"/>
      <c r="JBH127" s="77"/>
      <c r="JBI127" s="77"/>
      <c r="JBJ127" s="77"/>
      <c r="JBK127" s="77"/>
      <c r="JBL127" s="77"/>
      <c r="JBM127" s="77"/>
      <c r="JBN127" s="77"/>
      <c r="JBO127" s="77"/>
      <c r="JBP127" s="77"/>
      <c r="JBQ127" s="77"/>
      <c r="JBR127" s="77"/>
      <c r="JBS127" s="77"/>
      <c r="JBT127" s="77"/>
      <c r="JBU127" s="77"/>
      <c r="JBV127" s="77"/>
      <c r="JBW127" s="77"/>
      <c r="JBX127" s="77"/>
      <c r="JBY127" s="77"/>
      <c r="JBZ127" s="77"/>
      <c r="JCA127" s="77"/>
      <c r="JCB127" s="77"/>
      <c r="JCC127" s="77"/>
      <c r="JCD127" s="77"/>
      <c r="JCE127" s="77"/>
      <c r="JCF127" s="77"/>
      <c r="JCG127" s="77"/>
      <c r="JCH127" s="77"/>
      <c r="JCI127" s="77"/>
      <c r="JCJ127" s="77"/>
      <c r="JCK127" s="77"/>
      <c r="JCL127" s="77"/>
      <c r="JCM127" s="77"/>
      <c r="JCN127" s="77"/>
      <c r="JCO127" s="77"/>
      <c r="JCP127" s="77"/>
      <c r="JCQ127" s="77"/>
      <c r="JCR127" s="77"/>
      <c r="JCS127" s="77"/>
      <c r="JCT127" s="77"/>
      <c r="JCU127" s="77"/>
      <c r="JCV127" s="77"/>
      <c r="JCW127" s="77"/>
      <c r="JCX127" s="77"/>
      <c r="JCY127" s="77"/>
      <c r="JCZ127" s="77"/>
      <c r="JDA127" s="77"/>
      <c r="JDB127" s="77"/>
      <c r="JDC127" s="77"/>
      <c r="JDD127" s="77"/>
      <c r="JDE127" s="77"/>
      <c r="JDF127" s="77"/>
      <c r="JDG127" s="77"/>
      <c r="JDH127" s="77"/>
      <c r="JDI127" s="77"/>
      <c r="JDJ127" s="77"/>
      <c r="JDK127" s="77"/>
      <c r="JDL127" s="77"/>
      <c r="JDM127" s="77"/>
      <c r="JDN127" s="77"/>
      <c r="JDO127" s="77"/>
      <c r="JDP127" s="77"/>
      <c r="JDQ127" s="77"/>
      <c r="JDR127" s="77"/>
      <c r="JDS127" s="77"/>
      <c r="JDT127" s="77"/>
      <c r="JDU127" s="77"/>
      <c r="JDV127" s="77"/>
      <c r="JDW127" s="77"/>
      <c r="JDX127" s="77"/>
      <c r="JDY127" s="77"/>
      <c r="JDZ127" s="77"/>
      <c r="JEA127" s="77"/>
      <c r="JEB127" s="77"/>
      <c r="JEC127" s="77"/>
      <c r="JED127" s="77"/>
      <c r="JEE127" s="77"/>
      <c r="JEF127" s="77"/>
      <c r="JEG127" s="77"/>
      <c r="JEH127" s="77"/>
      <c r="JEI127" s="77"/>
      <c r="JEJ127" s="77"/>
      <c r="JEK127" s="77"/>
      <c r="JEL127" s="77"/>
      <c r="JEM127" s="77"/>
      <c r="JEN127" s="77"/>
      <c r="JEO127" s="77"/>
      <c r="JEP127" s="77"/>
      <c r="JEQ127" s="77"/>
      <c r="JER127" s="77"/>
      <c r="JES127" s="77"/>
      <c r="JET127" s="77"/>
      <c r="JEU127" s="77"/>
      <c r="JEV127" s="77"/>
      <c r="JEW127" s="77"/>
      <c r="JEX127" s="77"/>
      <c r="JEY127" s="77"/>
      <c r="JEZ127" s="77"/>
      <c r="JFA127" s="77"/>
      <c r="JFB127" s="77"/>
      <c r="JFC127" s="77"/>
      <c r="JFD127" s="77"/>
      <c r="JFE127" s="77"/>
      <c r="JFF127" s="77"/>
      <c r="JFG127" s="77"/>
      <c r="JFH127" s="77"/>
      <c r="JFI127" s="77"/>
      <c r="JFJ127" s="77"/>
      <c r="JFK127" s="77"/>
      <c r="JFL127" s="77"/>
      <c r="JFM127" s="77"/>
      <c r="JFN127" s="77"/>
      <c r="JFO127" s="77"/>
      <c r="JFP127" s="77"/>
      <c r="JFQ127" s="77"/>
      <c r="JFR127" s="77"/>
      <c r="JFS127" s="77"/>
      <c r="JFT127" s="77"/>
      <c r="JFU127" s="77"/>
      <c r="JFV127" s="77"/>
      <c r="JFW127" s="77"/>
      <c r="JFX127" s="77"/>
      <c r="JFY127" s="77"/>
      <c r="JFZ127" s="77"/>
      <c r="JGA127" s="77"/>
      <c r="JGB127" s="77"/>
      <c r="JGC127" s="77"/>
      <c r="JGD127" s="77"/>
      <c r="JGE127" s="77"/>
      <c r="JGF127" s="77"/>
      <c r="JGG127" s="77"/>
      <c r="JGH127" s="77"/>
      <c r="JGI127" s="77"/>
      <c r="JGJ127" s="77"/>
      <c r="JGK127" s="77"/>
      <c r="JGL127" s="77"/>
      <c r="JGM127" s="77"/>
      <c r="JGN127" s="77"/>
      <c r="JGO127" s="77"/>
      <c r="JGP127" s="77"/>
      <c r="JGQ127" s="77"/>
      <c r="JGR127" s="77"/>
      <c r="JGS127" s="77"/>
      <c r="JGT127" s="77"/>
      <c r="JGU127" s="77"/>
      <c r="JGV127" s="77"/>
      <c r="JGW127" s="77"/>
      <c r="JGX127" s="77"/>
      <c r="JGY127" s="77"/>
      <c r="JGZ127" s="77"/>
      <c r="JHA127" s="77"/>
      <c r="JHB127" s="77"/>
      <c r="JHC127" s="77"/>
      <c r="JHD127" s="77"/>
      <c r="JHE127" s="77"/>
      <c r="JHF127" s="77"/>
      <c r="JHG127" s="77"/>
      <c r="JHH127" s="77"/>
      <c r="JHI127" s="77"/>
      <c r="JHJ127" s="77"/>
      <c r="JHK127" s="77"/>
      <c r="JHL127" s="77"/>
      <c r="JHM127" s="77"/>
      <c r="JHN127" s="77"/>
      <c r="JHO127" s="77"/>
      <c r="JHP127" s="77"/>
      <c r="JHQ127" s="77"/>
      <c r="JHR127" s="77"/>
      <c r="JHS127" s="77"/>
      <c r="JHT127" s="77"/>
      <c r="JHU127" s="77"/>
      <c r="JHV127" s="77"/>
      <c r="JHW127" s="77"/>
      <c r="JHX127" s="77"/>
      <c r="JHY127" s="77"/>
      <c r="JHZ127" s="77"/>
      <c r="JIA127" s="77"/>
      <c r="JIB127" s="77"/>
      <c r="JIC127" s="77"/>
      <c r="JID127" s="77"/>
      <c r="JIE127" s="77"/>
      <c r="JIF127" s="77"/>
      <c r="JIG127" s="77"/>
      <c r="JIH127" s="77"/>
      <c r="JII127" s="77"/>
      <c r="JIJ127" s="77"/>
      <c r="JIK127" s="77"/>
      <c r="JIL127" s="77"/>
      <c r="JIM127" s="77"/>
      <c r="JIN127" s="77"/>
      <c r="JIO127" s="77"/>
      <c r="JIP127" s="77"/>
      <c r="JIQ127" s="77"/>
      <c r="JIR127" s="77"/>
      <c r="JIS127" s="77"/>
      <c r="JIT127" s="77"/>
      <c r="JIU127" s="77"/>
      <c r="JIV127" s="77"/>
      <c r="JIW127" s="77"/>
      <c r="JIX127" s="77"/>
      <c r="JIY127" s="77"/>
      <c r="JIZ127" s="77"/>
      <c r="JJA127" s="77"/>
      <c r="JJB127" s="77"/>
      <c r="JJC127" s="77"/>
      <c r="JJD127" s="77"/>
      <c r="JJE127" s="77"/>
      <c r="JJF127" s="77"/>
      <c r="JJG127" s="77"/>
      <c r="JJH127" s="77"/>
      <c r="JJI127" s="77"/>
      <c r="JJJ127" s="77"/>
      <c r="JJK127" s="77"/>
      <c r="JJL127" s="77"/>
      <c r="JJM127" s="77"/>
      <c r="JJN127" s="77"/>
      <c r="JJO127" s="77"/>
      <c r="JJP127" s="77"/>
      <c r="JJQ127" s="77"/>
      <c r="JJR127" s="77"/>
      <c r="JJS127" s="77"/>
      <c r="JJT127" s="77"/>
      <c r="JJU127" s="77"/>
      <c r="JJV127" s="77"/>
      <c r="JJW127" s="77"/>
      <c r="JJX127" s="77"/>
      <c r="JJY127" s="77"/>
      <c r="JJZ127" s="77"/>
      <c r="JKA127" s="77"/>
      <c r="JKB127" s="77"/>
      <c r="JKC127" s="77"/>
      <c r="JKD127" s="77"/>
      <c r="JKE127" s="77"/>
      <c r="JKF127" s="77"/>
      <c r="JKG127" s="77"/>
      <c r="JKH127" s="77"/>
      <c r="JKI127" s="77"/>
      <c r="JKJ127" s="77"/>
      <c r="JKK127" s="77"/>
      <c r="JKL127" s="77"/>
      <c r="JKM127" s="77"/>
      <c r="JKN127" s="77"/>
      <c r="JKO127" s="77"/>
      <c r="JKP127" s="77"/>
      <c r="JKQ127" s="77"/>
      <c r="JKR127" s="77"/>
      <c r="JKS127" s="77"/>
      <c r="JKT127" s="77"/>
      <c r="JKU127" s="77"/>
      <c r="JKV127" s="77"/>
      <c r="JKW127" s="77"/>
      <c r="JKX127" s="77"/>
      <c r="JKY127" s="77"/>
      <c r="JKZ127" s="77"/>
      <c r="JLA127" s="77"/>
      <c r="JLB127" s="77"/>
      <c r="JLC127" s="77"/>
      <c r="JLD127" s="77"/>
      <c r="JLE127" s="77"/>
      <c r="JLF127" s="77"/>
      <c r="JLG127" s="77"/>
      <c r="JLH127" s="77"/>
      <c r="JLI127" s="77"/>
      <c r="JLJ127" s="77"/>
      <c r="JLK127" s="77"/>
      <c r="JLL127" s="77"/>
      <c r="JLM127" s="77"/>
      <c r="JLN127" s="77"/>
      <c r="JLO127" s="77"/>
      <c r="JLP127" s="77"/>
      <c r="JLQ127" s="77"/>
      <c r="JLR127" s="77"/>
      <c r="JLS127" s="77"/>
      <c r="JLT127" s="77"/>
      <c r="JLU127" s="77"/>
      <c r="JLV127" s="77"/>
      <c r="JLW127" s="77"/>
      <c r="JLX127" s="77"/>
      <c r="JLY127" s="77"/>
      <c r="JLZ127" s="77"/>
      <c r="JMA127" s="77"/>
      <c r="JMB127" s="77"/>
      <c r="JMC127" s="77"/>
      <c r="JMD127" s="77"/>
      <c r="JME127" s="77"/>
      <c r="JMF127" s="77"/>
      <c r="JMG127" s="77"/>
      <c r="JMH127" s="77"/>
      <c r="JMI127" s="77"/>
      <c r="JMJ127" s="77"/>
      <c r="JMK127" s="77"/>
      <c r="JML127" s="77"/>
      <c r="JMM127" s="77"/>
      <c r="JMN127" s="77"/>
      <c r="JMO127" s="77"/>
      <c r="JMP127" s="77"/>
      <c r="JMQ127" s="77"/>
      <c r="JMR127" s="77"/>
      <c r="JMS127" s="77"/>
      <c r="JMT127" s="77"/>
      <c r="JMU127" s="77"/>
      <c r="JMV127" s="77"/>
      <c r="JMW127" s="77"/>
      <c r="JMX127" s="77"/>
      <c r="JMY127" s="77"/>
      <c r="JMZ127" s="77"/>
      <c r="JNA127" s="77"/>
      <c r="JNB127" s="77"/>
      <c r="JNC127" s="77"/>
      <c r="JND127" s="77"/>
      <c r="JNE127" s="77"/>
      <c r="JNF127" s="77"/>
      <c r="JNG127" s="77"/>
      <c r="JNH127" s="77"/>
      <c r="JNI127" s="77"/>
      <c r="JNJ127" s="77"/>
      <c r="JNK127" s="77"/>
      <c r="JNL127" s="77"/>
      <c r="JNM127" s="77"/>
      <c r="JNN127" s="77"/>
      <c r="JNO127" s="77"/>
      <c r="JNP127" s="77"/>
      <c r="JNQ127" s="77"/>
      <c r="JNR127" s="77"/>
      <c r="JNS127" s="77"/>
      <c r="JNT127" s="77"/>
      <c r="JNU127" s="77"/>
      <c r="JNV127" s="77"/>
      <c r="JNW127" s="77"/>
      <c r="JNX127" s="77"/>
      <c r="JNY127" s="77"/>
      <c r="JNZ127" s="77"/>
      <c r="JOA127" s="77"/>
      <c r="JOB127" s="77"/>
      <c r="JOC127" s="77"/>
      <c r="JOD127" s="77"/>
      <c r="JOE127" s="77"/>
      <c r="JOF127" s="77"/>
      <c r="JOG127" s="77"/>
      <c r="JOH127" s="77"/>
      <c r="JOI127" s="77"/>
      <c r="JOJ127" s="77"/>
      <c r="JOK127" s="77"/>
      <c r="JOL127" s="77"/>
      <c r="JOM127" s="77"/>
      <c r="JON127" s="77"/>
      <c r="JOO127" s="77"/>
      <c r="JOP127" s="77"/>
      <c r="JOQ127" s="77"/>
      <c r="JOR127" s="77"/>
      <c r="JOS127" s="77"/>
      <c r="JOT127" s="77"/>
      <c r="JOU127" s="77"/>
      <c r="JOV127" s="77"/>
      <c r="JOW127" s="77"/>
      <c r="JOX127" s="77"/>
      <c r="JOY127" s="77"/>
      <c r="JOZ127" s="77"/>
      <c r="JPA127" s="77"/>
      <c r="JPB127" s="77"/>
      <c r="JPC127" s="77"/>
      <c r="JPD127" s="77"/>
      <c r="JPE127" s="77"/>
      <c r="JPF127" s="77"/>
      <c r="JPG127" s="77"/>
      <c r="JPH127" s="77"/>
      <c r="JPI127" s="77"/>
      <c r="JPJ127" s="77"/>
      <c r="JPK127" s="77"/>
      <c r="JPL127" s="77"/>
      <c r="JPM127" s="77"/>
      <c r="JPN127" s="77"/>
      <c r="JPO127" s="77"/>
      <c r="JPP127" s="77"/>
      <c r="JPQ127" s="77"/>
      <c r="JPR127" s="77"/>
      <c r="JPS127" s="77"/>
      <c r="JPT127" s="77"/>
      <c r="JPU127" s="77"/>
      <c r="JPV127" s="77"/>
      <c r="JPW127" s="77"/>
      <c r="JPX127" s="77"/>
      <c r="JPY127" s="77"/>
      <c r="JPZ127" s="77"/>
      <c r="JQA127" s="77"/>
      <c r="JQB127" s="77"/>
      <c r="JQC127" s="77"/>
      <c r="JQD127" s="77"/>
      <c r="JQE127" s="77"/>
      <c r="JQF127" s="77"/>
      <c r="JQG127" s="77"/>
      <c r="JQH127" s="77"/>
      <c r="JQI127" s="77"/>
      <c r="JQJ127" s="77"/>
      <c r="JQK127" s="77"/>
      <c r="JQL127" s="77"/>
      <c r="JQM127" s="77"/>
      <c r="JQN127" s="77"/>
      <c r="JQO127" s="77"/>
      <c r="JQP127" s="77"/>
      <c r="JQQ127" s="77"/>
      <c r="JQR127" s="77"/>
      <c r="JQS127" s="77"/>
      <c r="JQT127" s="77"/>
      <c r="JQU127" s="77"/>
      <c r="JQV127" s="77"/>
      <c r="JQW127" s="77"/>
      <c r="JQX127" s="77"/>
      <c r="JQY127" s="77"/>
      <c r="JQZ127" s="77"/>
      <c r="JRA127" s="77"/>
      <c r="JRB127" s="77"/>
      <c r="JRC127" s="77"/>
      <c r="JRD127" s="77"/>
      <c r="JRE127" s="77"/>
      <c r="JRF127" s="77"/>
      <c r="JRG127" s="77"/>
      <c r="JRH127" s="77"/>
      <c r="JRI127" s="77"/>
      <c r="JRJ127" s="77"/>
      <c r="JRK127" s="77"/>
      <c r="JRL127" s="77"/>
      <c r="JRM127" s="77"/>
      <c r="JRN127" s="77"/>
      <c r="JRO127" s="77"/>
      <c r="JRP127" s="77"/>
      <c r="JRQ127" s="77"/>
      <c r="JRR127" s="77"/>
      <c r="JRS127" s="77"/>
      <c r="JRT127" s="77"/>
      <c r="JRU127" s="77"/>
      <c r="JRV127" s="77"/>
      <c r="JRW127" s="77"/>
      <c r="JRX127" s="77"/>
      <c r="JRY127" s="77"/>
      <c r="JRZ127" s="77"/>
      <c r="JSA127" s="77"/>
      <c r="JSB127" s="77"/>
      <c r="JSC127" s="77"/>
      <c r="JSD127" s="77"/>
      <c r="JSE127" s="77"/>
      <c r="JSF127" s="77"/>
      <c r="JSG127" s="77"/>
      <c r="JSH127" s="77"/>
      <c r="JSI127" s="77"/>
      <c r="JSJ127" s="77"/>
      <c r="JSK127" s="77"/>
      <c r="JSL127" s="77"/>
      <c r="JSM127" s="77"/>
      <c r="JSN127" s="77"/>
      <c r="JSO127" s="77"/>
      <c r="JSP127" s="77"/>
      <c r="JSQ127" s="77"/>
      <c r="JSR127" s="77"/>
      <c r="JSS127" s="77"/>
      <c r="JST127" s="77"/>
      <c r="JSU127" s="77"/>
      <c r="JSV127" s="77"/>
      <c r="JSW127" s="77"/>
      <c r="JSX127" s="77"/>
      <c r="JSY127" s="77"/>
      <c r="JSZ127" s="77"/>
      <c r="JTA127" s="77"/>
      <c r="JTB127" s="77"/>
      <c r="JTC127" s="77"/>
      <c r="JTD127" s="77"/>
      <c r="JTE127" s="77"/>
      <c r="JTF127" s="77"/>
      <c r="JTG127" s="77"/>
      <c r="JTH127" s="77"/>
      <c r="JTI127" s="77"/>
      <c r="JTJ127" s="77"/>
      <c r="JTK127" s="77"/>
      <c r="JTL127" s="77"/>
      <c r="JTM127" s="77"/>
      <c r="JTN127" s="77"/>
      <c r="JTO127" s="77"/>
      <c r="JTP127" s="77"/>
      <c r="JTQ127" s="77"/>
      <c r="JTR127" s="77"/>
      <c r="JTS127" s="77"/>
      <c r="JTT127" s="77"/>
      <c r="JTU127" s="77"/>
      <c r="JTV127" s="77"/>
      <c r="JTW127" s="77"/>
      <c r="JTX127" s="77"/>
      <c r="JTY127" s="77"/>
      <c r="JTZ127" s="77"/>
      <c r="JUA127" s="77"/>
      <c r="JUB127" s="77"/>
      <c r="JUC127" s="77"/>
      <c r="JUD127" s="77"/>
      <c r="JUE127" s="77"/>
      <c r="JUF127" s="77"/>
      <c r="JUG127" s="77"/>
      <c r="JUH127" s="77"/>
      <c r="JUI127" s="77"/>
      <c r="JUJ127" s="77"/>
      <c r="JUK127" s="77"/>
      <c r="JUL127" s="77"/>
      <c r="JUM127" s="77"/>
      <c r="JUN127" s="77"/>
      <c r="JUO127" s="77"/>
      <c r="JUP127" s="77"/>
      <c r="JUQ127" s="77"/>
      <c r="JUR127" s="77"/>
      <c r="JUS127" s="77"/>
      <c r="JUT127" s="77"/>
      <c r="JUU127" s="77"/>
      <c r="JUV127" s="77"/>
      <c r="JUW127" s="77"/>
      <c r="JUX127" s="77"/>
      <c r="JUY127" s="77"/>
      <c r="JUZ127" s="77"/>
      <c r="JVA127" s="77"/>
      <c r="JVB127" s="77"/>
      <c r="JVC127" s="77"/>
      <c r="JVD127" s="77"/>
      <c r="JVE127" s="77"/>
      <c r="JVF127" s="77"/>
      <c r="JVG127" s="77"/>
      <c r="JVH127" s="77"/>
      <c r="JVI127" s="77"/>
      <c r="JVJ127" s="77"/>
      <c r="JVK127" s="77"/>
      <c r="JVL127" s="77"/>
      <c r="JVM127" s="77"/>
      <c r="JVN127" s="77"/>
      <c r="JVO127" s="77"/>
      <c r="JVP127" s="77"/>
      <c r="JVQ127" s="77"/>
      <c r="JVR127" s="77"/>
      <c r="JVS127" s="77"/>
      <c r="JVT127" s="77"/>
      <c r="JVU127" s="77"/>
      <c r="JVV127" s="77"/>
      <c r="JVW127" s="77"/>
      <c r="JVX127" s="77"/>
      <c r="JVY127" s="77"/>
      <c r="JVZ127" s="77"/>
      <c r="JWA127" s="77"/>
      <c r="JWB127" s="77"/>
      <c r="JWC127" s="77"/>
      <c r="JWD127" s="77"/>
      <c r="JWE127" s="77"/>
      <c r="JWF127" s="77"/>
      <c r="JWG127" s="77"/>
      <c r="JWH127" s="77"/>
      <c r="JWI127" s="77"/>
      <c r="JWJ127" s="77"/>
      <c r="JWK127" s="77"/>
      <c r="JWL127" s="77"/>
      <c r="JWM127" s="77"/>
      <c r="JWN127" s="77"/>
      <c r="JWO127" s="77"/>
      <c r="JWP127" s="77"/>
      <c r="JWQ127" s="77"/>
      <c r="JWR127" s="77"/>
      <c r="JWS127" s="77"/>
      <c r="JWT127" s="77"/>
      <c r="JWU127" s="77"/>
      <c r="JWV127" s="77"/>
      <c r="JWW127" s="77"/>
      <c r="JWX127" s="77"/>
      <c r="JWY127" s="77"/>
      <c r="JWZ127" s="77"/>
      <c r="JXA127" s="77"/>
      <c r="JXB127" s="77"/>
      <c r="JXC127" s="77"/>
      <c r="JXD127" s="77"/>
      <c r="JXE127" s="77"/>
      <c r="JXF127" s="77"/>
      <c r="JXG127" s="77"/>
      <c r="JXH127" s="77"/>
      <c r="JXI127" s="77"/>
      <c r="JXJ127" s="77"/>
      <c r="JXK127" s="77"/>
      <c r="JXL127" s="77"/>
      <c r="JXM127" s="77"/>
      <c r="JXN127" s="77"/>
      <c r="JXO127" s="77"/>
      <c r="JXP127" s="77"/>
      <c r="JXQ127" s="77"/>
      <c r="JXR127" s="77"/>
      <c r="JXS127" s="77"/>
      <c r="JXT127" s="77"/>
      <c r="JXU127" s="77"/>
      <c r="JXV127" s="77"/>
      <c r="JXW127" s="77"/>
      <c r="JXX127" s="77"/>
      <c r="JXY127" s="77"/>
      <c r="JXZ127" s="77"/>
      <c r="JYA127" s="77"/>
      <c r="JYB127" s="77"/>
      <c r="JYC127" s="77"/>
      <c r="JYD127" s="77"/>
      <c r="JYE127" s="77"/>
      <c r="JYF127" s="77"/>
      <c r="JYG127" s="77"/>
      <c r="JYH127" s="77"/>
      <c r="JYI127" s="77"/>
      <c r="JYJ127" s="77"/>
      <c r="JYK127" s="77"/>
      <c r="JYL127" s="77"/>
      <c r="JYM127" s="77"/>
      <c r="JYN127" s="77"/>
      <c r="JYO127" s="77"/>
      <c r="JYP127" s="77"/>
      <c r="JYQ127" s="77"/>
      <c r="JYR127" s="77"/>
      <c r="JYS127" s="77"/>
      <c r="JYT127" s="77"/>
      <c r="JYU127" s="77"/>
      <c r="JYV127" s="77"/>
      <c r="JYW127" s="77"/>
      <c r="JYX127" s="77"/>
      <c r="JYY127" s="77"/>
      <c r="JYZ127" s="77"/>
      <c r="JZA127" s="77"/>
      <c r="JZB127" s="77"/>
      <c r="JZC127" s="77"/>
      <c r="JZD127" s="77"/>
      <c r="JZE127" s="77"/>
      <c r="JZF127" s="77"/>
      <c r="JZG127" s="77"/>
      <c r="JZH127" s="77"/>
      <c r="JZI127" s="77"/>
      <c r="JZJ127" s="77"/>
      <c r="JZK127" s="77"/>
      <c r="JZL127" s="77"/>
      <c r="JZM127" s="77"/>
      <c r="JZN127" s="77"/>
      <c r="JZO127" s="77"/>
      <c r="JZP127" s="77"/>
      <c r="JZQ127" s="77"/>
      <c r="JZR127" s="77"/>
      <c r="JZS127" s="77"/>
      <c r="JZT127" s="77"/>
      <c r="JZU127" s="77"/>
      <c r="JZV127" s="77"/>
      <c r="JZW127" s="77"/>
      <c r="JZX127" s="77"/>
      <c r="JZY127" s="77"/>
      <c r="JZZ127" s="77"/>
      <c r="KAA127" s="77"/>
      <c r="KAB127" s="77"/>
      <c r="KAC127" s="77"/>
      <c r="KAD127" s="77"/>
      <c r="KAE127" s="77"/>
      <c r="KAF127" s="77"/>
      <c r="KAG127" s="77"/>
      <c r="KAH127" s="77"/>
      <c r="KAI127" s="77"/>
      <c r="KAJ127" s="77"/>
      <c r="KAK127" s="77"/>
      <c r="KAL127" s="77"/>
      <c r="KAM127" s="77"/>
      <c r="KAN127" s="77"/>
      <c r="KAO127" s="77"/>
      <c r="KAP127" s="77"/>
      <c r="KAQ127" s="77"/>
      <c r="KAR127" s="77"/>
      <c r="KAS127" s="77"/>
      <c r="KAT127" s="77"/>
      <c r="KAU127" s="77"/>
      <c r="KAV127" s="77"/>
      <c r="KAW127" s="77"/>
      <c r="KAX127" s="77"/>
      <c r="KAY127" s="77"/>
      <c r="KAZ127" s="77"/>
      <c r="KBA127" s="77"/>
      <c r="KBB127" s="77"/>
      <c r="KBC127" s="77"/>
      <c r="KBD127" s="77"/>
      <c r="KBE127" s="77"/>
      <c r="KBF127" s="77"/>
      <c r="KBG127" s="77"/>
      <c r="KBH127" s="77"/>
      <c r="KBI127" s="77"/>
      <c r="KBJ127" s="77"/>
      <c r="KBK127" s="77"/>
      <c r="KBL127" s="77"/>
      <c r="KBM127" s="77"/>
      <c r="KBN127" s="77"/>
      <c r="KBO127" s="77"/>
      <c r="KBP127" s="77"/>
      <c r="KBQ127" s="77"/>
      <c r="KBR127" s="77"/>
      <c r="KBS127" s="77"/>
      <c r="KBT127" s="77"/>
      <c r="KBU127" s="77"/>
      <c r="KBV127" s="77"/>
      <c r="KBW127" s="77"/>
      <c r="KBX127" s="77"/>
      <c r="KBY127" s="77"/>
      <c r="KBZ127" s="77"/>
      <c r="KCA127" s="77"/>
      <c r="KCB127" s="77"/>
      <c r="KCC127" s="77"/>
      <c r="KCD127" s="77"/>
      <c r="KCE127" s="77"/>
      <c r="KCF127" s="77"/>
      <c r="KCG127" s="77"/>
      <c r="KCH127" s="77"/>
      <c r="KCI127" s="77"/>
      <c r="KCJ127" s="77"/>
      <c r="KCK127" s="77"/>
      <c r="KCL127" s="77"/>
      <c r="KCM127" s="77"/>
      <c r="KCN127" s="77"/>
      <c r="KCO127" s="77"/>
      <c r="KCP127" s="77"/>
      <c r="KCQ127" s="77"/>
      <c r="KCR127" s="77"/>
      <c r="KCS127" s="77"/>
      <c r="KCT127" s="77"/>
      <c r="KCU127" s="77"/>
      <c r="KCV127" s="77"/>
      <c r="KCW127" s="77"/>
      <c r="KCX127" s="77"/>
      <c r="KCY127" s="77"/>
      <c r="KCZ127" s="77"/>
      <c r="KDA127" s="77"/>
      <c r="KDB127" s="77"/>
      <c r="KDC127" s="77"/>
      <c r="KDD127" s="77"/>
      <c r="KDE127" s="77"/>
      <c r="KDF127" s="77"/>
      <c r="KDG127" s="77"/>
      <c r="KDH127" s="77"/>
      <c r="KDI127" s="77"/>
      <c r="KDJ127" s="77"/>
      <c r="KDK127" s="77"/>
      <c r="KDL127" s="77"/>
      <c r="KDM127" s="77"/>
      <c r="KDN127" s="77"/>
      <c r="KDO127" s="77"/>
      <c r="KDP127" s="77"/>
      <c r="KDQ127" s="77"/>
      <c r="KDR127" s="77"/>
      <c r="KDS127" s="77"/>
      <c r="KDT127" s="77"/>
      <c r="KDU127" s="77"/>
      <c r="KDV127" s="77"/>
      <c r="KDW127" s="77"/>
      <c r="KDX127" s="77"/>
      <c r="KDY127" s="77"/>
      <c r="KDZ127" s="77"/>
      <c r="KEA127" s="77"/>
      <c r="KEB127" s="77"/>
      <c r="KEC127" s="77"/>
      <c r="KED127" s="77"/>
      <c r="KEE127" s="77"/>
      <c r="KEF127" s="77"/>
      <c r="KEG127" s="77"/>
      <c r="KEH127" s="77"/>
      <c r="KEI127" s="77"/>
      <c r="KEJ127" s="77"/>
      <c r="KEK127" s="77"/>
      <c r="KEL127" s="77"/>
      <c r="KEM127" s="77"/>
      <c r="KEN127" s="77"/>
      <c r="KEO127" s="77"/>
      <c r="KEP127" s="77"/>
      <c r="KEQ127" s="77"/>
      <c r="KER127" s="77"/>
      <c r="KES127" s="77"/>
      <c r="KET127" s="77"/>
      <c r="KEU127" s="77"/>
      <c r="KEV127" s="77"/>
      <c r="KEW127" s="77"/>
      <c r="KEX127" s="77"/>
      <c r="KEY127" s="77"/>
      <c r="KEZ127" s="77"/>
      <c r="KFA127" s="77"/>
      <c r="KFB127" s="77"/>
      <c r="KFC127" s="77"/>
      <c r="KFD127" s="77"/>
      <c r="KFE127" s="77"/>
      <c r="KFF127" s="77"/>
      <c r="KFG127" s="77"/>
      <c r="KFH127" s="77"/>
      <c r="KFI127" s="77"/>
      <c r="KFJ127" s="77"/>
      <c r="KFK127" s="77"/>
      <c r="KFL127" s="77"/>
      <c r="KFM127" s="77"/>
      <c r="KFN127" s="77"/>
      <c r="KFO127" s="77"/>
      <c r="KFP127" s="77"/>
      <c r="KFQ127" s="77"/>
      <c r="KFR127" s="77"/>
      <c r="KFS127" s="77"/>
      <c r="KFT127" s="77"/>
      <c r="KFU127" s="77"/>
      <c r="KFV127" s="77"/>
      <c r="KFW127" s="77"/>
      <c r="KFX127" s="77"/>
      <c r="KFY127" s="77"/>
      <c r="KFZ127" s="77"/>
      <c r="KGA127" s="77"/>
      <c r="KGB127" s="77"/>
      <c r="KGC127" s="77"/>
      <c r="KGD127" s="77"/>
      <c r="KGE127" s="77"/>
      <c r="KGF127" s="77"/>
      <c r="KGG127" s="77"/>
      <c r="KGH127" s="77"/>
      <c r="KGI127" s="77"/>
      <c r="KGJ127" s="77"/>
      <c r="KGK127" s="77"/>
      <c r="KGL127" s="77"/>
      <c r="KGM127" s="77"/>
      <c r="KGN127" s="77"/>
      <c r="KGO127" s="77"/>
      <c r="KGP127" s="77"/>
      <c r="KGQ127" s="77"/>
      <c r="KGR127" s="77"/>
      <c r="KGS127" s="77"/>
      <c r="KGT127" s="77"/>
      <c r="KGU127" s="77"/>
      <c r="KGV127" s="77"/>
      <c r="KGW127" s="77"/>
      <c r="KGX127" s="77"/>
      <c r="KGY127" s="77"/>
      <c r="KGZ127" s="77"/>
      <c r="KHA127" s="77"/>
      <c r="KHB127" s="77"/>
      <c r="KHC127" s="77"/>
      <c r="KHD127" s="77"/>
      <c r="KHE127" s="77"/>
      <c r="KHF127" s="77"/>
      <c r="KHG127" s="77"/>
      <c r="KHH127" s="77"/>
      <c r="KHI127" s="77"/>
      <c r="KHJ127" s="77"/>
      <c r="KHK127" s="77"/>
      <c r="KHL127" s="77"/>
      <c r="KHM127" s="77"/>
      <c r="KHN127" s="77"/>
      <c r="KHO127" s="77"/>
      <c r="KHP127" s="77"/>
      <c r="KHQ127" s="77"/>
      <c r="KHR127" s="77"/>
      <c r="KHS127" s="77"/>
      <c r="KHT127" s="77"/>
      <c r="KHU127" s="77"/>
      <c r="KHV127" s="77"/>
      <c r="KHW127" s="77"/>
      <c r="KHX127" s="77"/>
      <c r="KHY127" s="77"/>
      <c r="KHZ127" s="77"/>
      <c r="KIA127" s="77"/>
      <c r="KIB127" s="77"/>
      <c r="KIC127" s="77"/>
      <c r="KID127" s="77"/>
      <c r="KIE127" s="77"/>
      <c r="KIF127" s="77"/>
      <c r="KIG127" s="77"/>
      <c r="KIH127" s="77"/>
      <c r="KII127" s="77"/>
      <c r="KIJ127" s="77"/>
      <c r="KIK127" s="77"/>
      <c r="KIL127" s="77"/>
      <c r="KIM127" s="77"/>
      <c r="KIN127" s="77"/>
      <c r="KIO127" s="77"/>
      <c r="KIP127" s="77"/>
      <c r="KIQ127" s="77"/>
      <c r="KIR127" s="77"/>
      <c r="KIS127" s="77"/>
      <c r="KIT127" s="77"/>
      <c r="KIU127" s="77"/>
      <c r="KIV127" s="77"/>
      <c r="KIW127" s="77"/>
      <c r="KIX127" s="77"/>
      <c r="KIY127" s="77"/>
      <c r="KIZ127" s="77"/>
      <c r="KJA127" s="77"/>
      <c r="KJB127" s="77"/>
      <c r="KJC127" s="77"/>
      <c r="KJD127" s="77"/>
      <c r="KJE127" s="77"/>
      <c r="KJF127" s="77"/>
      <c r="KJG127" s="77"/>
      <c r="KJH127" s="77"/>
      <c r="KJI127" s="77"/>
      <c r="KJJ127" s="77"/>
      <c r="KJK127" s="77"/>
      <c r="KJL127" s="77"/>
      <c r="KJM127" s="77"/>
      <c r="KJN127" s="77"/>
      <c r="KJO127" s="77"/>
      <c r="KJP127" s="77"/>
      <c r="KJQ127" s="77"/>
      <c r="KJR127" s="77"/>
      <c r="KJS127" s="77"/>
      <c r="KJT127" s="77"/>
      <c r="KJU127" s="77"/>
      <c r="KJV127" s="77"/>
      <c r="KJW127" s="77"/>
      <c r="KJX127" s="77"/>
      <c r="KJY127" s="77"/>
      <c r="KJZ127" s="77"/>
      <c r="KKA127" s="77"/>
      <c r="KKB127" s="77"/>
      <c r="KKC127" s="77"/>
      <c r="KKD127" s="77"/>
      <c r="KKE127" s="77"/>
      <c r="KKF127" s="77"/>
      <c r="KKG127" s="77"/>
      <c r="KKH127" s="77"/>
      <c r="KKI127" s="77"/>
      <c r="KKJ127" s="77"/>
      <c r="KKK127" s="77"/>
      <c r="KKL127" s="77"/>
      <c r="KKM127" s="77"/>
      <c r="KKN127" s="77"/>
      <c r="KKO127" s="77"/>
      <c r="KKP127" s="77"/>
      <c r="KKQ127" s="77"/>
      <c r="KKR127" s="77"/>
      <c r="KKS127" s="77"/>
      <c r="KKT127" s="77"/>
      <c r="KKU127" s="77"/>
      <c r="KKV127" s="77"/>
      <c r="KKW127" s="77"/>
      <c r="KKX127" s="77"/>
      <c r="KKY127" s="77"/>
      <c r="KKZ127" s="77"/>
      <c r="KLA127" s="77"/>
      <c r="KLB127" s="77"/>
      <c r="KLC127" s="77"/>
      <c r="KLD127" s="77"/>
      <c r="KLE127" s="77"/>
      <c r="KLF127" s="77"/>
      <c r="KLG127" s="77"/>
      <c r="KLH127" s="77"/>
      <c r="KLI127" s="77"/>
      <c r="KLJ127" s="77"/>
      <c r="KLK127" s="77"/>
      <c r="KLL127" s="77"/>
      <c r="KLM127" s="77"/>
      <c r="KLN127" s="77"/>
      <c r="KLO127" s="77"/>
      <c r="KLP127" s="77"/>
      <c r="KLQ127" s="77"/>
      <c r="KLR127" s="77"/>
      <c r="KLS127" s="77"/>
      <c r="KLT127" s="77"/>
      <c r="KLU127" s="77"/>
      <c r="KLV127" s="77"/>
      <c r="KLW127" s="77"/>
      <c r="KLX127" s="77"/>
      <c r="KLY127" s="77"/>
      <c r="KLZ127" s="77"/>
      <c r="KMA127" s="77"/>
      <c r="KMB127" s="77"/>
      <c r="KMC127" s="77"/>
      <c r="KMD127" s="77"/>
      <c r="KME127" s="77"/>
      <c r="KMF127" s="77"/>
      <c r="KMG127" s="77"/>
      <c r="KMH127" s="77"/>
      <c r="KMI127" s="77"/>
      <c r="KMJ127" s="77"/>
      <c r="KMK127" s="77"/>
      <c r="KML127" s="77"/>
      <c r="KMM127" s="77"/>
      <c r="KMN127" s="77"/>
      <c r="KMO127" s="77"/>
      <c r="KMP127" s="77"/>
      <c r="KMQ127" s="77"/>
      <c r="KMR127" s="77"/>
      <c r="KMS127" s="77"/>
      <c r="KMT127" s="77"/>
      <c r="KMU127" s="77"/>
      <c r="KMV127" s="77"/>
      <c r="KMW127" s="77"/>
      <c r="KMX127" s="77"/>
      <c r="KMY127" s="77"/>
      <c r="KMZ127" s="77"/>
      <c r="KNA127" s="77"/>
      <c r="KNB127" s="77"/>
      <c r="KNC127" s="77"/>
      <c r="KND127" s="77"/>
      <c r="KNE127" s="77"/>
      <c r="KNF127" s="77"/>
      <c r="KNG127" s="77"/>
      <c r="KNH127" s="77"/>
      <c r="KNI127" s="77"/>
      <c r="KNJ127" s="77"/>
      <c r="KNK127" s="77"/>
      <c r="KNL127" s="77"/>
      <c r="KNM127" s="77"/>
      <c r="KNN127" s="77"/>
      <c r="KNO127" s="77"/>
      <c r="KNP127" s="77"/>
      <c r="KNQ127" s="77"/>
      <c r="KNR127" s="77"/>
      <c r="KNS127" s="77"/>
      <c r="KNT127" s="77"/>
      <c r="KNU127" s="77"/>
      <c r="KNV127" s="77"/>
      <c r="KNW127" s="77"/>
      <c r="KNX127" s="77"/>
      <c r="KNY127" s="77"/>
      <c r="KNZ127" s="77"/>
      <c r="KOA127" s="77"/>
      <c r="KOB127" s="77"/>
      <c r="KOC127" s="77"/>
      <c r="KOD127" s="77"/>
      <c r="KOE127" s="77"/>
      <c r="KOF127" s="77"/>
      <c r="KOG127" s="77"/>
      <c r="KOH127" s="77"/>
      <c r="KOI127" s="77"/>
      <c r="KOJ127" s="77"/>
      <c r="KOK127" s="77"/>
      <c r="KOL127" s="77"/>
      <c r="KOM127" s="77"/>
      <c r="KON127" s="77"/>
      <c r="KOO127" s="77"/>
      <c r="KOP127" s="77"/>
      <c r="KOQ127" s="77"/>
      <c r="KOR127" s="77"/>
      <c r="KOS127" s="77"/>
      <c r="KOT127" s="77"/>
      <c r="KOU127" s="77"/>
      <c r="KOV127" s="77"/>
      <c r="KOW127" s="77"/>
      <c r="KOX127" s="77"/>
      <c r="KOY127" s="77"/>
      <c r="KOZ127" s="77"/>
      <c r="KPA127" s="77"/>
      <c r="KPB127" s="77"/>
      <c r="KPC127" s="77"/>
      <c r="KPD127" s="77"/>
      <c r="KPE127" s="77"/>
      <c r="KPF127" s="77"/>
      <c r="KPG127" s="77"/>
      <c r="KPH127" s="77"/>
      <c r="KPI127" s="77"/>
      <c r="KPJ127" s="77"/>
      <c r="KPK127" s="77"/>
      <c r="KPL127" s="77"/>
      <c r="KPM127" s="77"/>
      <c r="KPN127" s="77"/>
      <c r="KPO127" s="77"/>
      <c r="KPP127" s="77"/>
      <c r="KPQ127" s="77"/>
      <c r="KPR127" s="77"/>
      <c r="KPS127" s="77"/>
      <c r="KPT127" s="77"/>
      <c r="KPU127" s="77"/>
      <c r="KPV127" s="77"/>
      <c r="KPW127" s="77"/>
      <c r="KPX127" s="77"/>
      <c r="KPY127" s="77"/>
      <c r="KPZ127" s="77"/>
      <c r="KQA127" s="77"/>
      <c r="KQB127" s="77"/>
      <c r="KQC127" s="77"/>
      <c r="KQD127" s="77"/>
      <c r="KQE127" s="77"/>
      <c r="KQF127" s="77"/>
      <c r="KQG127" s="77"/>
      <c r="KQH127" s="77"/>
      <c r="KQI127" s="77"/>
      <c r="KQJ127" s="77"/>
      <c r="KQK127" s="77"/>
      <c r="KQL127" s="77"/>
      <c r="KQM127" s="77"/>
      <c r="KQN127" s="77"/>
      <c r="KQO127" s="77"/>
      <c r="KQP127" s="77"/>
      <c r="KQQ127" s="77"/>
      <c r="KQR127" s="77"/>
      <c r="KQS127" s="77"/>
      <c r="KQT127" s="77"/>
      <c r="KQU127" s="77"/>
      <c r="KQV127" s="77"/>
      <c r="KQW127" s="77"/>
      <c r="KQX127" s="77"/>
      <c r="KQY127" s="77"/>
      <c r="KQZ127" s="77"/>
      <c r="KRA127" s="77"/>
      <c r="KRB127" s="77"/>
      <c r="KRC127" s="77"/>
      <c r="KRD127" s="77"/>
      <c r="KRE127" s="77"/>
      <c r="KRF127" s="77"/>
      <c r="KRG127" s="77"/>
      <c r="KRH127" s="77"/>
      <c r="KRI127" s="77"/>
      <c r="KRJ127" s="77"/>
      <c r="KRK127" s="77"/>
      <c r="KRL127" s="77"/>
      <c r="KRM127" s="77"/>
      <c r="KRN127" s="77"/>
      <c r="KRO127" s="77"/>
      <c r="KRP127" s="77"/>
      <c r="KRQ127" s="77"/>
      <c r="KRR127" s="77"/>
      <c r="KRS127" s="77"/>
      <c r="KRT127" s="77"/>
      <c r="KRU127" s="77"/>
      <c r="KRV127" s="77"/>
      <c r="KRW127" s="77"/>
      <c r="KRX127" s="77"/>
      <c r="KRY127" s="77"/>
      <c r="KRZ127" s="77"/>
      <c r="KSA127" s="77"/>
      <c r="KSB127" s="77"/>
      <c r="KSC127" s="77"/>
      <c r="KSD127" s="77"/>
      <c r="KSE127" s="77"/>
      <c r="KSF127" s="77"/>
      <c r="KSG127" s="77"/>
      <c r="KSH127" s="77"/>
      <c r="KSI127" s="77"/>
      <c r="KSJ127" s="77"/>
      <c r="KSK127" s="77"/>
      <c r="KSL127" s="77"/>
      <c r="KSM127" s="77"/>
      <c r="KSN127" s="77"/>
      <c r="KSO127" s="77"/>
      <c r="KSP127" s="77"/>
      <c r="KSQ127" s="77"/>
      <c r="KSR127" s="77"/>
      <c r="KSS127" s="77"/>
      <c r="KST127" s="77"/>
      <c r="KSU127" s="77"/>
      <c r="KSV127" s="77"/>
      <c r="KSW127" s="77"/>
      <c r="KSX127" s="77"/>
      <c r="KSY127" s="77"/>
      <c r="KSZ127" s="77"/>
      <c r="KTA127" s="77"/>
      <c r="KTB127" s="77"/>
      <c r="KTC127" s="77"/>
      <c r="KTD127" s="77"/>
      <c r="KTE127" s="77"/>
      <c r="KTF127" s="77"/>
      <c r="KTG127" s="77"/>
      <c r="KTH127" s="77"/>
      <c r="KTI127" s="77"/>
      <c r="KTJ127" s="77"/>
      <c r="KTK127" s="77"/>
      <c r="KTL127" s="77"/>
      <c r="KTM127" s="77"/>
      <c r="KTN127" s="77"/>
      <c r="KTO127" s="77"/>
      <c r="KTP127" s="77"/>
      <c r="KTQ127" s="77"/>
      <c r="KTR127" s="77"/>
      <c r="KTS127" s="77"/>
      <c r="KTT127" s="77"/>
      <c r="KTU127" s="77"/>
      <c r="KTV127" s="77"/>
      <c r="KTW127" s="77"/>
      <c r="KTX127" s="77"/>
      <c r="KTY127" s="77"/>
      <c r="KTZ127" s="77"/>
      <c r="KUA127" s="77"/>
      <c r="KUB127" s="77"/>
      <c r="KUC127" s="77"/>
      <c r="KUD127" s="77"/>
      <c r="KUE127" s="77"/>
      <c r="KUF127" s="77"/>
      <c r="KUG127" s="77"/>
      <c r="KUH127" s="77"/>
      <c r="KUI127" s="77"/>
      <c r="KUJ127" s="77"/>
      <c r="KUK127" s="77"/>
      <c r="KUL127" s="77"/>
      <c r="KUM127" s="77"/>
      <c r="KUN127" s="77"/>
      <c r="KUO127" s="77"/>
      <c r="KUP127" s="77"/>
      <c r="KUQ127" s="77"/>
      <c r="KUR127" s="77"/>
      <c r="KUS127" s="77"/>
      <c r="KUT127" s="77"/>
      <c r="KUU127" s="77"/>
      <c r="KUV127" s="77"/>
      <c r="KUW127" s="77"/>
      <c r="KUX127" s="77"/>
      <c r="KUY127" s="77"/>
      <c r="KUZ127" s="77"/>
      <c r="KVA127" s="77"/>
      <c r="KVB127" s="77"/>
      <c r="KVC127" s="77"/>
      <c r="KVD127" s="77"/>
      <c r="KVE127" s="77"/>
      <c r="KVF127" s="77"/>
      <c r="KVG127" s="77"/>
      <c r="KVH127" s="77"/>
      <c r="KVI127" s="77"/>
      <c r="KVJ127" s="77"/>
      <c r="KVK127" s="77"/>
      <c r="KVL127" s="77"/>
      <c r="KVM127" s="77"/>
      <c r="KVN127" s="77"/>
      <c r="KVO127" s="77"/>
      <c r="KVP127" s="77"/>
      <c r="KVQ127" s="77"/>
      <c r="KVR127" s="77"/>
      <c r="KVS127" s="77"/>
      <c r="KVT127" s="77"/>
      <c r="KVU127" s="77"/>
      <c r="KVV127" s="77"/>
      <c r="KVW127" s="77"/>
      <c r="KVX127" s="77"/>
      <c r="KVY127" s="77"/>
      <c r="KVZ127" s="77"/>
      <c r="KWA127" s="77"/>
      <c r="KWB127" s="77"/>
      <c r="KWC127" s="77"/>
      <c r="KWD127" s="77"/>
      <c r="KWE127" s="77"/>
      <c r="KWF127" s="77"/>
      <c r="KWG127" s="77"/>
      <c r="KWH127" s="77"/>
      <c r="KWI127" s="77"/>
      <c r="KWJ127" s="77"/>
      <c r="KWK127" s="77"/>
      <c r="KWL127" s="77"/>
      <c r="KWM127" s="77"/>
      <c r="KWN127" s="77"/>
      <c r="KWO127" s="77"/>
      <c r="KWP127" s="77"/>
      <c r="KWQ127" s="77"/>
      <c r="KWR127" s="77"/>
      <c r="KWS127" s="77"/>
      <c r="KWT127" s="77"/>
      <c r="KWU127" s="77"/>
      <c r="KWV127" s="77"/>
      <c r="KWW127" s="77"/>
      <c r="KWX127" s="77"/>
      <c r="KWY127" s="77"/>
      <c r="KWZ127" s="77"/>
      <c r="KXA127" s="77"/>
      <c r="KXB127" s="77"/>
      <c r="KXC127" s="77"/>
      <c r="KXD127" s="77"/>
      <c r="KXE127" s="77"/>
      <c r="KXF127" s="77"/>
      <c r="KXG127" s="77"/>
      <c r="KXH127" s="77"/>
      <c r="KXI127" s="77"/>
      <c r="KXJ127" s="77"/>
      <c r="KXK127" s="77"/>
      <c r="KXL127" s="77"/>
      <c r="KXM127" s="77"/>
      <c r="KXN127" s="77"/>
      <c r="KXO127" s="77"/>
      <c r="KXP127" s="77"/>
      <c r="KXQ127" s="77"/>
      <c r="KXR127" s="77"/>
      <c r="KXS127" s="77"/>
      <c r="KXT127" s="77"/>
      <c r="KXU127" s="77"/>
      <c r="KXV127" s="77"/>
      <c r="KXW127" s="77"/>
      <c r="KXX127" s="77"/>
      <c r="KXY127" s="77"/>
      <c r="KXZ127" s="77"/>
      <c r="KYA127" s="77"/>
      <c r="KYB127" s="77"/>
      <c r="KYC127" s="77"/>
      <c r="KYD127" s="77"/>
      <c r="KYE127" s="77"/>
      <c r="KYF127" s="77"/>
      <c r="KYG127" s="77"/>
      <c r="KYH127" s="77"/>
      <c r="KYI127" s="77"/>
      <c r="KYJ127" s="77"/>
      <c r="KYK127" s="77"/>
      <c r="KYL127" s="77"/>
      <c r="KYM127" s="77"/>
      <c r="KYN127" s="77"/>
      <c r="KYO127" s="77"/>
      <c r="KYP127" s="77"/>
      <c r="KYQ127" s="77"/>
      <c r="KYR127" s="77"/>
      <c r="KYS127" s="77"/>
      <c r="KYT127" s="77"/>
      <c r="KYU127" s="77"/>
      <c r="KYV127" s="77"/>
      <c r="KYW127" s="77"/>
      <c r="KYX127" s="77"/>
      <c r="KYY127" s="77"/>
      <c r="KYZ127" s="77"/>
      <c r="KZA127" s="77"/>
      <c r="KZB127" s="77"/>
      <c r="KZC127" s="77"/>
      <c r="KZD127" s="77"/>
      <c r="KZE127" s="77"/>
      <c r="KZF127" s="77"/>
      <c r="KZG127" s="77"/>
      <c r="KZH127" s="77"/>
      <c r="KZI127" s="77"/>
      <c r="KZJ127" s="77"/>
      <c r="KZK127" s="77"/>
      <c r="KZL127" s="77"/>
      <c r="KZM127" s="77"/>
      <c r="KZN127" s="77"/>
      <c r="KZO127" s="77"/>
      <c r="KZP127" s="77"/>
      <c r="KZQ127" s="77"/>
      <c r="KZR127" s="77"/>
      <c r="KZS127" s="77"/>
      <c r="KZT127" s="77"/>
      <c r="KZU127" s="77"/>
      <c r="KZV127" s="77"/>
      <c r="KZW127" s="77"/>
      <c r="KZX127" s="77"/>
      <c r="KZY127" s="77"/>
      <c r="KZZ127" s="77"/>
      <c r="LAA127" s="77"/>
      <c r="LAB127" s="77"/>
      <c r="LAC127" s="77"/>
      <c r="LAD127" s="77"/>
      <c r="LAE127" s="77"/>
      <c r="LAF127" s="77"/>
      <c r="LAG127" s="77"/>
      <c r="LAH127" s="77"/>
      <c r="LAI127" s="77"/>
      <c r="LAJ127" s="77"/>
      <c r="LAK127" s="77"/>
      <c r="LAL127" s="77"/>
      <c r="LAM127" s="77"/>
      <c r="LAN127" s="77"/>
      <c r="LAO127" s="77"/>
      <c r="LAP127" s="77"/>
      <c r="LAQ127" s="77"/>
      <c r="LAR127" s="77"/>
      <c r="LAS127" s="77"/>
      <c r="LAT127" s="77"/>
      <c r="LAU127" s="77"/>
      <c r="LAV127" s="77"/>
      <c r="LAW127" s="77"/>
      <c r="LAX127" s="77"/>
      <c r="LAY127" s="77"/>
      <c r="LAZ127" s="77"/>
      <c r="LBA127" s="77"/>
      <c r="LBB127" s="77"/>
      <c r="LBC127" s="77"/>
      <c r="LBD127" s="77"/>
      <c r="LBE127" s="77"/>
      <c r="LBF127" s="77"/>
      <c r="LBG127" s="77"/>
      <c r="LBH127" s="77"/>
      <c r="LBI127" s="77"/>
      <c r="LBJ127" s="77"/>
      <c r="LBK127" s="77"/>
      <c r="LBL127" s="77"/>
      <c r="LBM127" s="77"/>
      <c r="LBN127" s="77"/>
      <c r="LBO127" s="77"/>
      <c r="LBP127" s="77"/>
      <c r="LBQ127" s="77"/>
      <c r="LBR127" s="77"/>
      <c r="LBS127" s="77"/>
      <c r="LBT127" s="77"/>
      <c r="LBU127" s="77"/>
      <c r="LBV127" s="77"/>
      <c r="LBW127" s="77"/>
      <c r="LBX127" s="77"/>
      <c r="LBY127" s="77"/>
      <c r="LBZ127" s="77"/>
      <c r="LCA127" s="77"/>
      <c r="LCB127" s="77"/>
      <c r="LCC127" s="77"/>
      <c r="LCD127" s="77"/>
      <c r="LCE127" s="77"/>
      <c r="LCF127" s="77"/>
      <c r="LCG127" s="77"/>
      <c r="LCH127" s="77"/>
      <c r="LCI127" s="77"/>
      <c r="LCJ127" s="77"/>
      <c r="LCK127" s="77"/>
      <c r="LCL127" s="77"/>
      <c r="LCM127" s="77"/>
      <c r="LCN127" s="77"/>
      <c r="LCO127" s="77"/>
      <c r="LCP127" s="77"/>
      <c r="LCQ127" s="77"/>
      <c r="LCR127" s="77"/>
      <c r="LCS127" s="77"/>
      <c r="LCT127" s="77"/>
      <c r="LCU127" s="77"/>
      <c r="LCV127" s="77"/>
      <c r="LCW127" s="77"/>
      <c r="LCX127" s="77"/>
      <c r="LCY127" s="77"/>
      <c r="LCZ127" s="77"/>
      <c r="LDA127" s="77"/>
      <c r="LDB127" s="77"/>
      <c r="LDC127" s="77"/>
      <c r="LDD127" s="77"/>
      <c r="LDE127" s="77"/>
      <c r="LDF127" s="77"/>
      <c r="LDG127" s="77"/>
      <c r="LDH127" s="77"/>
      <c r="LDI127" s="77"/>
      <c r="LDJ127" s="77"/>
      <c r="LDK127" s="77"/>
      <c r="LDL127" s="77"/>
      <c r="LDM127" s="77"/>
      <c r="LDN127" s="77"/>
      <c r="LDO127" s="77"/>
      <c r="LDP127" s="77"/>
      <c r="LDQ127" s="77"/>
      <c r="LDR127" s="77"/>
      <c r="LDS127" s="77"/>
      <c r="LDT127" s="77"/>
      <c r="LDU127" s="77"/>
      <c r="LDV127" s="77"/>
      <c r="LDW127" s="77"/>
      <c r="LDX127" s="77"/>
      <c r="LDY127" s="77"/>
      <c r="LDZ127" s="77"/>
      <c r="LEA127" s="77"/>
      <c r="LEB127" s="77"/>
      <c r="LEC127" s="77"/>
      <c r="LED127" s="77"/>
      <c r="LEE127" s="77"/>
      <c r="LEF127" s="77"/>
      <c r="LEG127" s="77"/>
      <c r="LEH127" s="77"/>
      <c r="LEI127" s="77"/>
      <c r="LEJ127" s="77"/>
      <c r="LEK127" s="77"/>
      <c r="LEL127" s="77"/>
      <c r="LEM127" s="77"/>
      <c r="LEN127" s="77"/>
      <c r="LEO127" s="77"/>
      <c r="LEP127" s="77"/>
      <c r="LEQ127" s="77"/>
      <c r="LER127" s="77"/>
      <c r="LES127" s="77"/>
      <c r="LET127" s="77"/>
      <c r="LEU127" s="77"/>
      <c r="LEV127" s="77"/>
      <c r="LEW127" s="77"/>
      <c r="LEX127" s="77"/>
      <c r="LEY127" s="77"/>
      <c r="LEZ127" s="77"/>
      <c r="LFA127" s="77"/>
      <c r="LFB127" s="77"/>
      <c r="LFC127" s="77"/>
      <c r="LFD127" s="77"/>
      <c r="LFE127" s="77"/>
      <c r="LFF127" s="77"/>
      <c r="LFG127" s="77"/>
      <c r="LFH127" s="77"/>
      <c r="LFI127" s="77"/>
      <c r="LFJ127" s="77"/>
      <c r="LFK127" s="77"/>
      <c r="LFL127" s="77"/>
      <c r="LFM127" s="77"/>
      <c r="LFN127" s="77"/>
      <c r="LFO127" s="77"/>
      <c r="LFP127" s="77"/>
      <c r="LFQ127" s="77"/>
      <c r="LFR127" s="77"/>
      <c r="LFS127" s="77"/>
      <c r="LFT127" s="77"/>
      <c r="LFU127" s="77"/>
      <c r="LFV127" s="77"/>
      <c r="LFW127" s="77"/>
      <c r="LFX127" s="77"/>
      <c r="LFY127" s="77"/>
      <c r="LFZ127" s="77"/>
      <c r="LGA127" s="77"/>
      <c r="LGB127" s="77"/>
      <c r="LGC127" s="77"/>
      <c r="LGD127" s="77"/>
      <c r="LGE127" s="77"/>
      <c r="LGF127" s="77"/>
      <c r="LGG127" s="77"/>
      <c r="LGH127" s="77"/>
      <c r="LGI127" s="77"/>
      <c r="LGJ127" s="77"/>
      <c r="LGK127" s="77"/>
      <c r="LGL127" s="77"/>
      <c r="LGM127" s="77"/>
      <c r="LGN127" s="77"/>
      <c r="LGO127" s="77"/>
      <c r="LGP127" s="77"/>
      <c r="LGQ127" s="77"/>
      <c r="LGR127" s="77"/>
      <c r="LGS127" s="77"/>
      <c r="LGT127" s="77"/>
      <c r="LGU127" s="77"/>
      <c r="LGV127" s="77"/>
      <c r="LGW127" s="77"/>
      <c r="LGX127" s="77"/>
      <c r="LGY127" s="77"/>
      <c r="LGZ127" s="77"/>
      <c r="LHA127" s="77"/>
      <c r="LHB127" s="77"/>
      <c r="LHC127" s="77"/>
      <c r="LHD127" s="77"/>
      <c r="LHE127" s="77"/>
      <c r="LHF127" s="77"/>
      <c r="LHG127" s="77"/>
      <c r="LHH127" s="77"/>
      <c r="LHI127" s="77"/>
      <c r="LHJ127" s="77"/>
      <c r="LHK127" s="77"/>
      <c r="LHL127" s="77"/>
      <c r="LHM127" s="77"/>
      <c r="LHN127" s="77"/>
      <c r="LHO127" s="77"/>
      <c r="LHP127" s="77"/>
      <c r="LHQ127" s="77"/>
      <c r="LHR127" s="77"/>
      <c r="LHS127" s="77"/>
      <c r="LHT127" s="77"/>
      <c r="LHU127" s="77"/>
      <c r="LHV127" s="77"/>
      <c r="LHW127" s="77"/>
      <c r="LHX127" s="77"/>
      <c r="LHY127" s="77"/>
      <c r="LHZ127" s="77"/>
      <c r="LIA127" s="77"/>
      <c r="LIB127" s="77"/>
      <c r="LIC127" s="77"/>
      <c r="LID127" s="77"/>
      <c r="LIE127" s="77"/>
      <c r="LIF127" s="77"/>
      <c r="LIG127" s="77"/>
      <c r="LIH127" s="77"/>
      <c r="LII127" s="77"/>
      <c r="LIJ127" s="77"/>
      <c r="LIK127" s="77"/>
      <c r="LIL127" s="77"/>
      <c r="LIM127" s="77"/>
      <c r="LIN127" s="77"/>
      <c r="LIO127" s="77"/>
      <c r="LIP127" s="77"/>
      <c r="LIQ127" s="77"/>
      <c r="LIR127" s="77"/>
      <c r="LIS127" s="77"/>
      <c r="LIT127" s="77"/>
      <c r="LIU127" s="77"/>
      <c r="LIV127" s="77"/>
      <c r="LIW127" s="77"/>
      <c r="LIX127" s="77"/>
      <c r="LIY127" s="77"/>
      <c r="LIZ127" s="77"/>
      <c r="LJA127" s="77"/>
      <c r="LJB127" s="77"/>
      <c r="LJC127" s="77"/>
      <c r="LJD127" s="77"/>
      <c r="LJE127" s="77"/>
      <c r="LJF127" s="77"/>
      <c r="LJG127" s="77"/>
      <c r="LJH127" s="77"/>
      <c r="LJI127" s="77"/>
      <c r="LJJ127" s="77"/>
      <c r="LJK127" s="77"/>
      <c r="LJL127" s="77"/>
      <c r="LJM127" s="77"/>
      <c r="LJN127" s="77"/>
      <c r="LJO127" s="77"/>
      <c r="LJP127" s="77"/>
      <c r="LJQ127" s="77"/>
      <c r="LJR127" s="77"/>
      <c r="LJS127" s="77"/>
      <c r="LJT127" s="77"/>
      <c r="LJU127" s="77"/>
      <c r="LJV127" s="77"/>
      <c r="LJW127" s="77"/>
      <c r="LJX127" s="77"/>
      <c r="LJY127" s="77"/>
      <c r="LJZ127" s="77"/>
      <c r="LKA127" s="77"/>
      <c r="LKB127" s="77"/>
      <c r="LKC127" s="77"/>
      <c r="LKD127" s="77"/>
      <c r="LKE127" s="77"/>
      <c r="LKF127" s="77"/>
      <c r="LKG127" s="77"/>
      <c r="LKH127" s="77"/>
      <c r="LKI127" s="77"/>
      <c r="LKJ127" s="77"/>
      <c r="LKK127" s="77"/>
      <c r="LKL127" s="77"/>
      <c r="LKM127" s="77"/>
      <c r="LKN127" s="77"/>
      <c r="LKO127" s="77"/>
      <c r="LKP127" s="77"/>
      <c r="LKQ127" s="77"/>
      <c r="LKR127" s="77"/>
      <c r="LKS127" s="77"/>
      <c r="LKT127" s="77"/>
      <c r="LKU127" s="77"/>
      <c r="LKV127" s="77"/>
      <c r="LKW127" s="77"/>
      <c r="LKX127" s="77"/>
      <c r="LKY127" s="77"/>
      <c r="LKZ127" s="77"/>
      <c r="LLA127" s="77"/>
      <c r="LLB127" s="77"/>
      <c r="LLC127" s="77"/>
      <c r="LLD127" s="77"/>
      <c r="LLE127" s="77"/>
      <c r="LLF127" s="77"/>
      <c r="LLG127" s="77"/>
      <c r="LLH127" s="77"/>
      <c r="LLI127" s="77"/>
      <c r="LLJ127" s="77"/>
      <c r="LLK127" s="77"/>
      <c r="LLL127" s="77"/>
      <c r="LLM127" s="77"/>
      <c r="LLN127" s="77"/>
      <c r="LLO127" s="77"/>
      <c r="LLP127" s="77"/>
      <c r="LLQ127" s="77"/>
      <c r="LLR127" s="77"/>
      <c r="LLS127" s="77"/>
      <c r="LLT127" s="77"/>
      <c r="LLU127" s="77"/>
      <c r="LLV127" s="77"/>
      <c r="LLW127" s="77"/>
      <c r="LLX127" s="77"/>
      <c r="LLY127" s="77"/>
      <c r="LLZ127" s="77"/>
      <c r="LMA127" s="77"/>
      <c r="LMB127" s="77"/>
      <c r="LMC127" s="77"/>
      <c r="LMD127" s="77"/>
      <c r="LME127" s="77"/>
      <c r="LMF127" s="77"/>
      <c r="LMG127" s="77"/>
      <c r="LMH127" s="77"/>
      <c r="LMI127" s="77"/>
      <c r="LMJ127" s="77"/>
      <c r="LMK127" s="77"/>
      <c r="LML127" s="77"/>
      <c r="LMM127" s="77"/>
      <c r="LMN127" s="77"/>
      <c r="LMO127" s="77"/>
      <c r="LMP127" s="77"/>
      <c r="LMQ127" s="77"/>
      <c r="LMR127" s="77"/>
      <c r="LMS127" s="77"/>
      <c r="LMT127" s="77"/>
      <c r="LMU127" s="77"/>
      <c r="LMV127" s="77"/>
      <c r="LMW127" s="77"/>
      <c r="LMX127" s="77"/>
      <c r="LMY127" s="77"/>
      <c r="LMZ127" s="77"/>
      <c r="LNA127" s="77"/>
      <c r="LNB127" s="77"/>
      <c r="LNC127" s="77"/>
      <c r="LND127" s="77"/>
      <c r="LNE127" s="77"/>
      <c r="LNF127" s="77"/>
      <c r="LNG127" s="77"/>
      <c r="LNH127" s="77"/>
      <c r="LNI127" s="77"/>
      <c r="LNJ127" s="77"/>
      <c r="LNK127" s="77"/>
      <c r="LNL127" s="77"/>
      <c r="LNM127" s="77"/>
      <c r="LNN127" s="77"/>
      <c r="LNO127" s="77"/>
      <c r="LNP127" s="77"/>
      <c r="LNQ127" s="77"/>
      <c r="LNR127" s="77"/>
      <c r="LNS127" s="77"/>
      <c r="LNT127" s="77"/>
      <c r="LNU127" s="77"/>
      <c r="LNV127" s="77"/>
      <c r="LNW127" s="77"/>
      <c r="LNX127" s="77"/>
      <c r="LNY127" s="77"/>
      <c r="LNZ127" s="77"/>
      <c r="LOA127" s="77"/>
      <c r="LOB127" s="77"/>
      <c r="LOC127" s="77"/>
      <c r="LOD127" s="77"/>
      <c r="LOE127" s="77"/>
      <c r="LOF127" s="77"/>
      <c r="LOG127" s="77"/>
      <c r="LOH127" s="77"/>
      <c r="LOI127" s="77"/>
      <c r="LOJ127" s="77"/>
      <c r="LOK127" s="77"/>
      <c r="LOL127" s="77"/>
      <c r="LOM127" s="77"/>
      <c r="LON127" s="77"/>
      <c r="LOO127" s="77"/>
      <c r="LOP127" s="77"/>
      <c r="LOQ127" s="77"/>
      <c r="LOR127" s="77"/>
      <c r="LOS127" s="77"/>
      <c r="LOT127" s="77"/>
      <c r="LOU127" s="77"/>
      <c r="LOV127" s="77"/>
      <c r="LOW127" s="77"/>
      <c r="LOX127" s="77"/>
      <c r="LOY127" s="77"/>
      <c r="LOZ127" s="77"/>
      <c r="LPA127" s="77"/>
      <c r="LPB127" s="77"/>
      <c r="LPC127" s="77"/>
      <c r="LPD127" s="77"/>
      <c r="LPE127" s="77"/>
      <c r="LPF127" s="77"/>
      <c r="LPG127" s="77"/>
      <c r="LPH127" s="77"/>
      <c r="LPI127" s="77"/>
      <c r="LPJ127" s="77"/>
      <c r="LPK127" s="77"/>
      <c r="LPL127" s="77"/>
      <c r="LPM127" s="77"/>
      <c r="LPN127" s="77"/>
      <c r="LPO127" s="77"/>
      <c r="LPP127" s="77"/>
      <c r="LPQ127" s="77"/>
      <c r="LPR127" s="77"/>
      <c r="LPS127" s="77"/>
      <c r="LPT127" s="77"/>
      <c r="LPU127" s="77"/>
      <c r="LPV127" s="77"/>
      <c r="LPW127" s="77"/>
      <c r="LPX127" s="77"/>
      <c r="LPY127" s="77"/>
      <c r="LPZ127" s="77"/>
      <c r="LQA127" s="77"/>
      <c r="LQB127" s="77"/>
      <c r="LQC127" s="77"/>
      <c r="LQD127" s="77"/>
      <c r="LQE127" s="77"/>
      <c r="LQF127" s="77"/>
      <c r="LQG127" s="77"/>
      <c r="LQH127" s="77"/>
      <c r="LQI127" s="77"/>
      <c r="LQJ127" s="77"/>
      <c r="LQK127" s="77"/>
      <c r="LQL127" s="77"/>
      <c r="LQM127" s="77"/>
      <c r="LQN127" s="77"/>
      <c r="LQO127" s="77"/>
      <c r="LQP127" s="77"/>
      <c r="LQQ127" s="77"/>
      <c r="LQR127" s="77"/>
      <c r="LQS127" s="77"/>
      <c r="LQT127" s="77"/>
      <c r="LQU127" s="77"/>
      <c r="LQV127" s="77"/>
      <c r="LQW127" s="77"/>
      <c r="LQX127" s="77"/>
      <c r="LQY127" s="77"/>
      <c r="LQZ127" s="77"/>
      <c r="LRA127" s="77"/>
      <c r="LRB127" s="77"/>
      <c r="LRC127" s="77"/>
      <c r="LRD127" s="77"/>
      <c r="LRE127" s="77"/>
      <c r="LRF127" s="77"/>
      <c r="LRG127" s="77"/>
      <c r="LRH127" s="77"/>
      <c r="LRI127" s="77"/>
      <c r="LRJ127" s="77"/>
      <c r="LRK127" s="77"/>
      <c r="LRL127" s="77"/>
      <c r="LRM127" s="77"/>
      <c r="LRN127" s="77"/>
      <c r="LRO127" s="77"/>
      <c r="LRP127" s="77"/>
      <c r="LRQ127" s="77"/>
      <c r="LRR127" s="77"/>
      <c r="LRS127" s="77"/>
      <c r="LRT127" s="77"/>
      <c r="LRU127" s="77"/>
      <c r="LRV127" s="77"/>
      <c r="LRW127" s="77"/>
      <c r="LRX127" s="77"/>
      <c r="LRY127" s="77"/>
      <c r="LRZ127" s="77"/>
      <c r="LSA127" s="77"/>
      <c r="LSB127" s="77"/>
      <c r="LSC127" s="77"/>
      <c r="LSD127" s="77"/>
      <c r="LSE127" s="77"/>
      <c r="LSF127" s="77"/>
      <c r="LSG127" s="77"/>
      <c r="LSH127" s="77"/>
      <c r="LSI127" s="77"/>
      <c r="LSJ127" s="77"/>
      <c r="LSK127" s="77"/>
      <c r="LSL127" s="77"/>
      <c r="LSM127" s="77"/>
      <c r="LSN127" s="77"/>
      <c r="LSO127" s="77"/>
      <c r="LSP127" s="77"/>
      <c r="LSQ127" s="77"/>
      <c r="LSR127" s="77"/>
      <c r="LSS127" s="77"/>
      <c r="LST127" s="77"/>
      <c r="LSU127" s="77"/>
      <c r="LSV127" s="77"/>
      <c r="LSW127" s="77"/>
      <c r="LSX127" s="77"/>
      <c r="LSY127" s="77"/>
      <c r="LSZ127" s="77"/>
      <c r="LTA127" s="77"/>
      <c r="LTB127" s="77"/>
      <c r="LTC127" s="77"/>
      <c r="LTD127" s="77"/>
      <c r="LTE127" s="77"/>
      <c r="LTF127" s="77"/>
      <c r="LTG127" s="77"/>
      <c r="LTH127" s="77"/>
      <c r="LTI127" s="77"/>
      <c r="LTJ127" s="77"/>
      <c r="LTK127" s="77"/>
      <c r="LTL127" s="77"/>
      <c r="LTM127" s="77"/>
      <c r="LTN127" s="77"/>
      <c r="LTO127" s="77"/>
      <c r="LTP127" s="77"/>
      <c r="LTQ127" s="77"/>
      <c r="LTR127" s="77"/>
      <c r="LTS127" s="77"/>
      <c r="LTT127" s="77"/>
      <c r="LTU127" s="77"/>
      <c r="LTV127" s="77"/>
      <c r="LTW127" s="77"/>
      <c r="LTX127" s="77"/>
      <c r="LTY127" s="77"/>
      <c r="LTZ127" s="77"/>
      <c r="LUA127" s="77"/>
      <c r="LUB127" s="77"/>
      <c r="LUC127" s="77"/>
      <c r="LUD127" s="77"/>
      <c r="LUE127" s="77"/>
      <c r="LUF127" s="77"/>
      <c r="LUG127" s="77"/>
      <c r="LUH127" s="77"/>
      <c r="LUI127" s="77"/>
      <c r="LUJ127" s="77"/>
      <c r="LUK127" s="77"/>
      <c r="LUL127" s="77"/>
      <c r="LUM127" s="77"/>
      <c r="LUN127" s="77"/>
      <c r="LUO127" s="77"/>
      <c r="LUP127" s="77"/>
      <c r="LUQ127" s="77"/>
      <c r="LUR127" s="77"/>
      <c r="LUS127" s="77"/>
      <c r="LUT127" s="77"/>
      <c r="LUU127" s="77"/>
      <c r="LUV127" s="77"/>
      <c r="LUW127" s="77"/>
      <c r="LUX127" s="77"/>
      <c r="LUY127" s="77"/>
      <c r="LUZ127" s="77"/>
      <c r="LVA127" s="77"/>
      <c r="LVB127" s="77"/>
      <c r="LVC127" s="77"/>
      <c r="LVD127" s="77"/>
      <c r="LVE127" s="77"/>
      <c r="LVF127" s="77"/>
      <c r="LVG127" s="77"/>
      <c r="LVH127" s="77"/>
      <c r="LVI127" s="77"/>
      <c r="LVJ127" s="77"/>
      <c r="LVK127" s="77"/>
      <c r="LVL127" s="77"/>
      <c r="LVM127" s="77"/>
      <c r="LVN127" s="77"/>
      <c r="LVO127" s="77"/>
      <c r="LVP127" s="77"/>
      <c r="LVQ127" s="77"/>
      <c r="LVR127" s="77"/>
      <c r="LVS127" s="77"/>
      <c r="LVT127" s="77"/>
      <c r="LVU127" s="77"/>
      <c r="LVV127" s="77"/>
      <c r="LVW127" s="77"/>
      <c r="LVX127" s="77"/>
      <c r="LVY127" s="77"/>
      <c r="LVZ127" s="77"/>
      <c r="LWA127" s="77"/>
      <c r="LWB127" s="77"/>
      <c r="LWC127" s="77"/>
      <c r="LWD127" s="77"/>
      <c r="LWE127" s="77"/>
      <c r="LWF127" s="77"/>
      <c r="LWG127" s="77"/>
      <c r="LWH127" s="77"/>
      <c r="LWI127" s="77"/>
      <c r="LWJ127" s="77"/>
      <c r="LWK127" s="77"/>
      <c r="LWL127" s="77"/>
      <c r="LWM127" s="77"/>
      <c r="LWN127" s="77"/>
      <c r="LWO127" s="77"/>
      <c r="LWP127" s="77"/>
      <c r="LWQ127" s="77"/>
      <c r="LWR127" s="77"/>
      <c r="LWS127" s="77"/>
      <c r="LWT127" s="77"/>
      <c r="LWU127" s="77"/>
      <c r="LWV127" s="77"/>
      <c r="LWW127" s="77"/>
      <c r="LWX127" s="77"/>
      <c r="LWY127" s="77"/>
      <c r="LWZ127" s="77"/>
      <c r="LXA127" s="77"/>
      <c r="LXB127" s="77"/>
      <c r="LXC127" s="77"/>
      <c r="LXD127" s="77"/>
      <c r="LXE127" s="77"/>
      <c r="LXF127" s="77"/>
      <c r="LXG127" s="77"/>
      <c r="LXH127" s="77"/>
      <c r="LXI127" s="77"/>
      <c r="LXJ127" s="77"/>
      <c r="LXK127" s="77"/>
      <c r="LXL127" s="77"/>
      <c r="LXM127" s="77"/>
      <c r="LXN127" s="77"/>
      <c r="LXO127" s="77"/>
      <c r="LXP127" s="77"/>
      <c r="LXQ127" s="77"/>
      <c r="LXR127" s="77"/>
      <c r="LXS127" s="77"/>
      <c r="LXT127" s="77"/>
      <c r="LXU127" s="77"/>
      <c r="LXV127" s="77"/>
      <c r="LXW127" s="77"/>
      <c r="LXX127" s="77"/>
      <c r="LXY127" s="77"/>
      <c r="LXZ127" s="77"/>
      <c r="LYA127" s="77"/>
      <c r="LYB127" s="77"/>
      <c r="LYC127" s="77"/>
      <c r="LYD127" s="77"/>
      <c r="LYE127" s="77"/>
      <c r="LYF127" s="77"/>
      <c r="LYG127" s="77"/>
      <c r="LYH127" s="77"/>
      <c r="LYI127" s="77"/>
      <c r="LYJ127" s="77"/>
      <c r="LYK127" s="77"/>
      <c r="LYL127" s="77"/>
      <c r="LYM127" s="77"/>
      <c r="LYN127" s="77"/>
      <c r="LYO127" s="77"/>
      <c r="LYP127" s="77"/>
      <c r="LYQ127" s="77"/>
      <c r="LYR127" s="77"/>
      <c r="LYS127" s="77"/>
      <c r="LYT127" s="77"/>
      <c r="LYU127" s="77"/>
      <c r="LYV127" s="77"/>
      <c r="LYW127" s="77"/>
      <c r="LYX127" s="77"/>
      <c r="LYY127" s="77"/>
      <c r="LYZ127" s="77"/>
      <c r="LZA127" s="77"/>
      <c r="LZB127" s="77"/>
      <c r="LZC127" s="77"/>
      <c r="LZD127" s="77"/>
      <c r="LZE127" s="77"/>
      <c r="LZF127" s="77"/>
      <c r="LZG127" s="77"/>
      <c r="LZH127" s="77"/>
      <c r="LZI127" s="77"/>
      <c r="LZJ127" s="77"/>
      <c r="LZK127" s="77"/>
      <c r="LZL127" s="77"/>
      <c r="LZM127" s="77"/>
      <c r="LZN127" s="77"/>
      <c r="LZO127" s="77"/>
      <c r="LZP127" s="77"/>
      <c r="LZQ127" s="77"/>
      <c r="LZR127" s="77"/>
      <c r="LZS127" s="77"/>
      <c r="LZT127" s="77"/>
      <c r="LZU127" s="77"/>
      <c r="LZV127" s="77"/>
      <c r="LZW127" s="77"/>
      <c r="LZX127" s="77"/>
      <c r="LZY127" s="77"/>
      <c r="LZZ127" s="77"/>
      <c r="MAA127" s="77"/>
      <c r="MAB127" s="77"/>
      <c r="MAC127" s="77"/>
      <c r="MAD127" s="77"/>
      <c r="MAE127" s="77"/>
      <c r="MAF127" s="77"/>
      <c r="MAG127" s="77"/>
      <c r="MAH127" s="77"/>
      <c r="MAI127" s="77"/>
      <c r="MAJ127" s="77"/>
      <c r="MAK127" s="77"/>
      <c r="MAL127" s="77"/>
      <c r="MAM127" s="77"/>
      <c r="MAN127" s="77"/>
      <c r="MAO127" s="77"/>
      <c r="MAP127" s="77"/>
      <c r="MAQ127" s="77"/>
      <c r="MAR127" s="77"/>
      <c r="MAS127" s="77"/>
      <c r="MAT127" s="77"/>
      <c r="MAU127" s="77"/>
      <c r="MAV127" s="77"/>
      <c r="MAW127" s="77"/>
      <c r="MAX127" s="77"/>
      <c r="MAY127" s="77"/>
      <c r="MAZ127" s="77"/>
      <c r="MBA127" s="77"/>
      <c r="MBB127" s="77"/>
      <c r="MBC127" s="77"/>
      <c r="MBD127" s="77"/>
      <c r="MBE127" s="77"/>
      <c r="MBF127" s="77"/>
      <c r="MBG127" s="77"/>
      <c r="MBH127" s="77"/>
      <c r="MBI127" s="77"/>
      <c r="MBJ127" s="77"/>
      <c r="MBK127" s="77"/>
      <c r="MBL127" s="77"/>
      <c r="MBM127" s="77"/>
      <c r="MBN127" s="77"/>
      <c r="MBO127" s="77"/>
      <c r="MBP127" s="77"/>
      <c r="MBQ127" s="77"/>
      <c r="MBR127" s="77"/>
      <c r="MBS127" s="77"/>
      <c r="MBT127" s="77"/>
      <c r="MBU127" s="77"/>
      <c r="MBV127" s="77"/>
      <c r="MBW127" s="77"/>
      <c r="MBX127" s="77"/>
      <c r="MBY127" s="77"/>
      <c r="MBZ127" s="77"/>
      <c r="MCA127" s="77"/>
      <c r="MCB127" s="77"/>
      <c r="MCC127" s="77"/>
      <c r="MCD127" s="77"/>
      <c r="MCE127" s="77"/>
      <c r="MCF127" s="77"/>
      <c r="MCG127" s="77"/>
      <c r="MCH127" s="77"/>
      <c r="MCI127" s="77"/>
      <c r="MCJ127" s="77"/>
      <c r="MCK127" s="77"/>
      <c r="MCL127" s="77"/>
      <c r="MCM127" s="77"/>
      <c r="MCN127" s="77"/>
      <c r="MCO127" s="77"/>
      <c r="MCP127" s="77"/>
      <c r="MCQ127" s="77"/>
      <c r="MCR127" s="77"/>
      <c r="MCS127" s="77"/>
      <c r="MCT127" s="77"/>
      <c r="MCU127" s="77"/>
      <c r="MCV127" s="77"/>
      <c r="MCW127" s="77"/>
      <c r="MCX127" s="77"/>
      <c r="MCY127" s="77"/>
      <c r="MCZ127" s="77"/>
      <c r="MDA127" s="77"/>
      <c r="MDB127" s="77"/>
      <c r="MDC127" s="77"/>
      <c r="MDD127" s="77"/>
      <c r="MDE127" s="77"/>
      <c r="MDF127" s="77"/>
      <c r="MDG127" s="77"/>
      <c r="MDH127" s="77"/>
      <c r="MDI127" s="77"/>
      <c r="MDJ127" s="77"/>
      <c r="MDK127" s="77"/>
      <c r="MDL127" s="77"/>
      <c r="MDM127" s="77"/>
      <c r="MDN127" s="77"/>
      <c r="MDO127" s="77"/>
      <c r="MDP127" s="77"/>
      <c r="MDQ127" s="77"/>
      <c r="MDR127" s="77"/>
      <c r="MDS127" s="77"/>
      <c r="MDT127" s="77"/>
      <c r="MDU127" s="77"/>
      <c r="MDV127" s="77"/>
      <c r="MDW127" s="77"/>
      <c r="MDX127" s="77"/>
      <c r="MDY127" s="77"/>
      <c r="MDZ127" s="77"/>
      <c r="MEA127" s="77"/>
      <c r="MEB127" s="77"/>
      <c r="MEC127" s="77"/>
      <c r="MED127" s="77"/>
      <c r="MEE127" s="77"/>
      <c r="MEF127" s="77"/>
      <c r="MEG127" s="77"/>
      <c r="MEH127" s="77"/>
      <c r="MEI127" s="77"/>
      <c r="MEJ127" s="77"/>
      <c r="MEK127" s="77"/>
      <c r="MEL127" s="77"/>
      <c r="MEM127" s="77"/>
      <c r="MEN127" s="77"/>
      <c r="MEO127" s="77"/>
      <c r="MEP127" s="77"/>
      <c r="MEQ127" s="77"/>
      <c r="MER127" s="77"/>
      <c r="MES127" s="77"/>
      <c r="MET127" s="77"/>
      <c r="MEU127" s="77"/>
      <c r="MEV127" s="77"/>
      <c r="MEW127" s="77"/>
      <c r="MEX127" s="77"/>
      <c r="MEY127" s="77"/>
      <c r="MEZ127" s="77"/>
      <c r="MFA127" s="77"/>
      <c r="MFB127" s="77"/>
      <c r="MFC127" s="77"/>
      <c r="MFD127" s="77"/>
      <c r="MFE127" s="77"/>
      <c r="MFF127" s="77"/>
      <c r="MFG127" s="77"/>
      <c r="MFH127" s="77"/>
      <c r="MFI127" s="77"/>
      <c r="MFJ127" s="77"/>
      <c r="MFK127" s="77"/>
      <c r="MFL127" s="77"/>
      <c r="MFM127" s="77"/>
      <c r="MFN127" s="77"/>
      <c r="MFO127" s="77"/>
      <c r="MFP127" s="77"/>
      <c r="MFQ127" s="77"/>
      <c r="MFR127" s="77"/>
      <c r="MFS127" s="77"/>
      <c r="MFT127" s="77"/>
      <c r="MFU127" s="77"/>
      <c r="MFV127" s="77"/>
      <c r="MFW127" s="77"/>
      <c r="MFX127" s="77"/>
      <c r="MFY127" s="77"/>
      <c r="MFZ127" s="77"/>
      <c r="MGA127" s="77"/>
      <c r="MGB127" s="77"/>
      <c r="MGC127" s="77"/>
      <c r="MGD127" s="77"/>
      <c r="MGE127" s="77"/>
      <c r="MGF127" s="77"/>
      <c r="MGG127" s="77"/>
      <c r="MGH127" s="77"/>
      <c r="MGI127" s="77"/>
      <c r="MGJ127" s="77"/>
      <c r="MGK127" s="77"/>
      <c r="MGL127" s="77"/>
      <c r="MGM127" s="77"/>
      <c r="MGN127" s="77"/>
      <c r="MGO127" s="77"/>
      <c r="MGP127" s="77"/>
      <c r="MGQ127" s="77"/>
      <c r="MGR127" s="77"/>
      <c r="MGS127" s="77"/>
      <c r="MGT127" s="77"/>
      <c r="MGU127" s="77"/>
      <c r="MGV127" s="77"/>
      <c r="MGW127" s="77"/>
      <c r="MGX127" s="77"/>
      <c r="MGY127" s="77"/>
      <c r="MGZ127" s="77"/>
      <c r="MHA127" s="77"/>
      <c r="MHB127" s="77"/>
      <c r="MHC127" s="77"/>
      <c r="MHD127" s="77"/>
      <c r="MHE127" s="77"/>
      <c r="MHF127" s="77"/>
      <c r="MHG127" s="77"/>
      <c r="MHH127" s="77"/>
      <c r="MHI127" s="77"/>
      <c r="MHJ127" s="77"/>
      <c r="MHK127" s="77"/>
      <c r="MHL127" s="77"/>
      <c r="MHM127" s="77"/>
      <c r="MHN127" s="77"/>
      <c r="MHO127" s="77"/>
      <c r="MHP127" s="77"/>
      <c r="MHQ127" s="77"/>
      <c r="MHR127" s="77"/>
      <c r="MHS127" s="77"/>
      <c r="MHT127" s="77"/>
      <c r="MHU127" s="77"/>
      <c r="MHV127" s="77"/>
      <c r="MHW127" s="77"/>
      <c r="MHX127" s="77"/>
      <c r="MHY127" s="77"/>
      <c r="MHZ127" s="77"/>
      <c r="MIA127" s="77"/>
      <c r="MIB127" s="77"/>
      <c r="MIC127" s="77"/>
      <c r="MID127" s="77"/>
      <c r="MIE127" s="77"/>
      <c r="MIF127" s="77"/>
      <c r="MIG127" s="77"/>
      <c r="MIH127" s="77"/>
      <c r="MII127" s="77"/>
      <c r="MIJ127" s="77"/>
      <c r="MIK127" s="77"/>
      <c r="MIL127" s="77"/>
      <c r="MIM127" s="77"/>
      <c r="MIN127" s="77"/>
      <c r="MIO127" s="77"/>
      <c r="MIP127" s="77"/>
      <c r="MIQ127" s="77"/>
      <c r="MIR127" s="77"/>
      <c r="MIS127" s="77"/>
      <c r="MIT127" s="77"/>
      <c r="MIU127" s="77"/>
      <c r="MIV127" s="77"/>
      <c r="MIW127" s="77"/>
      <c r="MIX127" s="77"/>
      <c r="MIY127" s="77"/>
      <c r="MIZ127" s="77"/>
      <c r="MJA127" s="77"/>
      <c r="MJB127" s="77"/>
      <c r="MJC127" s="77"/>
      <c r="MJD127" s="77"/>
      <c r="MJE127" s="77"/>
      <c r="MJF127" s="77"/>
      <c r="MJG127" s="77"/>
      <c r="MJH127" s="77"/>
      <c r="MJI127" s="77"/>
      <c r="MJJ127" s="77"/>
      <c r="MJK127" s="77"/>
      <c r="MJL127" s="77"/>
      <c r="MJM127" s="77"/>
      <c r="MJN127" s="77"/>
      <c r="MJO127" s="77"/>
      <c r="MJP127" s="77"/>
      <c r="MJQ127" s="77"/>
      <c r="MJR127" s="77"/>
      <c r="MJS127" s="77"/>
      <c r="MJT127" s="77"/>
      <c r="MJU127" s="77"/>
      <c r="MJV127" s="77"/>
      <c r="MJW127" s="77"/>
      <c r="MJX127" s="77"/>
      <c r="MJY127" s="77"/>
      <c r="MJZ127" s="77"/>
      <c r="MKA127" s="77"/>
      <c r="MKB127" s="77"/>
      <c r="MKC127" s="77"/>
      <c r="MKD127" s="77"/>
      <c r="MKE127" s="77"/>
      <c r="MKF127" s="77"/>
      <c r="MKG127" s="77"/>
      <c r="MKH127" s="77"/>
      <c r="MKI127" s="77"/>
      <c r="MKJ127" s="77"/>
      <c r="MKK127" s="77"/>
      <c r="MKL127" s="77"/>
      <c r="MKM127" s="77"/>
      <c r="MKN127" s="77"/>
      <c r="MKO127" s="77"/>
      <c r="MKP127" s="77"/>
      <c r="MKQ127" s="77"/>
      <c r="MKR127" s="77"/>
      <c r="MKS127" s="77"/>
      <c r="MKT127" s="77"/>
      <c r="MKU127" s="77"/>
      <c r="MKV127" s="77"/>
      <c r="MKW127" s="77"/>
      <c r="MKX127" s="77"/>
      <c r="MKY127" s="77"/>
      <c r="MKZ127" s="77"/>
      <c r="MLA127" s="77"/>
      <c r="MLB127" s="77"/>
      <c r="MLC127" s="77"/>
      <c r="MLD127" s="77"/>
      <c r="MLE127" s="77"/>
      <c r="MLF127" s="77"/>
      <c r="MLG127" s="77"/>
      <c r="MLH127" s="77"/>
      <c r="MLI127" s="77"/>
      <c r="MLJ127" s="77"/>
      <c r="MLK127" s="77"/>
      <c r="MLL127" s="77"/>
      <c r="MLM127" s="77"/>
      <c r="MLN127" s="77"/>
      <c r="MLO127" s="77"/>
      <c r="MLP127" s="77"/>
      <c r="MLQ127" s="77"/>
      <c r="MLR127" s="77"/>
      <c r="MLS127" s="77"/>
      <c r="MLT127" s="77"/>
      <c r="MLU127" s="77"/>
      <c r="MLV127" s="77"/>
      <c r="MLW127" s="77"/>
      <c r="MLX127" s="77"/>
      <c r="MLY127" s="77"/>
      <c r="MLZ127" s="77"/>
      <c r="MMA127" s="77"/>
      <c r="MMB127" s="77"/>
      <c r="MMC127" s="77"/>
      <c r="MMD127" s="77"/>
      <c r="MME127" s="77"/>
      <c r="MMF127" s="77"/>
      <c r="MMG127" s="77"/>
      <c r="MMH127" s="77"/>
      <c r="MMI127" s="77"/>
      <c r="MMJ127" s="77"/>
      <c r="MMK127" s="77"/>
      <c r="MML127" s="77"/>
      <c r="MMM127" s="77"/>
      <c r="MMN127" s="77"/>
      <c r="MMO127" s="77"/>
      <c r="MMP127" s="77"/>
      <c r="MMQ127" s="77"/>
      <c r="MMR127" s="77"/>
      <c r="MMS127" s="77"/>
      <c r="MMT127" s="77"/>
      <c r="MMU127" s="77"/>
      <c r="MMV127" s="77"/>
      <c r="MMW127" s="77"/>
      <c r="MMX127" s="77"/>
      <c r="MMY127" s="77"/>
      <c r="MMZ127" s="77"/>
      <c r="MNA127" s="77"/>
      <c r="MNB127" s="77"/>
      <c r="MNC127" s="77"/>
      <c r="MND127" s="77"/>
      <c r="MNE127" s="77"/>
      <c r="MNF127" s="77"/>
      <c r="MNG127" s="77"/>
      <c r="MNH127" s="77"/>
      <c r="MNI127" s="77"/>
      <c r="MNJ127" s="77"/>
      <c r="MNK127" s="77"/>
      <c r="MNL127" s="77"/>
      <c r="MNM127" s="77"/>
      <c r="MNN127" s="77"/>
      <c r="MNO127" s="77"/>
      <c r="MNP127" s="77"/>
      <c r="MNQ127" s="77"/>
      <c r="MNR127" s="77"/>
      <c r="MNS127" s="77"/>
      <c r="MNT127" s="77"/>
      <c r="MNU127" s="77"/>
      <c r="MNV127" s="77"/>
      <c r="MNW127" s="77"/>
      <c r="MNX127" s="77"/>
      <c r="MNY127" s="77"/>
      <c r="MNZ127" s="77"/>
      <c r="MOA127" s="77"/>
      <c r="MOB127" s="77"/>
      <c r="MOC127" s="77"/>
      <c r="MOD127" s="77"/>
      <c r="MOE127" s="77"/>
      <c r="MOF127" s="77"/>
      <c r="MOG127" s="77"/>
      <c r="MOH127" s="77"/>
      <c r="MOI127" s="77"/>
      <c r="MOJ127" s="77"/>
      <c r="MOK127" s="77"/>
      <c r="MOL127" s="77"/>
      <c r="MOM127" s="77"/>
      <c r="MON127" s="77"/>
      <c r="MOO127" s="77"/>
      <c r="MOP127" s="77"/>
      <c r="MOQ127" s="77"/>
      <c r="MOR127" s="77"/>
      <c r="MOS127" s="77"/>
      <c r="MOT127" s="77"/>
      <c r="MOU127" s="77"/>
      <c r="MOV127" s="77"/>
      <c r="MOW127" s="77"/>
      <c r="MOX127" s="77"/>
      <c r="MOY127" s="77"/>
      <c r="MOZ127" s="77"/>
      <c r="MPA127" s="77"/>
      <c r="MPB127" s="77"/>
      <c r="MPC127" s="77"/>
      <c r="MPD127" s="77"/>
      <c r="MPE127" s="77"/>
      <c r="MPF127" s="77"/>
      <c r="MPG127" s="77"/>
      <c r="MPH127" s="77"/>
      <c r="MPI127" s="77"/>
      <c r="MPJ127" s="77"/>
      <c r="MPK127" s="77"/>
      <c r="MPL127" s="77"/>
      <c r="MPM127" s="77"/>
      <c r="MPN127" s="77"/>
      <c r="MPO127" s="77"/>
      <c r="MPP127" s="77"/>
      <c r="MPQ127" s="77"/>
      <c r="MPR127" s="77"/>
      <c r="MPS127" s="77"/>
      <c r="MPT127" s="77"/>
      <c r="MPU127" s="77"/>
      <c r="MPV127" s="77"/>
      <c r="MPW127" s="77"/>
      <c r="MPX127" s="77"/>
      <c r="MPY127" s="77"/>
      <c r="MPZ127" s="77"/>
      <c r="MQA127" s="77"/>
      <c r="MQB127" s="77"/>
      <c r="MQC127" s="77"/>
      <c r="MQD127" s="77"/>
      <c r="MQE127" s="77"/>
      <c r="MQF127" s="77"/>
      <c r="MQG127" s="77"/>
      <c r="MQH127" s="77"/>
      <c r="MQI127" s="77"/>
      <c r="MQJ127" s="77"/>
      <c r="MQK127" s="77"/>
      <c r="MQL127" s="77"/>
      <c r="MQM127" s="77"/>
      <c r="MQN127" s="77"/>
      <c r="MQO127" s="77"/>
      <c r="MQP127" s="77"/>
      <c r="MQQ127" s="77"/>
      <c r="MQR127" s="77"/>
      <c r="MQS127" s="77"/>
      <c r="MQT127" s="77"/>
      <c r="MQU127" s="77"/>
      <c r="MQV127" s="77"/>
      <c r="MQW127" s="77"/>
      <c r="MQX127" s="77"/>
      <c r="MQY127" s="77"/>
      <c r="MQZ127" s="77"/>
      <c r="MRA127" s="77"/>
      <c r="MRB127" s="77"/>
      <c r="MRC127" s="77"/>
      <c r="MRD127" s="77"/>
      <c r="MRE127" s="77"/>
      <c r="MRF127" s="77"/>
      <c r="MRG127" s="77"/>
      <c r="MRH127" s="77"/>
      <c r="MRI127" s="77"/>
      <c r="MRJ127" s="77"/>
      <c r="MRK127" s="77"/>
      <c r="MRL127" s="77"/>
      <c r="MRM127" s="77"/>
      <c r="MRN127" s="77"/>
      <c r="MRO127" s="77"/>
      <c r="MRP127" s="77"/>
      <c r="MRQ127" s="77"/>
      <c r="MRR127" s="77"/>
      <c r="MRS127" s="77"/>
      <c r="MRT127" s="77"/>
      <c r="MRU127" s="77"/>
      <c r="MRV127" s="77"/>
      <c r="MRW127" s="77"/>
      <c r="MRX127" s="77"/>
      <c r="MRY127" s="77"/>
      <c r="MRZ127" s="77"/>
      <c r="MSA127" s="77"/>
      <c r="MSB127" s="77"/>
      <c r="MSC127" s="77"/>
      <c r="MSD127" s="77"/>
      <c r="MSE127" s="77"/>
      <c r="MSF127" s="77"/>
      <c r="MSG127" s="77"/>
      <c r="MSH127" s="77"/>
      <c r="MSI127" s="77"/>
      <c r="MSJ127" s="77"/>
      <c r="MSK127" s="77"/>
      <c r="MSL127" s="77"/>
      <c r="MSM127" s="77"/>
      <c r="MSN127" s="77"/>
      <c r="MSO127" s="77"/>
      <c r="MSP127" s="77"/>
      <c r="MSQ127" s="77"/>
      <c r="MSR127" s="77"/>
      <c r="MSS127" s="77"/>
      <c r="MST127" s="77"/>
      <c r="MSU127" s="77"/>
      <c r="MSV127" s="77"/>
      <c r="MSW127" s="77"/>
      <c r="MSX127" s="77"/>
      <c r="MSY127" s="77"/>
      <c r="MSZ127" s="77"/>
      <c r="MTA127" s="77"/>
      <c r="MTB127" s="77"/>
      <c r="MTC127" s="77"/>
      <c r="MTD127" s="77"/>
      <c r="MTE127" s="77"/>
      <c r="MTF127" s="77"/>
      <c r="MTG127" s="77"/>
      <c r="MTH127" s="77"/>
      <c r="MTI127" s="77"/>
      <c r="MTJ127" s="77"/>
      <c r="MTK127" s="77"/>
      <c r="MTL127" s="77"/>
      <c r="MTM127" s="77"/>
      <c r="MTN127" s="77"/>
      <c r="MTO127" s="77"/>
      <c r="MTP127" s="77"/>
      <c r="MTQ127" s="77"/>
      <c r="MTR127" s="77"/>
      <c r="MTS127" s="77"/>
      <c r="MTT127" s="77"/>
      <c r="MTU127" s="77"/>
      <c r="MTV127" s="77"/>
      <c r="MTW127" s="77"/>
      <c r="MTX127" s="77"/>
      <c r="MTY127" s="77"/>
      <c r="MTZ127" s="77"/>
      <c r="MUA127" s="77"/>
      <c r="MUB127" s="77"/>
      <c r="MUC127" s="77"/>
      <c r="MUD127" s="77"/>
      <c r="MUE127" s="77"/>
      <c r="MUF127" s="77"/>
      <c r="MUG127" s="77"/>
      <c r="MUH127" s="77"/>
      <c r="MUI127" s="77"/>
      <c r="MUJ127" s="77"/>
      <c r="MUK127" s="77"/>
      <c r="MUL127" s="77"/>
      <c r="MUM127" s="77"/>
      <c r="MUN127" s="77"/>
      <c r="MUO127" s="77"/>
      <c r="MUP127" s="77"/>
      <c r="MUQ127" s="77"/>
      <c r="MUR127" s="77"/>
      <c r="MUS127" s="77"/>
      <c r="MUT127" s="77"/>
      <c r="MUU127" s="77"/>
      <c r="MUV127" s="77"/>
      <c r="MUW127" s="77"/>
      <c r="MUX127" s="77"/>
      <c r="MUY127" s="77"/>
      <c r="MUZ127" s="77"/>
      <c r="MVA127" s="77"/>
      <c r="MVB127" s="77"/>
      <c r="MVC127" s="77"/>
      <c r="MVD127" s="77"/>
      <c r="MVE127" s="77"/>
      <c r="MVF127" s="77"/>
      <c r="MVG127" s="77"/>
      <c r="MVH127" s="77"/>
      <c r="MVI127" s="77"/>
      <c r="MVJ127" s="77"/>
      <c r="MVK127" s="77"/>
      <c r="MVL127" s="77"/>
      <c r="MVM127" s="77"/>
      <c r="MVN127" s="77"/>
      <c r="MVO127" s="77"/>
      <c r="MVP127" s="77"/>
      <c r="MVQ127" s="77"/>
      <c r="MVR127" s="77"/>
      <c r="MVS127" s="77"/>
      <c r="MVT127" s="77"/>
      <c r="MVU127" s="77"/>
      <c r="MVV127" s="77"/>
      <c r="MVW127" s="77"/>
      <c r="MVX127" s="77"/>
      <c r="MVY127" s="77"/>
      <c r="MVZ127" s="77"/>
      <c r="MWA127" s="77"/>
      <c r="MWB127" s="77"/>
      <c r="MWC127" s="77"/>
      <c r="MWD127" s="77"/>
      <c r="MWE127" s="77"/>
      <c r="MWF127" s="77"/>
      <c r="MWG127" s="77"/>
      <c r="MWH127" s="77"/>
      <c r="MWI127" s="77"/>
      <c r="MWJ127" s="77"/>
      <c r="MWK127" s="77"/>
      <c r="MWL127" s="77"/>
      <c r="MWM127" s="77"/>
      <c r="MWN127" s="77"/>
      <c r="MWO127" s="77"/>
      <c r="MWP127" s="77"/>
      <c r="MWQ127" s="77"/>
      <c r="MWR127" s="77"/>
      <c r="MWS127" s="77"/>
      <c r="MWT127" s="77"/>
      <c r="MWU127" s="77"/>
      <c r="MWV127" s="77"/>
      <c r="MWW127" s="77"/>
      <c r="MWX127" s="77"/>
      <c r="MWY127" s="77"/>
      <c r="MWZ127" s="77"/>
      <c r="MXA127" s="77"/>
      <c r="MXB127" s="77"/>
      <c r="MXC127" s="77"/>
      <c r="MXD127" s="77"/>
      <c r="MXE127" s="77"/>
      <c r="MXF127" s="77"/>
      <c r="MXG127" s="77"/>
      <c r="MXH127" s="77"/>
      <c r="MXI127" s="77"/>
      <c r="MXJ127" s="77"/>
      <c r="MXK127" s="77"/>
      <c r="MXL127" s="77"/>
      <c r="MXM127" s="77"/>
      <c r="MXN127" s="77"/>
      <c r="MXO127" s="77"/>
      <c r="MXP127" s="77"/>
      <c r="MXQ127" s="77"/>
      <c r="MXR127" s="77"/>
      <c r="MXS127" s="77"/>
      <c r="MXT127" s="77"/>
      <c r="MXU127" s="77"/>
      <c r="MXV127" s="77"/>
      <c r="MXW127" s="77"/>
      <c r="MXX127" s="77"/>
      <c r="MXY127" s="77"/>
      <c r="MXZ127" s="77"/>
      <c r="MYA127" s="77"/>
      <c r="MYB127" s="77"/>
      <c r="MYC127" s="77"/>
      <c r="MYD127" s="77"/>
      <c r="MYE127" s="77"/>
      <c r="MYF127" s="77"/>
      <c r="MYG127" s="77"/>
      <c r="MYH127" s="77"/>
      <c r="MYI127" s="77"/>
      <c r="MYJ127" s="77"/>
      <c r="MYK127" s="77"/>
      <c r="MYL127" s="77"/>
      <c r="MYM127" s="77"/>
      <c r="MYN127" s="77"/>
      <c r="MYO127" s="77"/>
      <c r="MYP127" s="77"/>
      <c r="MYQ127" s="77"/>
      <c r="MYR127" s="77"/>
      <c r="MYS127" s="77"/>
      <c r="MYT127" s="77"/>
      <c r="MYU127" s="77"/>
      <c r="MYV127" s="77"/>
      <c r="MYW127" s="77"/>
      <c r="MYX127" s="77"/>
      <c r="MYY127" s="77"/>
      <c r="MYZ127" s="77"/>
      <c r="MZA127" s="77"/>
      <c r="MZB127" s="77"/>
      <c r="MZC127" s="77"/>
      <c r="MZD127" s="77"/>
      <c r="MZE127" s="77"/>
      <c r="MZF127" s="77"/>
      <c r="MZG127" s="77"/>
      <c r="MZH127" s="77"/>
      <c r="MZI127" s="77"/>
      <c r="MZJ127" s="77"/>
      <c r="MZK127" s="77"/>
      <c r="MZL127" s="77"/>
      <c r="MZM127" s="77"/>
      <c r="MZN127" s="77"/>
      <c r="MZO127" s="77"/>
      <c r="MZP127" s="77"/>
      <c r="MZQ127" s="77"/>
      <c r="MZR127" s="77"/>
      <c r="MZS127" s="77"/>
      <c r="MZT127" s="77"/>
      <c r="MZU127" s="77"/>
      <c r="MZV127" s="77"/>
      <c r="MZW127" s="77"/>
      <c r="MZX127" s="77"/>
      <c r="MZY127" s="77"/>
      <c r="MZZ127" s="77"/>
      <c r="NAA127" s="77"/>
      <c r="NAB127" s="77"/>
      <c r="NAC127" s="77"/>
      <c r="NAD127" s="77"/>
      <c r="NAE127" s="77"/>
      <c r="NAF127" s="77"/>
      <c r="NAG127" s="77"/>
      <c r="NAH127" s="77"/>
      <c r="NAI127" s="77"/>
      <c r="NAJ127" s="77"/>
      <c r="NAK127" s="77"/>
      <c r="NAL127" s="77"/>
      <c r="NAM127" s="77"/>
      <c r="NAN127" s="77"/>
      <c r="NAO127" s="77"/>
      <c r="NAP127" s="77"/>
      <c r="NAQ127" s="77"/>
      <c r="NAR127" s="77"/>
      <c r="NAS127" s="77"/>
      <c r="NAT127" s="77"/>
      <c r="NAU127" s="77"/>
      <c r="NAV127" s="77"/>
      <c r="NAW127" s="77"/>
      <c r="NAX127" s="77"/>
      <c r="NAY127" s="77"/>
      <c r="NAZ127" s="77"/>
      <c r="NBA127" s="77"/>
      <c r="NBB127" s="77"/>
      <c r="NBC127" s="77"/>
      <c r="NBD127" s="77"/>
      <c r="NBE127" s="77"/>
      <c r="NBF127" s="77"/>
      <c r="NBG127" s="77"/>
      <c r="NBH127" s="77"/>
      <c r="NBI127" s="77"/>
      <c r="NBJ127" s="77"/>
      <c r="NBK127" s="77"/>
      <c r="NBL127" s="77"/>
      <c r="NBM127" s="77"/>
      <c r="NBN127" s="77"/>
      <c r="NBO127" s="77"/>
      <c r="NBP127" s="77"/>
      <c r="NBQ127" s="77"/>
      <c r="NBR127" s="77"/>
      <c r="NBS127" s="77"/>
      <c r="NBT127" s="77"/>
      <c r="NBU127" s="77"/>
      <c r="NBV127" s="77"/>
      <c r="NBW127" s="77"/>
      <c r="NBX127" s="77"/>
      <c r="NBY127" s="77"/>
      <c r="NBZ127" s="77"/>
      <c r="NCA127" s="77"/>
      <c r="NCB127" s="77"/>
      <c r="NCC127" s="77"/>
      <c r="NCD127" s="77"/>
      <c r="NCE127" s="77"/>
      <c r="NCF127" s="77"/>
      <c r="NCG127" s="77"/>
      <c r="NCH127" s="77"/>
      <c r="NCI127" s="77"/>
      <c r="NCJ127" s="77"/>
      <c r="NCK127" s="77"/>
      <c r="NCL127" s="77"/>
      <c r="NCM127" s="77"/>
      <c r="NCN127" s="77"/>
      <c r="NCO127" s="77"/>
      <c r="NCP127" s="77"/>
      <c r="NCQ127" s="77"/>
      <c r="NCR127" s="77"/>
      <c r="NCS127" s="77"/>
      <c r="NCT127" s="77"/>
      <c r="NCU127" s="77"/>
      <c r="NCV127" s="77"/>
      <c r="NCW127" s="77"/>
      <c r="NCX127" s="77"/>
      <c r="NCY127" s="77"/>
      <c r="NCZ127" s="77"/>
      <c r="NDA127" s="77"/>
      <c r="NDB127" s="77"/>
      <c r="NDC127" s="77"/>
      <c r="NDD127" s="77"/>
      <c r="NDE127" s="77"/>
      <c r="NDF127" s="77"/>
      <c r="NDG127" s="77"/>
      <c r="NDH127" s="77"/>
      <c r="NDI127" s="77"/>
      <c r="NDJ127" s="77"/>
      <c r="NDK127" s="77"/>
      <c r="NDL127" s="77"/>
      <c r="NDM127" s="77"/>
      <c r="NDN127" s="77"/>
      <c r="NDO127" s="77"/>
      <c r="NDP127" s="77"/>
      <c r="NDQ127" s="77"/>
      <c r="NDR127" s="77"/>
      <c r="NDS127" s="77"/>
      <c r="NDT127" s="77"/>
      <c r="NDU127" s="77"/>
      <c r="NDV127" s="77"/>
      <c r="NDW127" s="77"/>
      <c r="NDX127" s="77"/>
      <c r="NDY127" s="77"/>
      <c r="NDZ127" s="77"/>
      <c r="NEA127" s="77"/>
      <c r="NEB127" s="77"/>
      <c r="NEC127" s="77"/>
      <c r="NED127" s="77"/>
      <c r="NEE127" s="77"/>
      <c r="NEF127" s="77"/>
      <c r="NEG127" s="77"/>
      <c r="NEH127" s="77"/>
      <c r="NEI127" s="77"/>
      <c r="NEJ127" s="77"/>
      <c r="NEK127" s="77"/>
      <c r="NEL127" s="77"/>
      <c r="NEM127" s="77"/>
      <c r="NEN127" s="77"/>
      <c r="NEO127" s="77"/>
      <c r="NEP127" s="77"/>
      <c r="NEQ127" s="77"/>
      <c r="NER127" s="77"/>
      <c r="NES127" s="77"/>
      <c r="NET127" s="77"/>
      <c r="NEU127" s="77"/>
      <c r="NEV127" s="77"/>
      <c r="NEW127" s="77"/>
      <c r="NEX127" s="77"/>
      <c r="NEY127" s="77"/>
      <c r="NEZ127" s="77"/>
      <c r="NFA127" s="77"/>
      <c r="NFB127" s="77"/>
      <c r="NFC127" s="77"/>
      <c r="NFD127" s="77"/>
      <c r="NFE127" s="77"/>
      <c r="NFF127" s="77"/>
      <c r="NFG127" s="77"/>
      <c r="NFH127" s="77"/>
      <c r="NFI127" s="77"/>
      <c r="NFJ127" s="77"/>
      <c r="NFK127" s="77"/>
      <c r="NFL127" s="77"/>
      <c r="NFM127" s="77"/>
      <c r="NFN127" s="77"/>
      <c r="NFO127" s="77"/>
      <c r="NFP127" s="77"/>
      <c r="NFQ127" s="77"/>
      <c r="NFR127" s="77"/>
      <c r="NFS127" s="77"/>
      <c r="NFT127" s="77"/>
      <c r="NFU127" s="77"/>
      <c r="NFV127" s="77"/>
      <c r="NFW127" s="77"/>
      <c r="NFX127" s="77"/>
      <c r="NFY127" s="77"/>
      <c r="NFZ127" s="77"/>
      <c r="NGA127" s="77"/>
      <c r="NGB127" s="77"/>
      <c r="NGC127" s="77"/>
      <c r="NGD127" s="77"/>
      <c r="NGE127" s="77"/>
      <c r="NGF127" s="77"/>
      <c r="NGG127" s="77"/>
      <c r="NGH127" s="77"/>
      <c r="NGI127" s="77"/>
      <c r="NGJ127" s="77"/>
      <c r="NGK127" s="77"/>
      <c r="NGL127" s="77"/>
      <c r="NGM127" s="77"/>
      <c r="NGN127" s="77"/>
      <c r="NGO127" s="77"/>
      <c r="NGP127" s="77"/>
      <c r="NGQ127" s="77"/>
      <c r="NGR127" s="77"/>
      <c r="NGS127" s="77"/>
      <c r="NGT127" s="77"/>
      <c r="NGU127" s="77"/>
      <c r="NGV127" s="77"/>
      <c r="NGW127" s="77"/>
      <c r="NGX127" s="77"/>
      <c r="NGY127" s="77"/>
      <c r="NGZ127" s="77"/>
      <c r="NHA127" s="77"/>
      <c r="NHB127" s="77"/>
      <c r="NHC127" s="77"/>
      <c r="NHD127" s="77"/>
      <c r="NHE127" s="77"/>
      <c r="NHF127" s="77"/>
      <c r="NHG127" s="77"/>
      <c r="NHH127" s="77"/>
      <c r="NHI127" s="77"/>
      <c r="NHJ127" s="77"/>
      <c r="NHK127" s="77"/>
      <c r="NHL127" s="77"/>
      <c r="NHM127" s="77"/>
      <c r="NHN127" s="77"/>
      <c r="NHO127" s="77"/>
      <c r="NHP127" s="77"/>
      <c r="NHQ127" s="77"/>
      <c r="NHR127" s="77"/>
      <c r="NHS127" s="77"/>
      <c r="NHT127" s="77"/>
      <c r="NHU127" s="77"/>
      <c r="NHV127" s="77"/>
      <c r="NHW127" s="77"/>
      <c r="NHX127" s="77"/>
      <c r="NHY127" s="77"/>
      <c r="NHZ127" s="77"/>
      <c r="NIA127" s="77"/>
      <c r="NIB127" s="77"/>
      <c r="NIC127" s="77"/>
      <c r="NID127" s="77"/>
      <c r="NIE127" s="77"/>
      <c r="NIF127" s="77"/>
      <c r="NIG127" s="77"/>
      <c r="NIH127" s="77"/>
      <c r="NII127" s="77"/>
      <c r="NIJ127" s="77"/>
      <c r="NIK127" s="77"/>
      <c r="NIL127" s="77"/>
      <c r="NIM127" s="77"/>
      <c r="NIN127" s="77"/>
      <c r="NIO127" s="77"/>
      <c r="NIP127" s="77"/>
      <c r="NIQ127" s="77"/>
      <c r="NIR127" s="77"/>
      <c r="NIS127" s="77"/>
      <c r="NIT127" s="77"/>
      <c r="NIU127" s="77"/>
      <c r="NIV127" s="77"/>
      <c r="NIW127" s="77"/>
      <c r="NIX127" s="77"/>
      <c r="NIY127" s="77"/>
      <c r="NIZ127" s="77"/>
      <c r="NJA127" s="77"/>
      <c r="NJB127" s="77"/>
      <c r="NJC127" s="77"/>
      <c r="NJD127" s="77"/>
      <c r="NJE127" s="77"/>
      <c r="NJF127" s="77"/>
      <c r="NJG127" s="77"/>
      <c r="NJH127" s="77"/>
      <c r="NJI127" s="77"/>
      <c r="NJJ127" s="77"/>
      <c r="NJK127" s="77"/>
      <c r="NJL127" s="77"/>
      <c r="NJM127" s="77"/>
      <c r="NJN127" s="77"/>
      <c r="NJO127" s="77"/>
      <c r="NJP127" s="77"/>
      <c r="NJQ127" s="77"/>
      <c r="NJR127" s="77"/>
      <c r="NJS127" s="77"/>
      <c r="NJT127" s="77"/>
      <c r="NJU127" s="77"/>
      <c r="NJV127" s="77"/>
      <c r="NJW127" s="77"/>
      <c r="NJX127" s="77"/>
      <c r="NJY127" s="77"/>
      <c r="NJZ127" s="77"/>
      <c r="NKA127" s="77"/>
      <c r="NKB127" s="77"/>
      <c r="NKC127" s="77"/>
      <c r="NKD127" s="77"/>
      <c r="NKE127" s="77"/>
      <c r="NKF127" s="77"/>
      <c r="NKG127" s="77"/>
      <c r="NKH127" s="77"/>
      <c r="NKI127" s="77"/>
      <c r="NKJ127" s="77"/>
      <c r="NKK127" s="77"/>
      <c r="NKL127" s="77"/>
      <c r="NKM127" s="77"/>
      <c r="NKN127" s="77"/>
      <c r="NKO127" s="77"/>
      <c r="NKP127" s="77"/>
      <c r="NKQ127" s="77"/>
      <c r="NKR127" s="77"/>
      <c r="NKS127" s="77"/>
      <c r="NKT127" s="77"/>
      <c r="NKU127" s="77"/>
      <c r="NKV127" s="77"/>
      <c r="NKW127" s="77"/>
      <c r="NKX127" s="77"/>
      <c r="NKY127" s="77"/>
      <c r="NKZ127" s="77"/>
      <c r="NLA127" s="77"/>
      <c r="NLB127" s="77"/>
      <c r="NLC127" s="77"/>
      <c r="NLD127" s="77"/>
      <c r="NLE127" s="77"/>
      <c r="NLF127" s="77"/>
      <c r="NLG127" s="77"/>
      <c r="NLH127" s="77"/>
      <c r="NLI127" s="77"/>
      <c r="NLJ127" s="77"/>
      <c r="NLK127" s="77"/>
      <c r="NLL127" s="77"/>
      <c r="NLM127" s="77"/>
      <c r="NLN127" s="77"/>
      <c r="NLO127" s="77"/>
      <c r="NLP127" s="77"/>
      <c r="NLQ127" s="77"/>
      <c r="NLR127" s="77"/>
      <c r="NLS127" s="77"/>
      <c r="NLT127" s="77"/>
      <c r="NLU127" s="77"/>
      <c r="NLV127" s="77"/>
      <c r="NLW127" s="77"/>
      <c r="NLX127" s="77"/>
      <c r="NLY127" s="77"/>
      <c r="NLZ127" s="77"/>
      <c r="NMA127" s="77"/>
      <c r="NMB127" s="77"/>
      <c r="NMC127" s="77"/>
      <c r="NMD127" s="77"/>
      <c r="NME127" s="77"/>
      <c r="NMF127" s="77"/>
      <c r="NMG127" s="77"/>
      <c r="NMH127" s="77"/>
      <c r="NMI127" s="77"/>
      <c r="NMJ127" s="77"/>
      <c r="NMK127" s="77"/>
      <c r="NML127" s="77"/>
      <c r="NMM127" s="77"/>
      <c r="NMN127" s="77"/>
      <c r="NMO127" s="77"/>
      <c r="NMP127" s="77"/>
      <c r="NMQ127" s="77"/>
      <c r="NMR127" s="77"/>
      <c r="NMS127" s="77"/>
      <c r="NMT127" s="77"/>
      <c r="NMU127" s="77"/>
      <c r="NMV127" s="77"/>
      <c r="NMW127" s="77"/>
      <c r="NMX127" s="77"/>
      <c r="NMY127" s="77"/>
      <c r="NMZ127" s="77"/>
      <c r="NNA127" s="77"/>
      <c r="NNB127" s="77"/>
      <c r="NNC127" s="77"/>
      <c r="NND127" s="77"/>
      <c r="NNE127" s="77"/>
      <c r="NNF127" s="77"/>
      <c r="NNG127" s="77"/>
      <c r="NNH127" s="77"/>
      <c r="NNI127" s="77"/>
      <c r="NNJ127" s="77"/>
      <c r="NNK127" s="77"/>
      <c r="NNL127" s="77"/>
      <c r="NNM127" s="77"/>
      <c r="NNN127" s="77"/>
      <c r="NNO127" s="77"/>
      <c r="NNP127" s="77"/>
      <c r="NNQ127" s="77"/>
      <c r="NNR127" s="77"/>
      <c r="NNS127" s="77"/>
      <c r="NNT127" s="77"/>
      <c r="NNU127" s="77"/>
      <c r="NNV127" s="77"/>
      <c r="NNW127" s="77"/>
      <c r="NNX127" s="77"/>
      <c r="NNY127" s="77"/>
      <c r="NNZ127" s="77"/>
      <c r="NOA127" s="77"/>
      <c r="NOB127" s="77"/>
      <c r="NOC127" s="77"/>
      <c r="NOD127" s="77"/>
      <c r="NOE127" s="77"/>
      <c r="NOF127" s="77"/>
      <c r="NOG127" s="77"/>
      <c r="NOH127" s="77"/>
      <c r="NOI127" s="77"/>
      <c r="NOJ127" s="77"/>
      <c r="NOK127" s="77"/>
      <c r="NOL127" s="77"/>
      <c r="NOM127" s="77"/>
      <c r="NON127" s="77"/>
      <c r="NOO127" s="77"/>
      <c r="NOP127" s="77"/>
      <c r="NOQ127" s="77"/>
      <c r="NOR127" s="77"/>
      <c r="NOS127" s="77"/>
      <c r="NOT127" s="77"/>
      <c r="NOU127" s="77"/>
      <c r="NOV127" s="77"/>
      <c r="NOW127" s="77"/>
      <c r="NOX127" s="77"/>
      <c r="NOY127" s="77"/>
      <c r="NOZ127" s="77"/>
      <c r="NPA127" s="77"/>
      <c r="NPB127" s="77"/>
      <c r="NPC127" s="77"/>
      <c r="NPD127" s="77"/>
      <c r="NPE127" s="77"/>
      <c r="NPF127" s="77"/>
      <c r="NPG127" s="77"/>
      <c r="NPH127" s="77"/>
      <c r="NPI127" s="77"/>
      <c r="NPJ127" s="77"/>
      <c r="NPK127" s="77"/>
      <c r="NPL127" s="77"/>
      <c r="NPM127" s="77"/>
      <c r="NPN127" s="77"/>
      <c r="NPO127" s="77"/>
      <c r="NPP127" s="77"/>
      <c r="NPQ127" s="77"/>
      <c r="NPR127" s="77"/>
      <c r="NPS127" s="77"/>
      <c r="NPT127" s="77"/>
      <c r="NPU127" s="77"/>
      <c r="NPV127" s="77"/>
      <c r="NPW127" s="77"/>
      <c r="NPX127" s="77"/>
      <c r="NPY127" s="77"/>
      <c r="NPZ127" s="77"/>
      <c r="NQA127" s="77"/>
      <c r="NQB127" s="77"/>
      <c r="NQC127" s="77"/>
      <c r="NQD127" s="77"/>
      <c r="NQE127" s="77"/>
      <c r="NQF127" s="77"/>
      <c r="NQG127" s="77"/>
      <c r="NQH127" s="77"/>
      <c r="NQI127" s="77"/>
      <c r="NQJ127" s="77"/>
      <c r="NQK127" s="77"/>
      <c r="NQL127" s="77"/>
      <c r="NQM127" s="77"/>
      <c r="NQN127" s="77"/>
      <c r="NQO127" s="77"/>
      <c r="NQP127" s="77"/>
      <c r="NQQ127" s="77"/>
      <c r="NQR127" s="77"/>
      <c r="NQS127" s="77"/>
      <c r="NQT127" s="77"/>
      <c r="NQU127" s="77"/>
      <c r="NQV127" s="77"/>
      <c r="NQW127" s="77"/>
      <c r="NQX127" s="77"/>
      <c r="NQY127" s="77"/>
      <c r="NQZ127" s="77"/>
      <c r="NRA127" s="77"/>
      <c r="NRB127" s="77"/>
      <c r="NRC127" s="77"/>
      <c r="NRD127" s="77"/>
      <c r="NRE127" s="77"/>
      <c r="NRF127" s="77"/>
      <c r="NRG127" s="77"/>
      <c r="NRH127" s="77"/>
      <c r="NRI127" s="77"/>
      <c r="NRJ127" s="77"/>
      <c r="NRK127" s="77"/>
      <c r="NRL127" s="77"/>
      <c r="NRM127" s="77"/>
      <c r="NRN127" s="77"/>
      <c r="NRO127" s="77"/>
      <c r="NRP127" s="77"/>
      <c r="NRQ127" s="77"/>
      <c r="NRR127" s="77"/>
      <c r="NRS127" s="77"/>
      <c r="NRT127" s="77"/>
      <c r="NRU127" s="77"/>
      <c r="NRV127" s="77"/>
      <c r="NRW127" s="77"/>
      <c r="NRX127" s="77"/>
      <c r="NRY127" s="77"/>
      <c r="NRZ127" s="77"/>
      <c r="NSA127" s="77"/>
      <c r="NSB127" s="77"/>
      <c r="NSC127" s="77"/>
      <c r="NSD127" s="77"/>
      <c r="NSE127" s="77"/>
      <c r="NSF127" s="77"/>
      <c r="NSG127" s="77"/>
      <c r="NSH127" s="77"/>
      <c r="NSI127" s="77"/>
      <c r="NSJ127" s="77"/>
      <c r="NSK127" s="77"/>
      <c r="NSL127" s="77"/>
      <c r="NSM127" s="77"/>
      <c r="NSN127" s="77"/>
      <c r="NSO127" s="77"/>
      <c r="NSP127" s="77"/>
      <c r="NSQ127" s="77"/>
      <c r="NSR127" s="77"/>
      <c r="NSS127" s="77"/>
      <c r="NST127" s="77"/>
      <c r="NSU127" s="77"/>
      <c r="NSV127" s="77"/>
      <c r="NSW127" s="77"/>
      <c r="NSX127" s="77"/>
      <c r="NSY127" s="77"/>
      <c r="NSZ127" s="77"/>
      <c r="NTA127" s="77"/>
      <c r="NTB127" s="77"/>
      <c r="NTC127" s="77"/>
      <c r="NTD127" s="77"/>
      <c r="NTE127" s="77"/>
      <c r="NTF127" s="77"/>
      <c r="NTG127" s="77"/>
      <c r="NTH127" s="77"/>
      <c r="NTI127" s="77"/>
      <c r="NTJ127" s="77"/>
      <c r="NTK127" s="77"/>
      <c r="NTL127" s="77"/>
      <c r="NTM127" s="77"/>
      <c r="NTN127" s="77"/>
      <c r="NTO127" s="77"/>
      <c r="NTP127" s="77"/>
      <c r="NTQ127" s="77"/>
      <c r="NTR127" s="77"/>
      <c r="NTS127" s="77"/>
      <c r="NTT127" s="77"/>
      <c r="NTU127" s="77"/>
      <c r="NTV127" s="77"/>
      <c r="NTW127" s="77"/>
      <c r="NTX127" s="77"/>
      <c r="NTY127" s="77"/>
      <c r="NTZ127" s="77"/>
      <c r="NUA127" s="77"/>
      <c r="NUB127" s="77"/>
      <c r="NUC127" s="77"/>
      <c r="NUD127" s="77"/>
      <c r="NUE127" s="77"/>
      <c r="NUF127" s="77"/>
      <c r="NUG127" s="77"/>
      <c r="NUH127" s="77"/>
      <c r="NUI127" s="77"/>
      <c r="NUJ127" s="77"/>
      <c r="NUK127" s="77"/>
      <c r="NUL127" s="77"/>
      <c r="NUM127" s="77"/>
      <c r="NUN127" s="77"/>
      <c r="NUO127" s="77"/>
      <c r="NUP127" s="77"/>
      <c r="NUQ127" s="77"/>
      <c r="NUR127" s="77"/>
      <c r="NUS127" s="77"/>
      <c r="NUT127" s="77"/>
      <c r="NUU127" s="77"/>
      <c r="NUV127" s="77"/>
      <c r="NUW127" s="77"/>
      <c r="NUX127" s="77"/>
      <c r="NUY127" s="77"/>
      <c r="NUZ127" s="77"/>
      <c r="NVA127" s="77"/>
      <c r="NVB127" s="77"/>
      <c r="NVC127" s="77"/>
      <c r="NVD127" s="77"/>
      <c r="NVE127" s="77"/>
      <c r="NVF127" s="77"/>
      <c r="NVG127" s="77"/>
      <c r="NVH127" s="77"/>
      <c r="NVI127" s="77"/>
      <c r="NVJ127" s="77"/>
      <c r="NVK127" s="77"/>
      <c r="NVL127" s="77"/>
      <c r="NVM127" s="77"/>
      <c r="NVN127" s="77"/>
      <c r="NVO127" s="77"/>
      <c r="NVP127" s="77"/>
      <c r="NVQ127" s="77"/>
      <c r="NVR127" s="77"/>
      <c r="NVS127" s="77"/>
      <c r="NVT127" s="77"/>
      <c r="NVU127" s="77"/>
      <c r="NVV127" s="77"/>
      <c r="NVW127" s="77"/>
      <c r="NVX127" s="77"/>
      <c r="NVY127" s="77"/>
      <c r="NVZ127" s="77"/>
      <c r="NWA127" s="77"/>
      <c r="NWB127" s="77"/>
      <c r="NWC127" s="77"/>
      <c r="NWD127" s="77"/>
      <c r="NWE127" s="77"/>
      <c r="NWF127" s="77"/>
      <c r="NWG127" s="77"/>
      <c r="NWH127" s="77"/>
      <c r="NWI127" s="77"/>
      <c r="NWJ127" s="77"/>
      <c r="NWK127" s="77"/>
      <c r="NWL127" s="77"/>
      <c r="NWM127" s="77"/>
      <c r="NWN127" s="77"/>
      <c r="NWO127" s="77"/>
      <c r="NWP127" s="77"/>
      <c r="NWQ127" s="77"/>
      <c r="NWR127" s="77"/>
      <c r="NWS127" s="77"/>
      <c r="NWT127" s="77"/>
      <c r="NWU127" s="77"/>
      <c r="NWV127" s="77"/>
      <c r="NWW127" s="77"/>
      <c r="NWX127" s="77"/>
      <c r="NWY127" s="77"/>
      <c r="NWZ127" s="77"/>
      <c r="NXA127" s="77"/>
      <c r="NXB127" s="77"/>
      <c r="NXC127" s="77"/>
      <c r="NXD127" s="77"/>
      <c r="NXE127" s="77"/>
      <c r="NXF127" s="77"/>
      <c r="NXG127" s="77"/>
      <c r="NXH127" s="77"/>
      <c r="NXI127" s="77"/>
      <c r="NXJ127" s="77"/>
      <c r="NXK127" s="77"/>
      <c r="NXL127" s="77"/>
      <c r="NXM127" s="77"/>
      <c r="NXN127" s="77"/>
      <c r="NXO127" s="77"/>
      <c r="NXP127" s="77"/>
      <c r="NXQ127" s="77"/>
      <c r="NXR127" s="77"/>
      <c r="NXS127" s="77"/>
      <c r="NXT127" s="77"/>
      <c r="NXU127" s="77"/>
      <c r="NXV127" s="77"/>
      <c r="NXW127" s="77"/>
      <c r="NXX127" s="77"/>
      <c r="NXY127" s="77"/>
      <c r="NXZ127" s="77"/>
      <c r="NYA127" s="77"/>
      <c r="NYB127" s="77"/>
      <c r="NYC127" s="77"/>
      <c r="NYD127" s="77"/>
      <c r="NYE127" s="77"/>
      <c r="NYF127" s="77"/>
      <c r="NYG127" s="77"/>
      <c r="NYH127" s="77"/>
      <c r="NYI127" s="77"/>
      <c r="NYJ127" s="77"/>
      <c r="NYK127" s="77"/>
      <c r="NYL127" s="77"/>
      <c r="NYM127" s="77"/>
      <c r="NYN127" s="77"/>
      <c r="NYO127" s="77"/>
      <c r="NYP127" s="77"/>
      <c r="NYQ127" s="77"/>
      <c r="NYR127" s="77"/>
      <c r="NYS127" s="77"/>
      <c r="NYT127" s="77"/>
      <c r="NYU127" s="77"/>
      <c r="NYV127" s="77"/>
      <c r="NYW127" s="77"/>
      <c r="NYX127" s="77"/>
      <c r="NYY127" s="77"/>
      <c r="NYZ127" s="77"/>
      <c r="NZA127" s="77"/>
      <c r="NZB127" s="77"/>
      <c r="NZC127" s="77"/>
      <c r="NZD127" s="77"/>
      <c r="NZE127" s="77"/>
      <c r="NZF127" s="77"/>
      <c r="NZG127" s="77"/>
      <c r="NZH127" s="77"/>
      <c r="NZI127" s="77"/>
      <c r="NZJ127" s="77"/>
      <c r="NZK127" s="77"/>
      <c r="NZL127" s="77"/>
      <c r="NZM127" s="77"/>
      <c r="NZN127" s="77"/>
      <c r="NZO127" s="77"/>
      <c r="NZP127" s="77"/>
      <c r="NZQ127" s="77"/>
      <c r="NZR127" s="77"/>
      <c r="NZS127" s="77"/>
      <c r="NZT127" s="77"/>
      <c r="NZU127" s="77"/>
      <c r="NZV127" s="77"/>
      <c r="NZW127" s="77"/>
      <c r="NZX127" s="77"/>
      <c r="NZY127" s="77"/>
      <c r="NZZ127" s="77"/>
      <c r="OAA127" s="77"/>
      <c r="OAB127" s="77"/>
      <c r="OAC127" s="77"/>
      <c r="OAD127" s="77"/>
      <c r="OAE127" s="77"/>
      <c r="OAF127" s="77"/>
      <c r="OAG127" s="77"/>
      <c r="OAH127" s="77"/>
      <c r="OAI127" s="77"/>
      <c r="OAJ127" s="77"/>
      <c r="OAK127" s="77"/>
      <c r="OAL127" s="77"/>
      <c r="OAM127" s="77"/>
      <c r="OAN127" s="77"/>
      <c r="OAO127" s="77"/>
      <c r="OAP127" s="77"/>
      <c r="OAQ127" s="77"/>
      <c r="OAR127" s="77"/>
      <c r="OAS127" s="77"/>
      <c r="OAT127" s="77"/>
      <c r="OAU127" s="77"/>
      <c r="OAV127" s="77"/>
      <c r="OAW127" s="77"/>
      <c r="OAX127" s="77"/>
      <c r="OAY127" s="77"/>
      <c r="OAZ127" s="77"/>
      <c r="OBA127" s="77"/>
      <c r="OBB127" s="77"/>
      <c r="OBC127" s="77"/>
      <c r="OBD127" s="77"/>
      <c r="OBE127" s="77"/>
      <c r="OBF127" s="77"/>
      <c r="OBG127" s="77"/>
      <c r="OBH127" s="77"/>
      <c r="OBI127" s="77"/>
      <c r="OBJ127" s="77"/>
      <c r="OBK127" s="77"/>
      <c r="OBL127" s="77"/>
      <c r="OBM127" s="77"/>
      <c r="OBN127" s="77"/>
      <c r="OBO127" s="77"/>
      <c r="OBP127" s="77"/>
      <c r="OBQ127" s="77"/>
      <c r="OBR127" s="77"/>
      <c r="OBS127" s="77"/>
      <c r="OBT127" s="77"/>
      <c r="OBU127" s="77"/>
      <c r="OBV127" s="77"/>
      <c r="OBW127" s="77"/>
      <c r="OBX127" s="77"/>
      <c r="OBY127" s="77"/>
      <c r="OBZ127" s="77"/>
      <c r="OCA127" s="77"/>
      <c r="OCB127" s="77"/>
      <c r="OCC127" s="77"/>
      <c r="OCD127" s="77"/>
      <c r="OCE127" s="77"/>
      <c r="OCF127" s="77"/>
      <c r="OCG127" s="77"/>
      <c r="OCH127" s="77"/>
      <c r="OCI127" s="77"/>
      <c r="OCJ127" s="77"/>
      <c r="OCK127" s="77"/>
      <c r="OCL127" s="77"/>
      <c r="OCM127" s="77"/>
      <c r="OCN127" s="77"/>
      <c r="OCO127" s="77"/>
      <c r="OCP127" s="77"/>
      <c r="OCQ127" s="77"/>
      <c r="OCR127" s="77"/>
      <c r="OCS127" s="77"/>
      <c r="OCT127" s="77"/>
      <c r="OCU127" s="77"/>
      <c r="OCV127" s="77"/>
      <c r="OCW127" s="77"/>
      <c r="OCX127" s="77"/>
      <c r="OCY127" s="77"/>
      <c r="OCZ127" s="77"/>
      <c r="ODA127" s="77"/>
      <c r="ODB127" s="77"/>
      <c r="ODC127" s="77"/>
      <c r="ODD127" s="77"/>
      <c r="ODE127" s="77"/>
      <c r="ODF127" s="77"/>
      <c r="ODG127" s="77"/>
      <c r="ODH127" s="77"/>
      <c r="ODI127" s="77"/>
      <c r="ODJ127" s="77"/>
      <c r="ODK127" s="77"/>
      <c r="ODL127" s="77"/>
      <c r="ODM127" s="77"/>
      <c r="ODN127" s="77"/>
      <c r="ODO127" s="77"/>
      <c r="ODP127" s="77"/>
      <c r="ODQ127" s="77"/>
      <c r="ODR127" s="77"/>
      <c r="ODS127" s="77"/>
      <c r="ODT127" s="77"/>
      <c r="ODU127" s="77"/>
      <c r="ODV127" s="77"/>
      <c r="ODW127" s="77"/>
      <c r="ODX127" s="77"/>
      <c r="ODY127" s="77"/>
      <c r="ODZ127" s="77"/>
      <c r="OEA127" s="77"/>
      <c r="OEB127" s="77"/>
      <c r="OEC127" s="77"/>
      <c r="OED127" s="77"/>
      <c r="OEE127" s="77"/>
      <c r="OEF127" s="77"/>
      <c r="OEG127" s="77"/>
      <c r="OEH127" s="77"/>
      <c r="OEI127" s="77"/>
      <c r="OEJ127" s="77"/>
      <c r="OEK127" s="77"/>
      <c r="OEL127" s="77"/>
      <c r="OEM127" s="77"/>
      <c r="OEN127" s="77"/>
      <c r="OEO127" s="77"/>
      <c r="OEP127" s="77"/>
      <c r="OEQ127" s="77"/>
      <c r="OER127" s="77"/>
      <c r="OES127" s="77"/>
      <c r="OET127" s="77"/>
      <c r="OEU127" s="77"/>
      <c r="OEV127" s="77"/>
      <c r="OEW127" s="77"/>
      <c r="OEX127" s="77"/>
      <c r="OEY127" s="77"/>
      <c r="OEZ127" s="77"/>
      <c r="OFA127" s="77"/>
      <c r="OFB127" s="77"/>
      <c r="OFC127" s="77"/>
      <c r="OFD127" s="77"/>
      <c r="OFE127" s="77"/>
      <c r="OFF127" s="77"/>
      <c r="OFG127" s="77"/>
      <c r="OFH127" s="77"/>
      <c r="OFI127" s="77"/>
      <c r="OFJ127" s="77"/>
      <c r="OFK127" s="77"/>
      <c r="OFL127" s="77"/>
      <c r="OFM127" s="77"/>
      <c r="OFN127" s="77"/>
      <c r="OFO127" s="77"/>
      <c r="OFP127" s="77"/>
      <c r="OFQ127" s="77"/>
      <c r="OFR127" s="77"/>
      <c r="OFS127" s="77"/>
      <c r="OFT127" s="77"/>
      <c r="OFU127" s="77"/>
      <c r="OFV127" s="77"/>
      <c r="OFW127" s="77"/>
      <c r="OFX127" s="77"/>
      <c r="OFY127" s="77"/>
      <c r="OFZ127" s="77"/>
      <c r="OGA127" s="77"/>
      <c r="OGB127" s="77"/>
      <c r="OGC127" s="77"/>
      <c r="OGD127" s="77"/>
      <c r="OGE127" s="77"/>
      <c r="OGF127" s="77"/>
      <c r="OGG127" s="77"/>
      <c r="OGH127" s="77"/>
      <c r="OGI127" s="77"/>
      <c r="OGJ127" s="77"/>
      <c r="OGK127" s="77"/>
      <c r="OGL127" s="77"/>
      <c r="OGM127" s="77"/>
      <c r="OGN127" s="77"/>
      <c r="OGO127" s="77"/>
      <c r="OGP127" s="77"/>
      <c r="OGQ127" s="77"/>
      <c r="OGR127" s="77"/>
      <c r="OGS127" s="77"/>
      <c r="OGT127" s="77"/>
      <c r="OGU127" s="77"/>
      <c r="OGV127" s="77"/>
      <c r="OGW127" s="77"/>
      <c r="OGX127" s="77"/>
      <c r="OGY127" s="77"/>
      <c r="OGZ127" s="77"/>
      <c r="OHA127" s="77"/>
      <c r="OHB127" s="77"/>
      <c r="OHC127" s="77"/>
      <c r="OHD127" s="77"/>
      <c r="OHE127" s="77"/>
      <c r="OHF127" s="77"/>
      <c r="OHG127" s="77"/>
      <c r="OHH127" s="77"/>
      <c r="OHI127" s="77"/>
      <c r="OHJ127" s="77"/>
      <c r="OHK127" s="77"/>
      <c r="OHL127" s="77"/>
      <c r="OHM127" s="77"/>
      <c r="OHN127" s="77"/>
      <c r="OHO127" s="77"/>
      <c r="OHP127" s="77"/>
      <c r="OHQ127" s="77"/>
      <c r="OHR127" s="77"/>
      <c r="OHS127" s="77"/>
      <c r="OHT127" s="77"/>
      <c r="OHU127" s="77"/>
      <c r="OHV127" s="77"/>
      <c r="OHW127" s="77"/>
      <c r="OHX127" s="77"/>
      <c r="OHY127" s="77"/>
      <c r="OHZ127" s="77"/>
      <c r="OIA127" s="77"/>
      <c r="OIB127" s="77"/>
      <c r="OIC127" s="77"/>
      <c r="OID127" s="77"/>
      <c r="OIE127" s="77"/>
      <c r="OIF127" s="77"/>
      <c r="OIG127" s="77"/>
      <c r="OIH127" s="77"/>
      <c r="OII127" s="77"/>
      <c r="OIJ127" s="77"/>
      <c r="OIK127" s="77"/>
      <c r="OIL127" s="77"/>
      <c r="OIM127" s="77"/>
      <c r="OIN127" s="77"/>
      <c r="OIO127" s="77"/>
      <c r="OIP127" s="77"/>
      <c r="OIQ127" s="77"/>
      <c r="OIR127" s="77"/>
      <c r="OIS127" s="77"/>
      <c r="OIT127" s="77"/>
      <c r="OIU127" s="77"/>
      <c r="OIV127" s="77"/>
      <c r="OIW127" s="77"/>
      <c r="OIX127" s="77"/>
      <c r="OIY127" s="77"/>
      <c r="OIZ127" s="77"/>
      <c r="OJA127" s="77"/>
      <c r="OJB127" s="77"/>
      <c r="OJC127" s="77"/>
      <c r="OJD127" s="77"/>
      <c r="OJE127" s="77"/>
      <c r="OJF127" s="77"/>
      <c r="OJG127" s="77"/>
      <c r="OJH127" s="77"/>
      <c r="OJI127" s="77"/>
      <c r="OJJ127" s="77"/>
      <c r="OJK127" s="77"/>
      <c r="OJL127" s="77"/>
      <c r="OJM127" s="77"/>
      <c r="OJN127" s="77"/>
      <c r="OJO127" s="77"/>
      <c r="OJP127" s="77"/>
      <c r="OJQ127" s="77"/>
      <c r="OJR127" s="77"/>
      <c r="OJS127" s="77"/>
      <c r="OJT127" s="77"/>
      <c r="OJU127" s="77"/>
      <c r="OJV127" s="77"/>
      <c r="OJW127" s="77"/>
      <c r="OJX127" s="77"/>
      <c r="OJY127" s="77"/>
      <c r="OJZ127" s="77"/>
      <c r="OKA127" s="77"/>
      <c r="OKB127" s="77"/>
      <c r="OKC127" s="77"/>
      <c r="OKD127" s="77"/>
      <c r="OKE127" s="77"/>
      <c r="OKF127" s="77"/>
      <c r="OKG127" s="77"/>
      <c r="OKH127" s="77"/>
      <c r="OKI127" s="77"/>
      <c r="OKJ127" s="77"/>
      <c r="OKK127" s="77"/>
      <c r="OKL127" s="77"/>
      <c r="OKM127" s="77"/>
      <c r="OKN127" s="77"/>
      <c r="OKO127" s="77"/>
      <c r="OKP127" s="77"/>
      <c r="OKQ127" s="77"/>
      <c r="OKR127" s="77"/>
      <c r="OKS127" s="77"/>
      <c r="OKT127" s="77"/>
      <c r="OKU127" s="77"/>
      <c r="OKV127" s="77"/>
      <c r="OKW127" s="77"/>
      <c r="OKX127" s="77"/>
      <c r="OKY127" s="77"/>
      <c r="OKZ127" s="77"/>
      <c r="OLA127" s="77"/>
      <c r="OLB127" s="77"/>
      <c r="OLC127" s="77"/>
      <c r="OLD127" s="77"/>
      <c r="OLE127" s="77"/>
      <c r="OLF127" s="77"/>
      <c r="OLG127" s="77"/>
      <c r="OLH127" s="77"/>
      <c r="OLI127" s="77"/>
      <c r="OLJ127" s="77"/>
      <c r="OLK127" s="77"/>
      <c r="OLL127" s="77"/>
      <c r="OLM127" s="77"/>
      <c r="OLN127" s="77"/>
      <c r="OLO127" s="77"/>
      <c r="OLP127" s="77"/>
      <c r="OLQ127" s="77"/>
      <c r="OLR127" s="77"/>
      <c r="OLS127" s="77"/>
      <c r="OLT127" s="77"/>
      <c r="OLU127" s="77"/>
      <c r="OLV127" s="77"/>
      <c r="OLW127" s="77"/>
      <c r="OLX127" s="77"/>
      <c r="OLY127" s="77"/>
      <c r="OLZ127" s="77"/>
      <c r="OMA127" s="77"/>
      <c r="OMB127" s="77"/>
      <c r="OMC127" s="77"/>
      <c r="OMD127" s="77"/>
      <c r="OME127" s="77"/>
      <c r="OMF127" s="77"/>
      <c r="OMG127" s="77"/>
      <c r="OMH127" s="77"/>
      <c r="OMI127" s="77"/>
      <c r="OMJ127" s="77"/>
      <c r="OMK127" s="77"/>
      <c r="OML127" s="77"/>
      <c r="OMM127" s="77"/>
      <c r="OMN127" s="77"/>
      <c r="OMO127" s="77"/>
      <c r="OMP127" s="77"/>
      <c r="OMQ127" s="77"/>
      <c r="OMR127" s="77"/>
      <c r="OMS127" s="77"/>
      <c r="OMT127" s="77"/>
      <c r="OMU127" s="77"/>
      <c r="OMV127" s="77"/>
      <c r="OMW127" s="77"/>
      <c r="OMX127" s="77"/>
      <c r="OMY127" s="77"/>
      <c r="OMZ127" s="77"/>
      <c r="ONA127" s="77"/>
      <c r="ONB127" s="77"/>
      <c r="ONC127" s="77"/>
      <c r="OND127" s="77"/>
      <c r="ONE127" s="77"/>
      <c r="ONF127" s="77"/>
      <c r="ONG127" s="77"/>
      <c r="ONH127" s="77"/>
      <c r="ONI127" s="77"/>
      <c r="ONJ127" s="77"/>
      <c r="ONK127" s="77"/>
      <c r="ONL127" s="77"/>
      <c r="ONM127" s="77"/>
      <c r="ONN127" s="77"/>
      <c r="ONO127" s="77"/>
      <c r="ONP127" s="77"/>
      <c r="ONQ127" s="77"/>
      <c r="ONR127" s="77"/>
      <c r="ONS127" s="77"/>
      <c r="ONT127" s="77"/>
      <c r="ONU127" s="77"/>
      <c r="ONV127" s="77"/>
      <c r="ONW127" s="77"/>
      <c r="ONX127" s="77"/>
      <c r="ONY127" s="77"/>
      <c r="ONZ127" s="77"/>
      <c r="OOA127" s="77"/>
      <c r="OOB127" s="77"/>
      <c r="OOC127" s="77"/>
      <c r="OOD127" s="77"/>
      <c r="OOE127" s="77"/>
      <c r="OOF127" s="77"/>
      <c r="OOG127" s="77"/>
      <c r="OOH127" s="77"/>
      <c r="OOI127" s="77"/>
      <c r="OOJ127" s="77"/>
      <c r="OOK127" s="77"/>
      <c r="OOL127" s="77"/>
      <c r="OOM127" s="77"/>
      <c r="OON127" s="77"/>
      <c r="OOO127" s="77"/>
      <c r="OOP127" s="77"/>
      <c r="OOQ127" s="77"/>
      <c r="OOR127" s="77"/>
      <c r="OOS127" s="77"/>
      <c r="OOT127" s="77"/>
      <c r="OOU127" s="77"/>
      <c r="OOV127" s="77"/>
      <c r="OOW127" s="77"/>
      <c r="OOX127" s="77"/>
      <c r="OOY127" s="77"/>
      <c r="OOZ127" s="77"/>
      <c r="OPA127" s="77"/>
      <c r="OPB127" s="77"/>
      <c r="OPC127" s="77"/>
      <c r="OPD127" s="77"/>
      <c r="OPE127" s="77"/>
      <c r="OPF127" s="77"/>
      <c r="OPG127" s="77"/>
      <c r="OPH127" s="77"/>
      <c r="OPI127" s="77"/>
      <c r="OPJ127" s="77"/>
      <c r="OPK127" s="77"/>
      <c r="OPL127" s="77"/>
      <c r="OPM127" s="77"/>
      <c r="OPN127" s="77"/>
      <c r="OPO127" s="77"/>
      <c r="OPP127" s="77"/>
      <c r="OPQ127" s="77"/>
      <c r="OPR127" s="77"/>
      <c r="OPS127" s="77"/>
      <c r="OPT127" s="77"/>
      <c r="OPU127" s="77"/>
      <c r="OPV127" s="77"/>
      <c r="OPW127" s="77"/>
      <c r="OPX127" s="77"/>
      <c r="OPY127" s="77"/>
      <c r="OPZ127" s="77"/>
      <c r="OQA127" s="77"/>
      <c r="OQB127" s="77"/>
      <c r="OQC127" s="77"/>
      <c r="OQD127" s="77"/>
      <c r="OQE127" s="77"/>
      <c r="OQF127" s="77"/>
      <c r="OQG127" s="77"/>
      <c r="OQH127" s="77"/>
      <c r="OQI127" s="77"/>
      <c r="OQJ127" s="77"/>
      <c r="OQK127" s="77"/>
      <c r="OQL127" s="77"/>
      <c r="OQM127" s="77"/>
      <c r="OQN127" s="77"/>
      <c r="OQO127" s="77"/>
      <c r="OQP127" s="77"/>
      <c r="OQQ127" s="77"/>
      <c r="OQR127" s="77"/>
      <c r="OQS127" s="77"/>
      <c r="OQT127" s="77"/>
      <c r="OQU127" s="77"/>
      <c r="OQV127" s="77"/>
      <c r="OQW127" s="77"/>
      <c r="OQX127" s="77"/>
      <c r="OQY127" s="77"/>
      <c r="OQZ127" s="77"/>
      <c r="ORA127" s="77"/>
      <c r="ORB127" s="77"/>
      <c r="ORC127" s="77"/>
      <c r="ORD127" s="77"/>
      <c r="ORE127" s="77"/>
      <c r="ORF127" s="77"/>
      <c r="ORG127" s="77"/>
      <c r="ORH127" s="77"/>
      <c r="ORI127" s="77"/>
      <c r="ORJ127" s="77"/>
      <c r="ORK127" s="77"/>
      <c r="ORL127" s="77"/>
      <c r="ORM127" s="77"/>
      <c r="ORN127" s="77"/>
      <c r="ORO127" s="77"/>
      <c r="ORP127" s="77"/>
      <c r="ORQ127" s="77"/>
      <c r="ORR127" s="77"/>
      <c r="ORS127" s="77"/>
      <c r="ORT127" s="77"/>
      <c r="ORU127" s="77"/>
      <c r="ORV127" s="77"/>
      <c r="ORW127" s="77"/>
      <c r="ORX127" s="77"/>
      <c r="ORY127" s="77"/>
      <c r="ORZ127" s="77"/>
      <c r="OSA127" s="77"/>
      <c r="OSB127" s="77"/>
      <c r="OSC127" s="77"/>
      <c r="OSD127" s="77"/>
      <c r="OSE127" s="77"/>
      <c r="OSF127" s="77"/>
      <c r="OSG127" s="77"/>
      <c r="OSH127" s="77"/>
      <c r="OSI127" s="77"/>
      <c r="OSJ127" s="77"/>
      <c r="OSK127" s="77"/>
      <c r="OSL127" s="77"/>
      <c r="OSM127" s="77"/>
      <c r="OSN127" s="77"/>
      <c r="OSO127" s="77"/>
      <c r="OSP127" s="77"/>
      <c r="OSQ127" s="77"/>
      <c r="OSR127" s="77"/>
      <c r="OSS127" s="77"/>
      <c r="OST127" s="77"/>
      <c r="OSU127" s="77"/>
      <c r="OSV127" s="77"/>
      <c r="OSW127" s="77"/>
      <c r="OSX127" s="77"/>
      <c r="OSY127" s="77"/>
      <c r="OSZ127" s="77"/>
      <c r="OTA127" s="77"/>
      <c r="OTB127" s="77"/>
      <c r="OTC127" s="77"/>
      <c r="OTD127" s="77"/>
      <c r="OTE127" s="77"/>
      <c r="OTF127" s="77"/>
      <c r="OTG127" s="77"/>
      <c r="OTH127" s="77"/>
      <c r="OTI127" s="77"/>
      <c r="OTJ127" s="77"/>
      <c r="OTK127" s="77"/>
      <c r="OTL127" s="77"/>
      <c r="OTM127" s="77"/>
      <c r="OTN127" s="77"/>
      <c r="OTO127" s="77"/>
      <c r="OTP127" s="77"/>
      <c r="OTQ127" s="77"/>
      <c r="OTR127" s="77"/>
      <c r="OTS127" s="77"/>
      <c r="OTT127" s="77"/>
      <c r="OTU127" s="77"/>
      <c r="OTV127" s="77"/>
      <c r="OTW127" s="77"/>
      <c r="OTX127" s="77"/>
      <c r="OTY127" s="77"/>
      <c r="OTZ127" s="77"/>
      <c r="OUA127" s="77"/>
      <c r="OUB127" s="77"/>
      <c r="OUC127" s="77"/>
      <c r="OUD127" s="77"/>
      <c r="OUE127" s="77"/>
      <c r="OUF127" s="77"/>
      <c r="OUG127" s="77"/>
      <c r="OUH127" s="77"/>
      <c r="OUI127" s="77"/>
      <c r="OUJ127" s="77"/>
      <c r="OUK127" s="77"/>
      <c r="OUL127" s="77"/>
      <c r="OUM127" s="77"/>
      <c r="OUN127" s="77"/>
      <c r="OUO127" s="77"/>
      <c r="OUP127" s="77"/>
      <c r="OUQ127" s="77"/>
      <c r="OUR127" s="77"/>
      <c r="OUS127" s="77"/>
      <c r="OUT127" s="77"/>
      <c r="OUU127" s="77"/>
      <c r="OUV127" s="77"/>
      <c r="OUW127" s="77"/>
      <c r="OUX127" s="77"/>
      <c r="OUY127" s="77"/>
      <c r="OUZ127" s="77"/>
      <c r="OVA127" s="77"/>
      <c r="OVB127" s="77"/>
      <c r="OVC127" s="77"/>
      <c r="OVD127" s="77"/>
      <c r="OVE127" s="77"/>
      <c r="OVF127" s="77"/>
      <c r="OVG127" s="77"/>
      <c r="OVH127" s="77"/>
      <c r="OVI127" s="77"/>
      <c r="OVJ127" s="77"/>
      <c r="OVK127" s="77"/>
      <c r="OVL127" s="77"/>
      <c r="OVM127" s="77"/>
      <c r="OVN127" s="77"/>
      <c r="OVO127" s="77"/>
      <c r="OVP127" s="77"/>
      <c r="OVQ127" s="77"/>
      <c r="OVR127" s="77"/>
      <c r="OVS127" s="77"/>
      <c r="OVT127" s="77"/>
      <c r="OVU127" s="77"/>
      <c r="OVV127" s="77"/>
      <c r="OVW127" s="77"/>
      <c r="OVX127" s="77"/>
      <c r="OVY127" s="77"/>
      <c r="OVZ127" s="77"/>
      <c r="OWA127" s="77"/>
      <c r="OWB127" s="77"/>
      <c r="OWC127" s="77"/>
      <c r="OWD127" s="77"/>
      <c r="OWE127" s="77"/>
      <c r="OWF127" s="77"/>
      <c r="OWG127" s="77"/>
      <c r="OWH127" s="77"/>
      <c r="OWI127" s="77"/>
      <c r="OWJ127" s="77"/>
      <c r="OWK127" s="77"/>
      <c r="OWL127" s="77"/>
      <c r="OWM127" s="77"/>
      <c r="OWN127" s="77"/>
      <c r="OWO127" s="77"/>
      <c r="OWP127" s="77"/>
      <c r="OWQ127" s="77"/>
      <c r="OWR127" s="77"/>
      <c r="OWS127" s="77"/>
      <c r="OWT127" s="77"/>
      <c r="OWU127" s="77"/>
      <c r="OWV127" s="77"/>
      <c r="OWW127" s="77"/>
      <c r="OWX127" s="77"/>
      <c r="OWY127" s="77"/>
      <c r="OWZ127" s="77"/>
      <c r="OXA127" s="77"/>
      <c r="OXB127" s="77"/>
      <c r="OXC127" s="77"/>
      <c r="OXD127" s="77"/>
      <c r="OXE127" s="77"/>
      <c r="OXF127" s="77"/>
      <c r="OXG127" s="77"/>
      <c r="OXH127" s="77"/>
      <c r="OXI127" s="77"/>
      <c r="OXJ127" s="77"/>
      <c r="OXK127" s="77"/>
      <c r="OXL127" s="77"/>
      <c r="OXM127" s="77"/>
      <c r="OXN127" s="77"/>
      <c r="OXO127" s="77"/>
      <c r="OXP127" s="77"/>
      <c r="OXQ127" s="77"/>
      <c r="OXR127" s="77"/>
      <c r="OXS127" s="77"/>
      <c r="OXT127" s="77"/>
      <c r="OXU127" s="77"/>
      <c r="OXV127" s="77"/>
      <c r="OXW127" s="77"/>
      <c r="OXX127" s="77"/>
      <c r="OXY127" s="77"/>
      <c r="OXZ127" s="77"/>
      <c r="OYA127" s="77"/>
      <c r="OYB127" s="77"/>
      <c r="OYC127" s="77"/>
      <c r="OYD127" s="77"/>
      <c r="OYE127" s="77"/>
      <c r="OYF127" s="77"/>
      <c r="OYG127" s="77"/>
      <c r="OYH127" s="77"/>
      <c r="OYI127" s="77"/>
      <c r="OYJ127" s="77"/>
      <c r="OYK127" s="77"/>
      <c r="OYL127" s="77"/>
      <c r="OYM127" s="77"/>
      <c r="OYN127" s="77"/>
      <c r="OYO127" s="77"/>
      <c r="OYP127" s="77"/>
      <c r="OYQ127" s="77"/>
      <c r="OYR127" s="77"/>
      <c r="OYS127" s="77"/>
      <c r="OYT127" s="77"/>
      <c r="OYU127" s="77"/>
      <c r="OYV127" s="77"/>
      <c r="OYW127" s="77"/>
      <c r="OYX127" s="77"/>
      <c r="OYY127" s="77"/>
      <c r="OYZ127" s="77"/>
      <c r="OZA127" s="77"/>
      <c r="OZB127" s="77"/>
      <c r="OZC127" s="77"/>
      <c r="OZD127" s="77"/>
      <c r="OZE127" s="77"/>
      <c r="OZF127" s="77"/>
      <c r="OZG127" s="77"/>
      <c r="OZH127" s="77"/>
      <c r="OZI127" s="77"/>
      <c r="OZJ127" s="77"/>
      <c r="OZK127" s="77"/>
      <c r="OZL127" s="77"/>
      <c r="OZM127" s="77"/>
      <c r="OZN127" s="77"/>
      <c r="OZO127" s="77"/>
      <c r="OZP127" s="77"/>
      <c r="OZQ127" s="77"/>
      <c r="OZR127" s="77"/>
      <c r="OZS127" s="77"/>
      <c r="OZT127" s="77"/>
      <c r="OZU127" s="77"/>
      <c r="OZV127" s="77"/>
      <c r="OZW127" s="77"/>
      <c r="OZX127" s="77"/>
      <c r="OZY127" s="77"/>
      <c r="OZZ127" s="77"/>
      <c r="PAA127" s="77"/>
      <c r="PAB127" s="77"/>
      <c r="PAC127" s="77"/>
      <c r="PAD127" s="77"/>
      <c r="PAE127" s="77"/>
      <c r="PAF127" s="77"/>
      <c r="PAG127" s="77"/>
      <c r="PAH127" s="77"/>
      <c r="PAI127" s="77"/>
      <c r="PAJ127" s="77"/>
      <c r="PAK127" s="77"/>
      <c r="PAL127" s="77"/>
      <c r="PAM127" s="77"/>
      <c r="PAN127" s="77"/>
      <c r="PAO127" s="77"/>
      <c r="PAP127" s="77"/>
      <c r="PAQ127" s="77"/>
      <c r="PAR127" s="77"/>
      <c r="PAS127" s="77"/>
      <c r="PAT127" s="77"/>
      <c r="PAU127" s="77"/>
      <c r="PAV127" s="77"/>
      <c r="PAW127" s="77"/>
      <c r="PAX127" s="77"/>
      <c r="PAY127" s="77"/>
      <c r="PAZ127" s="77"/>
      <c r="PBA127" s="77"/>
      <c r="PBB127" s="77"/>
      <c r="PBC127" s="77"/>
      <c r="PBD127" s="77"/>
      <c r="PBE127" s="77"/>
      <c r="PBF127" s="77"/>
      <c r="PBG127" s="77"/>
      <c r="PBH127" s="77"/>
      <c r="PBI127" s="77"/>
      <c r="PBJ127" s="77"/>
      <c r="PBK127" s="77"/>
      <c r="PBL127" s="77"/>
      <c r="PBM127" s="77"/>
      <c r="PBN127" s="77"/>
      <c r="PBO127" s="77"/>
      <c r="PBP127" s="77"/>
      <c r="PBQ127" s="77"/>
      <c r="PBR127" s="77"/>
      <c r="PBS127" s="77"/>
      <c r="PBT127" s="77"/>
      <c r="PBU127" s="77"/>
      <c r="PBV127" s="77"/>
      <c r="PBW127" s="77"/>
      <c r="PBX127" s="77"/>
      <c r="PBY127" s="77"/>
      <c r="PBZ127" s="77"/>
      <c r="PCA127" s="77"/>
      <c r="PCB127" s="77"/>
      <c r="PCC127" s="77"/>
      <c r="PCD127" s="77"/>
      <c r="PCE127" s="77"/>
      <c r="PCF127" s="77"/>
      <c r="PCG127" s="77"/>
      <c r="PCH127" s="77"/>
      <c r="PCI127" s="77"/>
      <c r="PCJ127" s="77"/>
      <c r="PCK127" s="77"/>
      <c r="PCL127" s="77"/>
      <c r="PCM127" s="77"/>
      <c r="PCN127" s="77"/>
      <c r="PCO127" s="77"/>
      <c r="PCP127" s="77"/>
      <c r="PCQ127" s="77"/>
      <c r="PCR127" s="77"/>
      <c r="PCS127" s="77"/>
      <c r="PCT127" s="77"/>
      <c r="PCU127" s="77"/>
      <c r="PCV127" s="77"/>
      <c r="PCW127" s="77"/>
      <c r="PCX127" s="77"/>
      <c r="PCY127" s="77"/>
      <c r="PCZ127" s="77"/>
      <c r="PDA127" s="77"/>
      <c r="PDB127" s="77"/>
      <c r="PDC127" s="77"/>
      <c r="PDD127" s="77"/>
      <c r="PDE127" s="77"/>
      <c r="PDF127" s="77"/>
      <c r="PDG127" s="77"/>
      <c r="PDH127" s="77"/>
      <c r="PDI127" s="77"/>
      <c r="PDJ127" s="77"/>
      <c r="PDK127" s="77"/>
      <c r="PDL127" s="77"/>
      <c r="PDM127" s="77"/>
      <c r="PDN127" s="77"/>
      <c r="PDO127" s="77"/>
      <c r="PDP127" s="77"/>
      <c r="PDQ127" s="77"/>
      <c r="PDR127" s="77"/>
      <c r="PDS127" s="77"/>
      <c r="PDT127" s="77"/>
      <c r="PDU127" s="77"/>
      <c r="PDV127" s="77"/>
      <c r="PDW127" s="77"/>
      <c r="PDX127" s="77"/>
      <c r="PDY127" s="77"/>
      <c r="PDZ127" s="77"/>
      <c r="PEA127" s="77"/>
      <c r="PEB127" s="77"/>
      <c r="PEC127" s="77"/>
      <c r="PED127" s="77"/>
      <c r="PEE127" s="77"/>
      <c r="PEF127" s="77"/>
      <c r="PEG127" s="77"/>
      <c r="PEH127" s="77"/>
      <c r="PEI127" s="77"/>
      <c r="PEJ127" s="77"/>
      <c r="PEK127" s="77"/>
      <c r="PEL127" s="77"/>
      <c r="PEM127" s="77"/>
      <c r="PEN127" s="77"/>
      <c r="PEO127" s="77"/>
      <c r="PEP127" s="77"/>
      <c r="PEQ127" s="77"/>
      <c r="PER127" s="77"/>
      <c r="PES127" s="77"/>
      <c r="PET127" s="77"/>
      <c r="PEU127" s="77"/>
      <c r="PEV127" s="77"/>
      <c r="PEW127" s="77"/>
      <c r="PEX127" s="77"/>
      <c r="PEY127" s="77"/>
      <c r="PEZ127" s="77"/>
      <c r="PFA127" s="77"/>
      <c r="PFB127" s="77"/>
      <c r="PFC127" s="77"/>
      <c r="PFD127" s="77"/>
      <c r="PFE127" s="77"/>
      <c r="PFF127" s="77"/>
      <c r="PFG127" s="77"/>
      <c r="PFH127" s="77"/>
      <c r="PFI127" s="77"/>
      <c r="PFJ127" s="77"/>
      <c r="PFK127" s="77"/>
      <c r="PFL127" s="77"/>
      <c r="PFM127" s="77"/>
      <c r="PFN127" s="77"/>
      <c r="PFO127" s="77"/>
      <c r="PFP127" s="77"/>
      <c r="PFQ127" s="77"/>
      <c r="PFR127" s="77"/>
      <c r="PFS127" s="77"/>
      <c r="PFT127" s="77"/>
      <c r="PFU127" s="77"/>
      <c r="PFV127" s="77"/>
      <c r="PFW127" s="77"/>
      <c r="PFX127" s="77"/>
      <c r="PFY127" s="77"/>
      <c r="PFZ127" s="77"/>
      <c r="PGA127" s="77"/>
      <c r="PGB127" s="77"/>
      <c r="PGC127" s="77"/>
      <c r="PGD127" s="77"/>
      <c r="PGE127" s="77"/>
      <c r="PGF127" s="77"/>
      <c r="PGG127" s="77"/>
      <c r="PGH127" s="77"/>
      <c r="PGI127" s="77"/>
      <c r="PGJ127" s="77"/>
      <c r="PGK127" s="77"/>
      <c r="PGL127" s="77"/>
      <c r="PGM127" s="77"/>
      <c r="PGN127" s="77"/>
      <c r="PGO127" s="77"/>
      <c r="PGP127" s="77"/>
      <c r="PGQ127" s="77"/>
      <c r="PGR127" s="77"/>
      <c r="PGS127" s="77"/>
      <c r="PGT127" s="77"/>
      <c r="PGU127" s="77"/>
      <c r="PGV127" s="77"/>
      <c r="PGW127" s="77"/>
      <c r="PGX127" s="77"/>
      <c r="PGY127" s="77"/>
      <c r="PGZ127" s="77"/>
      <c r="PHA127" s="77"/>
      <c r="PHB127" s="77"/>
      <c r="PHC127" s="77"/>
      <c r="PHD127" s="77"/>
      <c r="PHE127" s="77"/>
      <c r="PHF127" s="77"/>
      <c r="PHG127" s="77"/>
      <c r="PHH127" s="77"/>
      <c r="PHI127" s="77"/>
      <c r="PHJ127" s="77"/>
      <c r="PHK127" s="77"/>
      <c r="PHL127" s="77"/>
      <c r="PHM127" s="77"/>
      <c r="PHN127" s="77"/>
      <c r="PHO127" s="77"/>
      <c r="PHP127" s="77"/>
      <c r="PHQ127" s="77"/>
      <c r="PHR127" s="77"/>
      <c r="PHS127" s="77"/>
      <c r="PHT127" s="77"/>
      <c r="PHU127" s="77"/>
      <c r="PHV127" s="77"/>
      <c r="PHW127" s="77"/>
      <c r="PHX127" s="77"/>
      <c r="PHY127" s="77"/>
      <c r="PHZ127" s="77"/>
      <c r="PIA127" s="77"/>
      <c r="PIB127" s="77"/>
      <c r="PIC127" s="77"/>
      <c r="PID127" s="77"/>
      <c r="PIE127" s="77"/>
      <c r="PIF127" s="77"/>
      <c r="PIG127" s="77"/>
      <c r="PIH127" s="77"/>
      <c r="PII127" s="77"/>
      <c r="PIJ127" s="77"/>
      <c r="PIK127" s="77"/>
      <c r="PIL127" s="77"/>
      <c r="PIM127" s="77"/>
      <c r="PIN127" s="77"/>
      <c r="PIO127" s="77"/>
      <c r="PIP127" s="77"/>
      <c r="PIQ127" s="77"/>
      <c r="PIR127" s="77"/>
      <c r="PIS127" s="77"/>
      <c r="PIT127" s="77"/>
      <c r="PIU127" s="77"/>
      <c r="PIV127" s="77"/>
      <c r="PIW127" s="77"/>
      <c r="PIX127" s="77"/>
      <c r="PIY127" s="77"/>
      <c r="PIZ127" s="77"/>
      <c r="PJA127" s="77"/>
      <c r="PJB127" s="77"/>
      <c r="PJC127" s="77"/>
      <c r="PJD127" s="77"/>
      <c r="PJE127" s="77"/>
      <c r="PJF127" s="77"/>
      <c r="PJG127" s="77"/>
      <c r="PJH127" s="77"/>
      <c r="PJI127" s="77"/>
      <c r="PJJ127" s="77"/>
      <c r="PJK127" s="77"/>
      <c r="PJL127" s="77"/>
      <c r="PJM127" s="77"/>
      <c r="PJN127" s="77"/>
      <c r="PJO127" s="77"/>
      <c r="PJP127" s="77"/>
      <c r="PJQ127" s="77"/>
      <c r="PJR127" s="77"/>
      <c r="PJS127" s="77"/>
      <c r="PJT127" s="77"/>
      <c r="PJU127" s="77"/>
      <c r="PJV127" s="77"/>
      <c r="PJW127" s="77"/>
      <c r="PJX127" s="77"/>
      <c r="PJY127" s="77"/>
      <c r="PJZ127" s="77"/>
      <c r="PKA127" s="77"/>
      <c r="PKB127" s="77"/>
      <c r="PKC127" s="77"/>
      <c r="PKD127" s="77"/>
      <c r="PKE127" s="77"/>
      <c r="PKF127" s="77"/>
      <c r="PKG127" s="77"/>
      <c r="PKH127" s="77"/>
      <c r="PKI127" s="77"/>
      <c r="PKJ127" s="77"/>
      <c r="PKK127" s="77"/>
      <c r="PKL127" s="77"/>
      <c r="PKM127" s="77"/>
      <c r="PKN127" s="77"/>
      <c r="PKO127" s="77"/>
      <c r="PKP127" s="77"/>
      <c r="PKQ127" s="77"/>
      <c r="PKR127" s="77"/>
      <c r="PKS127" s="77"/>
      <c r="PKT127" s="77"/>
      <c r="PKU127" s="77"/>
      <c r="PKV127" s="77"/>
      <c r="PKW127" s="77"/>
      <c r="PKX127" s="77"/>
      <c r="PKY127" s="77"/>
      <c r="PKZ127" s="77"/>
      <c r="PLA127" s="77"/>
      <c r="PLB127" s="77"/>
      <c r="PLC127" s="77"/>
      <c r="PLD127" s="77"/>
      <c r="PLE127" s="77"/>
      <c r="PLF127" s="77"/>
      <c r="PLG127" s="77"/>
      <c r="PLH127" s="77"/>
      <c r="PLI127" s="77"/>
      <c r="PLJ127" s="77"/>
      <c r="PLK127" s="77"/>
      <c r="PLL127" s="77"/>
      <c r="PLM127" s="77"/>
      <c r="PLN127" s="77"/>
      <c r="PLO127" s="77"/>
      <c r="PLP127" s="77"/>
      <c r="PLQ127" s="77"/>
      <c r="PLR127" s="77"/>
      <c r="PLS127" s="77"/>
      <c r="PLT127" s="77"/>
      <c r="PLU127" s="77"/>
      <c r="PLV127" s="77"/>
      <c r="PLW127" s="77"/>
      <c r="PLX127" s="77"/>
      <c r="PLY127" s="77"/>
      <c r="PLZ127" s="77"/>
      <c r="PMA127" s="77"/>
      <c r="PMB127" s="77"/>
      <c r="PMC127" s="77"/>
      <c r="PMD127" s="77"/>
      <c r="PME127" s="77"/>
      <c r="PMF127" s="77"/>
      <c r="PMG127" s="77"/>
      <c r="PMH127" s="77"/>
      <c r="PMI127" s="77"/>
      <c r="PMJ127" s="77"/>
      <c r="PMK127" s="77"/>
      <c r="PML127" s="77"/>
      <c r="PMM127" s="77"/>
      <c r="PMN127" s="77"/>
      <c r="PMO127" s="77"/>
      <c r="PMP127" s="77"/>
      <c r="PMQ127" s="77"/>
      <c r="PMR127" s="77"/>
      <c r="PMS127" s="77"/>
      <c r="PMT127" s="77"/>
      <c r="PMU127" s="77"/>
      <c r="PMV127" s="77"/>
      <c r="PMW127" s="77"/>
      <c r="PMX127" s="77"/>
      <c r="PMY127" s="77"/>
      <c r="PMZ127" s="77"/>
      <c r="PNA127" s="77"/>
      <c r="PNB127" s="77"/>
      <c r="PNC127" s="77"/>
      <c r="PND127" s="77"/>
      <c r="PNE127" s="77"/>
      <c r="PNF127" s="77"/>
      <c r="PNG127" s="77"/>
      <c r="PNH127" s="77"/>
      <c r="PNI127" s="77"/>
      <c r="PNJ127" s="77"/>
      <c r="PNK127" s="77"/>
      <c r="PNL127" s="77"/>
      <c r="PNM127" s="77"/>
      <c r="PNN127" s="77"/>
      <c r="PNO127" s="77"/>
      <c r="PNP127" s="77"/>
      <c r="PNQ127" s="77"/>
      <c r="PNR127" s="77"/>
      <c r="PNS127" s="77"/>
      <c r="PNT127" s="77"/>
      <c r="PNU127" s="77"/>
      <c r="PNV127" s="77"/>
      <c r="PNW127" s="77"/>
      <c r="PNX127" s="77"/>
      <c r="PNY127" s="77"/>
      <c r="PNZ127" s="77"/>
      <c r="POA127" s="77"/>
      <c r="POB127" s="77"/>
      <c r="POC127" s="77"/>
      <c r="POD127" s="77"/>
      <c r="POE127" s="77"/>
      <c r="POF127" s="77"/>
      <c r="POG127" s="77"/>
      <c r="POH127" s="77"/>
      <c r="POI127" s="77"/>
      <c r="POJ127" s="77"/>
      <c r="POK127" s="77"/>
      <c r="POL127" s="77"/>
      <c r="POM127" s="77"/>
      <c r="PON127" s="77"/>
      <c r="POO127" s="77"/>
      <c r="POP127" s="77"/>
      <c r="POQ127" s="77"/>
      <c r="POR127" s="77"/>
      <c r="POS127" s="77"/>
      <c r="POT127" s="77"/>
      <c r="POU127" s="77"/>
      <c r="POV127" s="77"/>
      <c r="POW127" s="77"/>
      <c r="POX127" s="77"/>
      <c r="POY127" s="77"/>
      <c r="POZ127" s="77"/>
      <c r="PPA127" s="77"/>
      <c r="PPB127" s="77"/>
      <c r="PPC127" s="77"/>
      <c r="PPD127" s="77"/>
      <c r="PPE127" s="77"/>
      <c r="PPF127" s="77"/>
      <c r="PPG127" s="77"/>
      <c r="PPH127" s="77"/>
      <c r="PPI127" s="77"/>
      <c r="PPJ127" s="77"/>
      <c r="PPK127" s="77"/>
      <c r="PPL127" s="77"/>
      <c r="PPM127" s="77"/>
      <c r="PPN127" s="77"/>
      <c r="PPO127" s="77"/>
      <c r="PPP127" s="77"/>
      <c r="PPQ127" s="77"/>
      <c r="PPR127" s="77"/>
      <c r="PPS127" s="77"/>
      <c r="PPT127" s="77"/>
      <c r="PPU127" s="77"/>
      <c r="PPV127" s="77"/>
      <c r="PPW127" s="77"/>
      <c r="PPX127" s="77"/>
      <c r="PPY127" s="77"/>
      <c r="PPZ127" s="77"/>
      <c r="PQA127" s="77"/>
      <c r="PQB127" s="77"/>
      <c r="PQC127" s="77"/>
      <c r="PQD127" s="77"/>
      <c r="PQE127" s="77"/>
      <c r="PQF127" s="77"/>
      <c r="PQG127" s="77"/>
      <c r="PQH127" s="77"/>
      <c r="PQI127" s="77"/>
      <c r="PQJ127" s="77"/>
      <c r="PQK127" s="77"/>
      <c r="PQL127" s="77"/>
      <c r="PQM127" s="77"/>
      <c r="PQN127" s="77"/>
      <c r="PQO127" s="77"/>
      <c r="PQP127" s="77"/>
      <c r="PQQ127" s="77"/>
      <c r="PQR127" s="77"/>
      <c r="PQS127" s="77"/>
      <c r="PQT127" s="77"/>
      <c r="PQU127" s="77"/>
      <c r="PQV127" s="77"/>
      <c r="PQW127" s="77"/>
      <c r="PQX127" s="77"/>
      <c r="PQY127" s="77"/>
      <c r="PQZ127" s="77"/>
      <c r="PRA127" s="77"/>
      <c r="PRB127" s="77"/>
      <c r="PRC127" s="77"/>
      <c r="PRD127" s="77"/>
      <c r="PRE127" s="77"/>
      <c r="PRF127" s="77"/>
      <c r="PRG127" s="77"/>
      <c r="PRH127" s="77"/>
      <c r="PRI127" s="77"/>
      <c r="PRJ127" s="77"/>
      <c r="PRK127" s="77"/>
      <c r="PRL127" s="77"/>
      <c r="PRM127" s="77"/>
      <c r="PRN127" s="77"/>
      <c r="PRO127" s="77"/>
      <c r="PRP127" s="77"/>
      <c r="PRQ127" s="77"/>
      <c r="PRR127" s="77"/>
      <c r="PRS127" s="77"/>
      <c r="PRT127" s="77"/>
      <c r="PRU127" s="77"/>
      <c r="PRV127" s="77"/>
      <c r="PRW127" s="77"/>
      <c r="PRX127" s="77"/>
      <c r="PRY127" s="77"/>
      <c r="PRZ127" s="77"/>
      <c r="PSA127" s="77"/>
      <c r="PSB127" s="77"/>
      <c r="PSC127" s="77"/>
      <c r="PSD127" s="77"/>
      <c r="PSE127" s="77"/>
      <c r="PSF127" s="77"/>
      <c r="PSG127" s="77"/>
      <c r="PSH127" s="77"/>
      <c r="PSI127" s="77"/>
      <c r="PSJ127" s="77"/>
      <c r="PSK127" s="77"/>
      <c r="PSL127" s="77"/>
      <c r="PSM127" s="77"/>
      <c r="PSN127" s="77"/>
      <c r="PSO127" s="77"/>
      <c r="PSP127" s="77"/>
      <c r="PSQ127" s="77"/>
      <c r="PSR127" s="77"/>
      <c r="PSS127" s="77"/>
      <c r="PST127" s="77"/>
      <c r="PSU127" s="77"/>
      <c r="PSV127" s="77"/>
      <c r="PSW127" s="77"/>
      <c r="PSX127" s="77"/>
      <c r="PSY127" s="77"/>
      <c r="PSZ127" s="77"/>
      <c r="PTA127" s="77"/>
      <c r="PTB127" s="77"/>
      <c r="PTC127" s="77"/>
      <c r="PTD127" s="77"/>
      <c r="PTE127" s="77"/>
      <c r="PTF127" s="77"/>
      <c r="PTG127" s="77"/>
      <c r="PTH127" s="77"/>
      <c r="PTI127" s="77"/>
      <c r="PTJ127" s="77"/>
      <c r="PTK127" s="77"/>
      <c r="PTL127" s="77"/>
      <c r="PTM127" s="77"/>
      <c r="PTN127" s="77"/>
      <c r="PTO127" s="77"/>
      <c r="PTP127" s="77"/>
      <c r="PTQ127" s="77"/>
      <c r="PTR127" s="77"/>
      <c r="PTS127" s="77"/>
      <c r="PTT127" s="77"/>
      <c r="PTU127" s="77"/>
      <c r="PTV127" s="77"/>
      <c r="PTW127" s="77"/>
      <c r="PTX127" s="77"/>
      <c r="PTY127" s="77"/>
      <c r="PTZ127" s="77"/>
      <c r="PUA127" s="77"/>
      <c r="PUB127" s="77"/>
      <c r="PUC127" s="77"/>
      <c r="PUD127" s="77"/>
      <c r="PUE127" s="77"/>
      <c r="PUF127" s="77"/>
      <c r="PUG127" s="77"/>
      <c r="PUH127" s="77"/>
      <c r="PUI127" s="77"/>
      <c r="PUJ127" s="77"/>
      <c r="PUK127" s="77"/>
      <c r="PUL127" s="77"/>
      <c r="PUM127" s="77"/>
      <c r="PUN127" s="77"/>
      <c r="PUO127" s="77"/>
      <c r="PUP127" s="77"/>
      <c r="PUQ127" s="77"/>
      <c r="PUR127" s="77"/>
      <c r="PUS127" s="77"/>
      <c r="PUT127" s="77"/>
      <c r="PUU127" s="77"/>
      <c r="PUV127" s="77"/>
      <c r="PUW127" s="77"/>
      <c r="PUX127" s="77"/>
      <c r="PUY127" s="77"/>
      <c r="PUZ127" s="77"/>
      <c r="PVA127" s="77"/>
      <c r="PVB127" s="77"/>
      <c r="PVC127" s="77"/>
      <c r="PVD127" s="77"/>
      <c r="PVE127" s="77"/>
      <c r="PVF127" s="77"/>
      <c r="PVG127" s="77"/>
      <c r="PVH127" s="77"/>
      <c r="PVI127" s="77"/>
      <c r="PVJ127" s="77"/>
      <c r="PVK127" s="77"/>
      <c r="PVL127" s="77"/>
      <c r="PVM127" s="77"/>
      <c r="PVN127" s="77"/>
      <c r="PVO127" s="77"/>
      <c r="PVP127" s="77"/>
      <c r="PVQ127" s="77"/>
      <c r="PVR127" s="77"/>
      <c r="PVS127" s="77"/>
      <c r="PVT127" s="77"/>
      <c r="PVU127" s="77"/>
      <c r="PVV127" s="77"/>
      <c r="PVW127" s="77"/>
      <c r="PVX127" s="77"/>
      <c r="PVY127" s="77"/>
      <c r="PVZ127" s="77"/>
      <c r="PWA127" s="77"/>
      <c r="PWB127" s="77"/>
      <c r="PWC127" s="77"/>
      <c r="PWD127" s="77"/>
      <c r="PWE127" s="77"/>
      <c r="PWF127" s="77"/>
      <c r="PWG127" s="77"/>
      <c r="PWH127" s="77"/>
      <c r="PWI127" s="77"/>
      <c r="PWJ127" s="77"/>
      <c r="PWK127" s="77"/>
      <c r="PWL127" s="77"/>
      <c r="PWM127" s="77"/>
      <c r="PWN127" s="77"/>
      <c r="PWO127" s="77"/>
      <c r="PWP127" s="77"/>
      <c r="PWQ127" s="77"/>
      <c r="PWR127" s="77"/>
      <c r="PWS127" s="77"/>
      <c r="PWT127" s="77"/>
      <c r="PWU127" s="77"/>
      <c r="PWV127" s="77"/>
      <c r="PWW127" s="77"/>
      <c r="PWX127" s="77"/>
      <c r="PWY127" s="77"/>
      <c r="PWZ127" s="77"/>
      <c r="PXA127" s="77"/>
      <c r="PXB127" s="77"/>
      <c r="PXC127" s="77"/>
      <c r="PXD127" s="77"/>
      <c r="PXE127" s="77"/>
      <c r="PXF127" s="77"/>
      <c r="PXG127" s="77"/>
      <c r="PXH127" s="77"/>
      <c r="PXI127" s="77"/>
      <c r="PXJ127" s="77"/>
      <c r="PXK127" s="77"/>
      <c r="PXL127" s="77"/>
      <c r="PXM127" s="77"/>
      <c r="PXN127" s="77"/>
      <c r="PXO127" s="77"/>
      <c r="PXP127" s="77"/>
      <c r="PXQ127" s="77"/>
      <c r="PXR127" s="77"/>
      <c r="PXS127" s="77"/>
      <c r="PXT127" s="77"/>
      <c r="PXU127" s="77"/>
      <c r="PXV127" s="77"/>
      <c r="PXW127" s="77"/>
      <c r="PXX127" s="77"/>
      <c r="PXY127" s="77"/>
      <c r="PXZ127" s="77"/>
      <c r="PYA127" s="77"/>
      <c r="PYB127" s="77"/>
      <c r="PYC127" s="77"/>
      <c r="PYD127" s="77"/>
      <c r="PYE127" s="77"/>
      <c r="PYF127" s="77"/>
      <c r="PYG127" s="77"/>
      <c r="PYH127" s="77"/>
      <c r="PYI127" s="77"/>
      <c r="PYJ127" s="77"/>
      <c r="PYK127" s="77"/>
      <c r="PYL127" s="77"/>
      <c r="PYM127" s="77"/>
      <c r="PYN127" s="77"/>
      <c r="PYO127" s="77"/>
      <c r="PYP127" s="77"/>
      <c r="PYQ127" s="77"/>
      <c r="PYR127" s="77"/>
      <c r="PYS127" s="77"/>
      <c r="PYT127" s="77"/>
      <c r="PYU127" s="77"/>
      <c r="PYV127" s="77"/>
      <c r="PYW127" s="77"/>
      <c r="PYX127" s="77"/>
      <c r="PYY127" s="77"/>
      <c r="PYZ127" s="77"/>
      <c r="PZA127" s="77"/>
      <c r="PZB127" s="77"/>
      <c r="PZC127" s="77"/>
      <c r="PZD127" s="77"/>
      <c r="PZE127" s="77"/>
      <c r="PZF127" s="77"/>
      <c r="PZG127" s="77"/>
      <c r="PZH127" s="77"/>
      <c r="PZI127" s="77"/>
      <c r="PZJ127" s="77"/>
      <c r="PZK127" s="77"/>
      <c r="PZL127" s="77"/>
      <c r="PZM127" s="77"/>
      <c r="PZN127" s="77"/>
      <c r="PZO127" s="77"/>
      <c r="PZP127" s="77"/>
      <c r="PZQ127" s="77"/>
      <c r="PZR127" s="77"/>
      <c r="PZS127" s="77"/>
      <c r="PZT127" s="77"/>
      <c r="PZU127" s="77"/>
      <c r="PZV127" s="77"/>
      <c r="PZW127" s="77"/>
      <c r="PZX127" s="77"/>
      <c r="PZY127" s="77"/>
      <c r="PZZ127" s="77"/>
      <c r="QAA127" s="77"/>
      <c r="QAB127" s="77"/>
      <c r="QAC127" s="77"/>
      <c r="QAD127" s="77"/>
      <c r="QAE127" s="77"/>
      <c r="QAF127" s="77"/>
      <c r="QAG127" s="77"/>
      <c r="QAH127" s="77"/>
      <c r="QAI127" s="77"/>
      <c r="QAJ127" s="77"/>
      <c r="QAK127" s="77"/>
      <c r="QAL127" s="77"/>
      <c r="QAM127" s="77"/>
      <c r="QAN127" s="77"/>
      <c r="QAO127" s="77"/>
      <c r="QAP127" s="77"/>
      <c r="QAQ127" s="77"/>
      <c r="QAR127" s="77"/>
      <c r="QAS127" s="77"/>
      <c r="QAT127" s="77"/>
      <c r="QAU127" s="77"/>
      <c r="QAV127" s="77"/>
      <c r="QAW127" s="77"/>
      <c r="QAX127" s="77"/>
      <c r="QAY127" s="77"/>
      <c r="QAZ127" s="77"/>
      <c r="QBA127" s="77"/>
      <c r="QBB127" s="77"/>
      <c r="QBC127" s="77"/>
      <c r="QBD127" s="77"/>
      <c r="QBE127" s="77"/>
      <c r="QBF127" s="77"/>
      <c r="QBG127" s="77"/>
      <c r="QBH127" s="77"/>
      <c r="QBI127" s="77"/>
      <c r="QBJ127" s="77"/>
      <c r="QBK127" s="77"/>
      <c r="QBL127" s="77"/>
      <c r="QBM127" s="77"/>
      <c r="QBN127" s="77"/>
      <c r="QBO127" s="77"/>
      <c r="QBP127" s="77"/>
      <c r="QBQ127" s="77"/>
      <c r="QBR127" s="77"/>
      <c r="QBS127" s="77"/>
      <c r="QBT127" s="77"/>
      <c r="QBU127" s="77"/>
      <c r="QBV127" s="77"/>
      <c r="QBW127" s="77"/>
      <c r="QBX127" s="77"/>
      <c r="QBY127" s="77"/>
      <c r="QBZ127" s="77"/>
      <c r="QCA127" s="77"/>
      <c r="QCB127" s="77"/>
      <c r="QCC127" s="77"/>
      <c r="QCD127" s="77"/>
      <c r="QCE127" s="77"/>
      <c r="QCF127" s="77"/>
      <c r="QCG127" s="77"/>
      <c r="QCH127" s="77"/>
      <c r="QCI127" s="77"/>
      <c r="QCJ127" s="77"/>
      <c r="QCK127" s="77"/>
      <c r="QCL127" s="77"/>
      <c r="QCM127" s="77"/>
      <c r="QCN127" s="77"/>
      <c r="QCO127" s="77"/>
      <c r="QCP127" s="77"/>
      <c r="QCQ127" s="77"/>
      <c r="QCR127" s="77"/>
      <c r="QCS127" s="77"/>
      <c r="QCT127" s="77"/>
      <c r="QCU127" s="77"/>
      <c r="QCV127" s="77"/>
      <c r="QCW127" s="77"/>
      <c r="QCX127" s="77"/>
      <c r="QCY127" s="77"/>
      <c r="QCZ127" s="77"/>
      <c r="QDA127" s="77"/>
      <c r="QDB127" s="77"/>
      <c r="QDC127" s="77"/>
      <c r="QDD127" s="77"/>
      <c r="QDE127" s="77"/>
      <c r="QDF127" s="77"/>
      <c r="QDG127" s="77"/>
      <c r="QDH127" s="77"/>
      <c r="QDI127" s="77"/>
      <c r="QDJ127" s="77"/>
      <c r="QDK127" s="77"/>
      <c r="QDL127" s="77"/>
      <c r="QDM127" s="77"/>
      <c r="QDN127" s="77"/>
      <c r="QDO127" s="77"/>
      <c r="QDP127" s="77"/>
      <c r="QDQ127" s="77"/>
      <c r="QDR127" s="77"/>
      <c r="QDS127" s="77"/>
      <c r="QDT127" s="77"/>
      <c r="QDU127" s="77"/>
      <c r="QDV127" s="77"/>
      <c r="QDW127" s="77"/>
      <c r="QDX127" s="77"/>
      <c r="QDY127" s="77"/>
      <c r="QDZ127" s="77"/>
      <c r="QEA127" s="77"/>
      <c r="QEB127" s="77"/>
      <c r="QEC127" s="77"/>
      <c r="QED127" s="77"/>
      <c r="QEE127" s="77"/>
      <c r="QEF127" s="77"/>
      <c r="QEG127" s="77"/>
      <c r="QEH127" s="77"/>
      <c r="QEI127" s="77"/>
      <c r="QEJ127" s="77"/>
      <c r="QEK127" s="77"/>
      <c r="QEL127" s="77"/>
      <c r="QEM127" s="77"/>
      <c r="QEN127" s="77"/>
      <c r="QEO127" s="77"/>
      <c r="QEP127" s="77"/>
      <c r="QEQ127" s="77"/>
      <c r="QER127" s="77"/>
      <c r="QES127" s="77"/>
      <c r="QET127" s="77"/>
      <c r="QEU127" s="77"/>
      <c r="QEV127" s="77"/>
      <c r="QEW127" s="77"/>
      <c r="QEX127" s="77"/>
      <c r="QEY127" s="77"/>
      <c r="QEZ127" s="77"/>
      <c r="QFA127" s="77"/>
      <c r="QFB127" s="77"/>
      <c r="QFC127" s="77"/>
      <c r="QFD127" s="77"/>
      <c r="QFE127" s="77"/>
      <c r="QFF127" s="77"/>
      <c r="QFG127" s="77"/>
      <c r="QFH127" s="77"/>
      <c r="QFI127" s="77"/>
      <c r="QFJ127" s="77"/>
      <c r="QFK127" s="77"/>
      <c r="QFL127" s="77"/>
      <c r="QFM127" s="77"/>
      <c r="QFN127" s="77"/>
      <c r="QFO127" s="77"/>
      <c r="QFP127" s="77"/>
      <c r="QFQ127" s="77"/>
      <c r="QFR127" s="77"/>
      <c r="QFS127" s="77"/>
      <c r="QFT127" s="77"/>
      <c r="QFU127" s="77"/>
      <c r="QFV127" s="77"/>
      <c r="QFW127" s="77"/>
      <c r="QFX127" s="77"/>
      <c r="QFY127" s="77"/>
      <c r="QFZ127" s="77"/>
      <c r="QGA127" s="77"/>
      <c r="QGB127" s="77"/>
      <c r="QGC127" s="77"/>
      <c r="QGD127" s="77"/>
      <c r="QGE127" s="77"/>
      <c r="QGF127" s="77"/>
      <c r="QGG127" s="77"/>
      <c r="QGH127" s="77"/>
      <c r="QGI127" s="77"/>
      <c r="QGJ127" s="77"/>
      <c r="QGK127" s="77"/>
      <c r="QGL127" s="77"/>
      <c r="QGM127" s="77"/>
      <c r="QGN127" s="77"/>
      <c r="QGO127" s="77"/>
      <c r="QGP127" s="77"/>
      <c r="QGQ127" s="77"/>
      <c r="QGR127" s="77"/>
      <c r="QGS127" s="77"/>
      <c r="QGT127" s="77"/>
      <c r="QGU127" s="77"/>
      <c r="QGV127" s="77"/>
      <c r="QGW127" s="77"/>
      <c r="QGX127" s="77"/>
      <c r="QGY127" s="77"/>
      <c r="QGZ127" s="77"/>
      <c r="QHA127" s="77"/>
      <c r="QHB127" s="77"/>
      <c r="QHC127" s="77"/>
      <c r="QHD127" s="77"/>
      <c r="QHE127" s="77"/>
      <c r="QHF127" s="77"/>
      <c r="QHG127" s="77"/>
      <c r="QHH127" s="77"/>
      <c r="QHI127" s="77"/>
      <c r="QHJ127" s="77"/>
      <c r="QHK127" s="77"/>
      <c r="QHL127" s="77"/>
      <c r="QHM127" s="77"/>
      <c r="QHN127" s="77"/>
      <c r="QHO127" s="77"/>
      <c r="QHP127" s="77"/>
      <c r="QHQ127" s="77"/>
      <c r="QHR127" s="77"/>
      <c r="QHS127" s="77"/>
      <c r="QHT127" s="77"/>
      <c r="QHU127" s="77"/>
      <c r="QHV127" s="77"/>
      <c r="QHW127" s="77"/>
      <c r="QHX127" s="77"/>
      <c r="QHY127" s="77"/>
      <c r="QHZ127" s="77"/>
      <c r="QIA127" s="77"/>
      <c r="QIB127" s="77"/>
      <c r="QIC127" s="77"/>
      <c r="QID127" s="77"/>
      <c r="QIE127" s="77"/>
      <c r="QIF127" s="77"/>
      <c r="QIG127" s="77"/>
      <c r="QIH127" s="77"/>
      <c r="QII127" s="77"/>
      <c r="QIJ127" s="77"/>
      <c r="QIK127" s="77"/>
      <c r="QIL127" s="77"/>
      <c r="QIM127" s="77"/>
      <c r="QIN127" s="77"/>
      <c r="QIO127" s="77"/>
      <c r="QIP127" s="77"/>
      <c r="QIQ127" s="77"/>
      <c r="QIR127" s="77"/>
      <c r="QIS127" s="77"/>
      <c r="QIT127" s="77"/>
      <c r="QIU127" s="77"/>
      <c r="QIV127" s="77"/>
      <c r="QIW127" s="77"/>
      <c r="QIX127" s="77"/>
      <c r="QIY127" s="77"/>
      <c r="QIZ127" s="77"/>
      <c r="QJA127" s="77"/>
      <c r="QJB127" s="77"/>
      <c r="QJC127" s="77"/>
      <c r="QJD127" s="77"/>
      <c r="QJE127" s="77"/>
      <c r="QJF127" s="77"/>
      <c r="QJG127" s="77"/>
      <c r="QJH127" s="77"/>
      <c r="QJI127" s="77"/>
      <c r="QJJ127" s="77"/>
      <c r="QJK127" s="77"/>
      <c r="QJL127" s="77"/>
      <c r="QJM127" s="77"/>
      <c r="QJN127" s="77"/>
      <c r="QJO127" s="77"/>
      <c r="QJP127" s="77"/>
      <c r="QJQ127" s="77"/>
      <c r="QJR127" s="77"/>
      <c r="QJS127" s="77"/>
      <c r="QJT127" s="77"/>
      <c r="QJU127" s="77"/>
      <c r="QJV127" s="77"/>
      <c r="QJW127" s="77"/>
      <c r="QJX127" s="77"/>
      <c r="QJY127" s="77"/>
      <c r="QJZ127" s="77"/>
      <c r="QKA127" s="77"/>
      <c r="QKB127" s="77"/>
      <c r="QKC127" s="77"/>
      <c r="QKD127" s="77"/>
      <c r="QKE127" s="77"/>
      <c r="QKF127" s="77"/>
      <c r="QKG127" s="77"/>
      <c r="QKH127" s="77"/>
      <c r="QKI127" s="77"/>
      <c r="QKJ127" s="77"/>
      <c r="QKK127" s="77"/>
      <c r="QKL127" s="77"/>
      <c r="QKM127" s="77"/>
      <c r="QKN127" s="77"/>
      <c r="QKO127" s="77"/>
      <c r="QKP127" s="77"/>
      <c r="QKQ127" s="77"/>
      <c r="QKR127" s="77"/>
      <c r="QKS127" s="77"/>
      <c r="QKT127" s="77"/>
      <c r="QKU127" s="77"/>
      <c r="QKV127" s="77"/>
      <c r="QKW127" s="77"/>
      <c r="QKX127" s="77"/>
      <c r="QKY127" s="77"/>
      <c r="QKZ127" s="77"/>
      <c r="QLA127" s="77"/>
      <c r="QLB127" s="77"/>
      <c r="QLC127" s="77"/>
      <c r="QLD127" s="77"/>
      <c r="QLE127" s="77"/>
      <c r="QLF127" s="77"/>
      <c r="QLG127" s="77"/>
      <c r="QLH127" s="77"/>
      <c r="QLI127" s="77"/>
      <c r="QLJ127" s="77"/>
      <c r="QLK127" s="77"/>
      <c r="QLL127" s="77"/>
      <c r="QLM127" s="77"/>
      <c r="QLN127" s="77"/>
      <c r="QLO127" s="77"/>
      <c r="QLP127" s="77"/>
      <c r="QLQ127" s="77"/>
      <c r="QLR127" s="77"/>
      <c r="QLS127" s="77"/>
      <c r="QLT127" s="77"/>
      <c r="QLU127" s="77"/>
      <c r="QLV127" s="77"/>
      <c r="QLW127" s="77"/>
      <c r="QLX127" s="77"/>
      <c r="QLY127" s="77"/>
      <c r="QLZ127" s="77"/>
      <c r="QMA127" s="77"/>
      <c r="QMB127" s="77"/>
      <c r="QMC127" s="77"/>
      <c r="QMD127" s="77"/>
      <c r="QME127" s="77"/>
      <c r="QMF127" s="77"/>
      <c r="QMG127" s="77"/>
      <c r="QMH127" s="77"/>
      <c r="QMI127" s="77"/>
      <c r="QMJ127" s="77"/>
      <c r="QMK127" s="77"/>
      <c r="QML127" s="77"/>
      <c r="QMM127" s="77"/>
      <c r="QMN127" s="77"/>
      <c r="QMO127" s="77"/>
      <c r="QMP127" s="77"/>
      <c r="QMQ127" s="77"/>
      <c r="QMR127" s="77"/>
      <c r="QMS127" s="77"/>
      <c r="QMT127" s="77"/>
      <c r="QMU127" s="77"/>
      <c r="QMV127" s="77"/>
      <c r="QMW127" s="77"/>
      <c r="QMX127" s="77"/>
      <c r="QMY127" s="77"/>
      <c r="QMZ127" s="77"/>
      <c r="QNA127" s="77"/>
      <c r="QNB127" s="77"/>
      <c r="QNC127" s="77"/>
      <c r="QND127" s="77"/>
      <c r="QNE127" s="77"/>
      <c r="QNF127" s="77"/>
      <c r="QNG127" s="77"/>
      <c r="QNH127" s="77"/>
      <c r="QNI127" s="77"/>
      <c r="QNJ127" s="77"/>
      <c r="QNK127" s="77"/>
      <c r="QNL127" s="77"/>
      <c r="QNM127" s="77"/>
      <c r="QNN127" s="77"/>
      <c r="QNO127" s="77"/>
      <c r="QNP127" s="77"/>
      <c r="QNQ127" s="77"/>
      <c r="QNR127" s="77"/>
      <c r="QNS127" s="77"/>
      <c r="QNT127" s="77"/>
      <c r="QNU127" s="77"/>
      <c r="QNV127" s="77"/>
      <c r="QNW127" s="77"/>
      <c r="QNX127" s="77"/>
      <c r="QNY127" s="77"/>
      <c r="QNZ127" s="77"/>
      <c r="QOA127" s="77"/>
      <c r="QOB127" s="77"/>
      <c r="QOC127" s="77"/>
      <c r="QOD127" s="77"/>
      <c r="QOE127" s="77"/>
      <c r="QOF127" s="77"/>
      <c r="QOG127" s="77"/>
      <c r="QOH127" s="77"/>
      <c r="QOI127" s="77"/>
      <c r="QOJ127" s="77"/>
      <c r="QOK127" s="77"/>
      <c r="QOL127" s="77"/>
      <c r="QOM127" s="77"/>
      <c r="QON127" s="77"/>
      <c r="QOO127" s="77"/>
      <c r="QOP127" s="77"/>
      <c r="QOQ127" s="77"/>
      <c r="QOR127" s="77"/>
      <c r="QOS127" s="77"/>
      <c r="QOT127" s="77"/>
      <c r="QOU127" s="77"/>
      <c r="QOV127" s="77"/>
      <c r="QOW127" s="77"/>
      <c r="QOX127" s="77"/>
      <c r="QOY127" s="77"/>
      <c r="QOZ127" s="77"/>
      <c r="QPA127" s="77"/>
      <c r="QPB127" s="77"/>
      <c r="QPC127" s="77"/>
      <c r="QPD127" s="77"/>
      <c r="QPE127" s="77"/>
      <c r="QPF127" s="77"/>
      <c r="QPG127" s="77"/>
      <c r="QPH127" s="77"/>
      <c r="QPI127" s="77"/>
      <c r="QPJ127" s="77"/>
      <c r="QPK127" s="77"/>
      <c r="QPL127" s="77"/>
      <c r="QPM127" s="77"/>
      <c r="QPN127" s="77"/>
      <c r="QPO127" s="77"/>
      <c r="QPP127" s="77"/>
      <c r="QPQ127" s="77"/>
      <c r="QPR127" s="77"/>
      <c r="QPS127" s="77"/>
      <c r="QPT127" s="77"/>
      <c r="QPU127" s="77"/>
      <c r="QPV127" s="77"/>
      <c r="QPW127" s="77"/>
      <c r="QPX127" s="77"/>
      <c r="QPY127" s="77"/>
      <c r="QPZ127" s="77"/>
      <c r="QQA127" s="77"/>
      <c r="QQB127" s="77"/>
      <c r="QQC127" s="77"/>
      <c r="QQD127" s="77"/>
      <c r="QQE127" s="77"/>
      <c r="QQF127" s="77"/>
      <c r="QQG127" s="77"/>
      <c r="QQH127" s="77"/>
      <c r="QQI127" s="77"/>
      <c r="QQJ127" s="77"/>
      <c r="QQK127" s="77"/>
      <c r="QQL127" s="77"/>
      <c r="QQM127" s="77"/>
      <c r="QQN127" s="77"/>
      <c r="QQO127" s="77"/>
      <c r="QQP127" s="77"/>
      <c r="QQQ127" s="77"/>
      <c r="QQR127" s="77"/>
      <c r="QQS127" s="77"/>
      <c r="QQT127" s="77"/>
      <c r="QQU127" s="77"/>
      <c r="QQV127" s="77"/>
      <c r="QQW127" s="77"/>
      <c r="QQX127" s="77"/>
      <c r="QQY127" s="77"/>
      <c r="QQZ127" s="77"/>
      <c r="QRA127" s="77"/>
      <c r="QRB127" s="77"/>
      <c r="QRC127" s="77"/>
      <c r="QRD127" s="77"/>
      <c r="QRE127" s="77"/>
      <c r="QRF127" s="77"/>
      <c r="QRG127" s="77"/>
      <c r="QRH127" s="77"/>
      <c r="QRI127" s="77"/>
      <c r="QRJ127" s="77"/>
      <c r="QRK127" s="77"/>
      <c r="QRL127" s="77"/>
      <c r="QRM127" s="77"/>
      <c r="QRN127" s="77"/>
      <c r="QRO127" s="77"/>
      <c r="QRP127" s="77"/>
      <c r="QRQ127" s="77"/>
      <c r="QRR127" s="77"/>
      <c r="QRS127" s="77"/>
      <c r="QRT127" s="77"/>
      <c r="QRU127" s="77"/>
      <c r="QRV127" s="77"/>
      <c r="QRW127" s="77"/>
      <c r="QRX127" s="77"/>
      <c r="QRY127" s="77"/>
      <c r="QRZ127" s="77"/>
      <c r="QSA127" s="77"/>
      <c r="QSB127" s="77"/>
      <c r="QSC127" s="77"/>
      <c r="QSD127" s="77"/>
      <c r="QSE127" s="77"/>
      <c r="QSF127" s="77"/>
      <c r="QSG127" s="77"/>
      <c r="QSH127" s="77"/>
      <c r="QSI127" s="77"/>
      <c r="QSJ127" s="77"/>
      <c r="QSK127" s="77"/>
      <c r="QSL127" s="77"/>
      <c r="QSM127" s="77"/>
      <c r="QSN127" s="77"/>
      <c r="QSO127" s="77"/>
      <c r="QSP127" s="77"/>
      <c r="QSQ127" s="77"/>
      <c r="QSR127" s="77"/>
      <c r="QSS127" s="77"/>
      <c r="QST127" s="77"/>
      <c r="QSU127" s="77"/>
      <c r="QSV127" s="77"/>
      <c r="QSW127" s="77"/>
      <c r="QSX127" s="77"/>
      <c r="QSY127" s="77"/>
      <c r="QSZ127" s="77"/>
      <c r="QTA127" s="77"/>
      <c r="QTB127" s="77"/>
      <c r="QTC127" s="77"/>
      <c r="QTD127" s="77"/>
      <c r="QTE127" s="77"/>
      <c r="QTF127" s="77"/>
      <c r="QTG127" s="77"/>
      <c r="QTH127" s="77"/>
      <c r="QTI127" s="77"/>
      <c r="QTJ127" s="77"/>
      <c r="QTK127" s="77"/>
      <c r="QTL127" s="77"/>
      <c r="QTM127" s="77"/>
      <c r="QTN127" s="77"/>
      <c r="QTO127" s="77"/>
      <c r="QTP127" s="77"/>
      <c r="QTQ127" s="77"/>
      <c r="QTR127" s="77"/>
      <c r="QTS127" s="77"/>
      <c r="QTT127" s="77"/>
      <c r="QTU127" s="77"/>
      <c r="QTV127" s="77"/>
      <c r="QTW127" s="77"/>
      <c r="QTX127" s="77"/>
      <c r="QTY127" s="77"/>
      <c r="QTZ127" s="77"/>
      <c r="QUA127" s="77"/>
      <c r="QUB127" s="77"/>
      <c r="QUC127" s="77"/>
      <c r="QUD127" s="77"/>
      <c r="QUE127" s="77"/>
      <c r="QUF127" s="77"/>
      <c r="QUG127" s="77"/>
      <c r="QUH127" s="77"/>
      <c r="QUI127" s="77"/>
      <c r="QUJ127" s="77"/>
      <c r="QUK127" s="77"/>
      <c r="QUL127" s="77"/>
      <c r="QUM127" s="77"/>
      <c r="QUN127" s="77"/>
      <c r="QUO127" s="77"/>
      <c r="QUP127" s="77"/>
      <c r="QUQ127" s="77"/>
      <c r="QUR127" s="77"/>
      <c r="QUS127" s="77"/>
      <c r="QUT127" s="77"/>
      <c r="QUU127" s="77"/>
      <c r="QUV127" s="77"/>
      <c r="QUW127" s="77"/>
      <c r="QUX127" s="77"/>
      <c r="QUY127" s="77"/>
      <c r="QUZ127" s="77"/>
      <c r="QVA127" s="77"/>
      <c r="QVB127" s="77"/>
      <c r="QVC127" s="77"/>
      <c r="QVD127" s="77"/>
      <c r="QVE127" s="77"/>
      <c r="QVF127" s="77"/>
      <c r="QVG127" s="77"/>
      <c r="QVH127" s="77"/>
      <c r="QVI127" s="77"/>
      <c r="QVJ127" s="77"/>
      <c r="QVK127" s="77"/>
      <c r="QVL127" s="77"/>
      <c r="QVM127" s="77"/>
      <c r="QVN127" s="77"/>
      <c r="QVO127" s="77"/>
      <c r="QVP127" s="77"/>
      <c r="QVQ127" s="77"/>
      <c r="QVR127" s="77"/>
      <c r="QVS127" s="77"/>
      <c r="QVT127" s="77"/>
      <c r="QVU127" s="77"/>
      <c r="QVV127" s="77"/>
      <c r="QVW127" s="77"/>
      <c r="QVX127" s="77"/>
      <c r="QVY127" s="77"/>
      <c r="QVZ127" s="77"/>
      <c r="QWA127" s="77"/>
      <c r="QWB127" s="77"/>
      <c r="QWC127" s="77"/>
      <c r="QWD127" s="77"/>
      <c r="QWE127" s="77"/>
      <c r="QWF127" s="77"/>
      <c r="QWG127" s="77"/>
      <c r="QWH127" s="77"/>
      <c r="QWI127" s="77"/>
      <c r="QWJ127" s="77"/>
      <c r="QWK127" s="77"/>
      <c r="QWL127" s="77"/>
      <c r="QWM127" s="77"/>
      <c r="QWN127" s="77"/>
      <c r="QWO127" s="77"/>
      <c r="QWP127" s="77"/>
      <c r="QWQ127" s="77"/>
      <c r="QWR127" s="77"/>
      <c r="QWS127" s="77"/>
      <c r="QWT127" s="77"/>
      <c r="QWU127" s="77"/>
      <c r="QWV127" s="77"/>
      <c r="QWW127" s="77"/>
      <c r="QWX127" s="77"/>
      <c r="QWY127" s="77"/>
      <c r="QWZ127" s="77"/>
      <c r="QXA127" s="77"/>
      <c r="QXB127" s="77"/>
      <c r="QXC127" s="77"/>
      <c r="QXD127" s="77"/>
      <c r="QXE127" s="77"/>
      <c r="QXF127" s="77"/>
      <c r="QXG127" s="77"/>
      <c r="QXH127" s="77"/>
      <c r="QXI127" s="77"/>
      <c r="QXJ127" s="77"/>
      <c r="QXK127" s="77"/>
      <c r="QXL127" s="77"/>
      <c r="QXM127" s="77"/>
      <c r="QXN127" s="77"/>
      <c r="QXO127" s="77"/>
      <c r="QXP127" s="77"/>
      <c r="QXQ127" s="77"/>
      <c r="QXR127" s="77"/>
      <c r="QXS127" s="77"/>
      <c r="QXT127" s="77"/>
      <c r="QXU127" s="77"/>
      <c r="QXV127" s="77"/>
      <c r="QXW127" s="77"/>
      <c r="QXX127" s="77"/>
      <c r="QXY127" s="77"/>
      <c r="QXZ127" s="77"/>
      <c r="QYA127" s="77"/>
      <c r="QYB127" s="77"/>
      <c r="QYC127" s="77"/>
      <c r="QYD127" s="77"/>
      <c r="QYE127" s="77"/>
      <c r="QYF127" s="77"/>
      <c r="QYG127" s="77"/>
      <c r="QYH127" s="77"/>
      <c r="QYI127" s="77"/>
      <c r="QYJ127" s="77"/>
      <c r="QYK127" s="77"/>
      <c r="QYL127" s="77"/>
      <c r="QYM127" s="77"/>
      <c r="QYN127" s="77"/>
      <c r="QYO127" s="77"/>
      <c r="QYP127" s="77"/>
      <c r="QYQ127" s="77"/>
      <c r="QYR127" s="77"/>
      <c r="QYS127" s="77"/>
      <c r="QYT127" s="77"/>
      <c r="QYU127" s="77"/>
      <c r="QYV127" s="77"/>
      <c r="QYW127" s="77"/>
      <c r="QYX127" s="77"/>
      <c r="QYY127" s="77"/>
      <c r="QYZ127" s="77"/>
      <c r="QZA127" s="77"/>
      <c r="QZB127" s="77"/>
      <c r="QZC127" s="77"/>
      <c r="QZD127" s="77"/>
      <c r="QZE127" s="77"/>
      <c r="QZF127" s="77"/>
      <c r="QZG127" s="77"/>
      <c r="QZH127" s="77"/>
      <c r="QZI127" s="77"/>
      <c r="QZJ127" s="77"/>
      <c r="QZK127" s="77"/>
      <c r="QZL127" s="77"/>
      <c r="QZM127" s="77"/>
      <c r="QZN127" s="77"/>
      <c r="QZO127" s="77"/>
      <c r="QZP127" s="77"/>
      <c r="QZQ127" s="77"/>
      <c r="QZR127" s="77"/>
      <c r="QZS127" s="77"/>
      <c r="QZT127" s="77"/>
      <c r="QZU127" s="77"/>
      <c r="QZV127" s="77"/>
      <c r="QZW127" s="77"/>
      <c r="QZX127" s="77"/>
      <c r="QZY127" s="77"/>
      <c r="QZZ127" s="77"/>
      <c r="RAA127" s="77"/>
      <c r="RAB127" s="77"/>
      <c r="RAC127" s="77"/>
      <c r="RAD127" s="77"/>
      <c r="RAE127" s="77"/>
      <c r="RAF127" s="77"/>
      <c r="RAG127" s="77"/>
      <c r="RAH127" s="77"/>
      <c r="RAI127" s="77"/>
      <c r="RAJ127" s="77"/>
      <c r="RAK127" s="77"/>
      <c r="RAL127" s="77"/>
      <c r="RAM127" s="77"/>
      <c r="RAN127" s="77"/>
      <c r="RAO127" s="77"/>
      <c r="RAP127" s="77"/>
      <c r="RAQ127" s="77"/>
      <c r="RAR127" s="77"/>
      <c r="RAS127" s="77"/>
      <c r="RAT127" s="77"/>
      <c r="RAU127" s="77"/>
      <c r="RAV127" s="77"/>
      <c r="RAW127" s="77"/>
      <c r="RAX127" s="77"/>
      <c r="RAY127" s="77"/>
      <c r="RAZ127" s="77"/>
      <c r="RBA127" s="77"/>
      <c r="RBB127" s="77"/>
      <c r="RBC127" s="77"/>
      <c r="RBD127" s="77"/>
      <c r="RBE127" s="77"/>
      <c r="RBF127" s="77"/>
      <c r="RBG127" s="77"/>
      <c r="RBH127" s="77"/>
      <c r="RBI127" s="77"/>
      <c r="RBJ127" s="77"/>
      <c r="RBK127" s="77"/>
      <c r="RBL127" s="77"/>
      <c r="RBM127" s="77"/>
      <c r="RBN127" s="77"/>
      <c r="RBO127" s="77"/>
      <c r="RBP127" s="77"/>
      <c r="RBQ127" s="77"/>
      <c r="RBR127" s="77"/>
      <c r="RBS127" s="77"/>
      <c r="RBT127" s="77"/>
      <c r="RBU127" s="77"/>
      <c r="RBV127" s="77"/>
      <c r="RBW127" s="77"/>
      <c r="RBX127" s="77"/>
      <c r="RBY127" s="77"/>
      <c r="RBZ127" s="77"/>
      <c r="RCA127" s="77"/>
      <c r="RCB127" s="77"/>
      <c r="RCC127" s="77"/>
      <c r="RCD127" s="77"/>
      <c r="RCE127" s="77"/>
      <c r="RCF127" s="77"/>
      <c r="RCG127" s="77"/>
      <c r="RCH127" s="77"/>
      <c r="RCI127" s="77"/>
      <c r="RCJ127" s="77"/>
      <c r="RCK127" s="77"/>
      <c r="RCL127" s="77"/>
      <c r="RCM127" s="77"/>
      <c r="RCN127" s="77"/>
      <c r="RCO127" s="77"/>
      <c r="RCP127" s="77"/>
      <c r="RCQ127" s="77"/>
      <c r="RCR127" s="77"/>
      <c r="RCS127" s="77"/>
      <c r="RCT127" s="77"/>
      <c r="RCU127" s="77"/>
      <c r="RCV127" s="77"/>
      <c r="RCW127" s="77"/>
      <c r="RCX127" s="77"/>
      <c r="RCY127" s="77"/>
      <c r="RCZ127" s="77"/>
      <c r="RDA127" s="77"/>
      <c r="RDB127" s="77"/>
      <c r="RDC127" s="77"/>
      <c r="RDD127" s="77"/>
      <c r="RDE127" s="77"/>
      <c r="RDF127" s="77"/>
      <c r="RDG127" s="77"/>
      <c r="RDH127" s="77"/>
      <c r="RDI127" s="77"/>
      <c r="RDJ127" s="77"/>
      <c r="RDK127" s="77"/>
      <c r="RDL127" s="77"/>
      <c r="RDM127" s="77"/>
      <c r="RDN127" s="77"/>
      <c r="RDO127" s="77"/>
      <c r="RDP127" s="77"/>
      <c r="RDQ127" s="77"/>
      <c r="RDR127" s="77"/>
      <c r="RDS127" s="77"/>
      <c r="RDT127" s="77"/>
      <c r="RDU127" s="77"/>
      <c r="RDV127" s="77"/>
      <c r="RDW127" s="77"/>
      <c r="RDX127" s="77"/>
      <c r="RDY127" s="77"/>
      <c r="RDZ127" s="77"/>
      <c r="REA127" s="77"/>
      <c r="REB127" s="77"/>
      <c r="REC127" s="77"/>
      <c r="RED127" s="77"/>
      <c r="REE127" s="77"/>
      <c r="REF127" s="77"/>
      <c r="REG127" s="77"/>
      <c r="REH127" s="77"/>
      <c r="REI127" s="77"/>
      <c r="REJ127" s="77"/>
      <c r="REK127" s="77"/>
      <c r="REL127" s="77"/>
      <c r="REM127" s="77"/>
      <c r="REN127" s="77"/>
      <c r="REO127" s="77"/>
      <c r="REP127" s="77"/>
      <c r="REQ127" s="77"/>
      <c r="RER127" s="77"/>
      <c r="RES127" s="77"/>
      <c r="RET127" s="77"/>
      <c r="REU127" s="77"/>
      <c r="REV127" s="77"/>
      <c r="REW127" s="77"/>
      <c r="REX127" s="77"/>
      <c r="REY127" s="77"/>
      <c r="REZ127" s="77"/>
      <c r="RFA127" s="77"/>
      <c r="RFB127" s="77"/>
      <c r="RFC127" s="77"/>
      <c r="RFD127" s="77"/>
      <c r="RFE127" s="77"/>
      <c r="RFF127" s="77"/>
      <c r="RFG127" s="77"/>
      <c r="RFH127" s="77"/>
      <c r="RFI127" s="77"/>
      <c r="RFJ127" s="77"/>
      <c r="RFK127" s="77"/>
      <c r="RFL127" s="77"/>
      <c r="RFM127" s="77"/>
      <c r="RFN127" s="77"/>
      <c r="RFO127" s="77"/>
      <c r="RFP127" s="77"/>
      <c r="RFQ127" s="77"/>
      <c r="RFR127" s="77"/>
      <c r="RFS127" s="77"/>
      <c r="RFT127" s="77"/>
      <c r="RFU127" s="77"/>
      <c r="RFV127" s="77"/>
      <c r="RFW127" s="77"/>
      <c r="RFX127" s="77"/>
      <c r="RFY127" s="77"/>
      <c r="RFZ127" s="77"/>
      <c r="RGA127" s="77"/>
      <c r="RGB127" s="77"/>
      <c r="RGC127" s="77"/>
      <c r="RGD127" s="77"/>
      <c r="RGE127" s="77"/>
      <c r="RGF127" s="77"/>
      <c r="RGG127" s="77"/>
      <c r="RGH127" s="77"/>
      <c r="RGI127" s="77"/>
      <c r="RGJ127" s="77"/>
      <c r="RGK127" s="77"/>
      <c r="RGL127" s="77"/>
      <c r="RGM127" s="77"/>
      <c r="RGN127" s="77"/>
      <c r="RGO127" s="77"/>
      <c r="RGP127" s="77"/>
      <c r="RGQ127" s="77"/>
      <c r="RGR127" s="77"/>
      <c r="RGS127" s="77"/>
      <c r="RGT127" s="77"/>
      <c r="RGU127" s="77"/>
      <c r="RGV127" s="77"/>
      <c r="RGW127" s="77"/>
      <c r="RGX127" s="77"/>
      <c r="RGY127" s="77"/>
      <c r="RGZ127" s="77"/>
      <c r="RHA127" s="77"/>
      <c r="RHB127" s="77"/>
      <c r="RHC127" s="77"/>
      <c r="RHD127" s="77"/>
      <c r="RHE127" s="77"/>
      <c r="RHF127" s="77"/>
      <c r="RHG127" s="77"/>
      <c r="RHH127" s="77"/>
      <c r="RHI127" s="77"/>
      <c r="RHJ127" s="77"/>
      <c r="RHK127" s="77"/>
      <c r="RHL127" s="77"/>
      <c r="RHM127" s="77"/>
      <c r="RHN127" s="77"/>
      <c r="RHO127" s="77"/>
      <c r="RHP127" s="77"/>
      <c r="RHQ127" s="77"/>
      <c r="RHR127" s="77"/>
      <c r="RHS127" s="77"/>
      <c r="RHT127" s="77"/>
      <c r="RHU127" s="77"/>
      <c r="RHV127" s="77"/>
      <c r="RHW127" s="77"/>
      <c r="RHX127" s="77"/>
      <c r="RHY127" s="77"/>
      <c r="RHZ127" s="77"/>
      <c r="RIA127" s="77"/>
      <c r="RIB127" s="77"/>
      <c r="RIC127" s="77"/>
      <c r="RID127" s="77"/>
      <c r="RIE127" s="77"/>
      <c r="RIF127" s="77"/>
      <c r="RIG127" s="77"/>
      <c r="RIH127" s="77"/>
      <c r="RII127" s="77"/>
      <c r="RIJ127" s="77"/>
      <c r="RIK127" s="77"/>
      <c r="RIL127" s="77"/>
      <c r="RIM127" s="77"/>
      <c r="RIN127" s="77"/>
      <c r="RIO127" s="77"/>
      <c r="RIP127" s="77"/>
      <c r="RIQ127" s="77"/>
      <c r="RIR127" s="77"/>
      <c r="RIS127" s="77"/>
      <c r="RIT127" s="77"/>
      <c r="RIU127" s="77"/>
      <c r="RIV127" s="77"/>
      <c r="RIW127" s="77"/>
      <c r="RIX127" s="77"/>
      <c r="RIY127" s="77"/>
      <c r="RIZ127" s="77"/>
      <c r="RJA127" s="77"/>
      <c r="RJB127" s="77"/>
      <c r="RJC127" s="77"/>
      <c r="RJD127" s="77"/>
      <c r="RJE127" s="77"/>
      <c r="RJF127" s="77"/>
      <c r="RJG127" s="77"/>
      <c r="RJH127" s="77"/>
      <c r="RJI127" s="77"/>
      <c r="RJJ127" s="77"/>
      <c r="RJK127" s="77"/>
      <c r="RJL127" s="77"/>
      <c r="RJM127" s="77"/>
      <c r="RJN127" s="77"/>
      <c r="RJO127" s="77"/>
      <c r="RJP127" s="77"/>
      <c r="RJQ127" s="77"/>
      <c r="RJR127" s="77"/>
      <c r="RJS127" s="77"/>
      <c r="RJT127" s="77"/>
      <c r="RJU127" s="77"/>
      <c r="RJV127" s="77"/>
      <c r="RJW127" s="77"/>
      <c r="RJX127" s="77"/>
      <c r="RJY127" s="77"/>
      <c r="RJZ127" s="77"/>
      <c r="RKA127" s="77"/>
      <c r="RKB127" s="77"/>
      <c r="RKC127" s="77"/>
      <c r="RKD127" s="77"/>
      <c r="RKE127" s="77"/>
      <c r="RKF127" s="77"/>
      <c r="RKG127" s="77"/>
      <c r="RKH127" s="77"/>
      <c r="RKI127" s="77"/>
      <c r="RKJ127" s="77"/>
      <c r="RKK127" s="77"/>
      <c r="RKL127" s="77"/>
      <c r="RKM127" s="77"/>
      <c r="RKN127" s="77"/>
      <c r="RKO127" s="77"/>
      <c r="RKP127" s="77"/>
      <c r="RKQ127" s="77"/>
      <c r="RKR127" s="77"/>
      <c r="RKS127" s="77"/>
      <c r="RKT127" s="77"/>
      <c r="RKU127" s="77"/>
      <c r="RKV127" s="77"/>
      <c r="RKW127" s="77"/>
      <c r="RKX127" s="77"/>
      <c r="RKY127" s="77"/>
      <c r="RKZ127" s="77"/>
      <c r="RLA127" s="77"/>
      <c r="RLB127" s="77"/>
      <c r="RLC127" s="77"/>
      <c r="RLD127" s="77"/>
      <c r="RLE127" s="77"/>
      <c r="RLF127" s="77"/>
      <c r="RLG127" s="77"/>
      <c r="RLH127" s="77"/>
      <c r="RLI127" s="77"/>
      <c r="RLJ127" s="77"/>
      <c r="RLK127" s="77"/>
      <c r="RLL127" s="77"/>
      <c r="RLM127" s="77"/>
      <c r="RLN127" s="77"/>
      <c r="RLO127" s="77"/>
      <c r="RLP127" s="77"/>
      <c r="RLQ127" s="77"/>
      <c r="RLR127" s="77"/>
      <c r="RLS127" s="77"/>
      <c r="RLT127" s="77"/>
      <c r="RLU127" s="77"/>
      <c r="RLV127" s="77"/>
      <c r="RLW127" s="77"/>
      <c r="RLX127" s="77"/>
      <c r="RLY127" s="77"/>
      <c r="RLZ127" s="77"/>
      <c r="RMA127" s="77"/>
      <c r="RMB127" s="77"/>
      <c r="RMC127" s="77"/>
      <c r="RMD127" s="77"/>
      <c r="RME127" s="77"/>
      <c r="RMF127" s="77"/>
      <c r="RMG127" s="77"/>
      <c r="RMH127" s="77"/>
      <c r="RMI127" s="77"/>
      <c r="RMJ127" s="77"/>
      <c r="RMK127" s="77"/>
      <c r="RML127" s="77"/>
      <c r="RMM127" s="77"/>
      <c r="RMN127" s="77"/>
      <c r="RMO127" s="77"/>
      <c r="RMP127" s="77"/>
      <c r="RMQ127" s="77"/>
      <c r="RMR127" s="77"/>
      <c r="RMS127" s="77"/>
      <c r="RMT127" s="77"/>
      <c r="RMU127" s="77"/>
      <c r="RMV127" s="77"/>
      <c r="RMW127" s="77"/>
      <c r="RMX127" s="77"/>
      <c r="RMY127" s="77"/>
      <c r="RMZ127" s="77"/>
      <c r="RNA127" s="77"/>
      <c r="RNB127" s="77"/>
      <c r="RNC127" s="77"/>
      <c r="RND127" s="77"/>
      <c r="RNE127" s="77"/>
      <c r="RNF127" s="77"/>
      <c r="RNG127" s="77"/>
      <c r="RNH127" s="77"/>
      <c r="RNI127" s="77"/>
      <c r="RNJ127" s="77"/>
      <c r="RNK127" s="77"/>
      <c r="RNL127" s="77"/>
      <c r="RNM127" s="77"/>
      <c r="RNN127" s="77"/>
      <c r="RNO127" s="77"/>
      <c r="RNP127" s="77"/>
      <c r="RNQ127" s="77"/>
      <c r="RNR127" s="77"/>
      <c r="RNS127" s="77"/>
      <c r="RNT127" s="77"/>
      <c r="RNU127" s="77"/>
      <c r="RNV127" s="77"/>
      <c r="RNW127" s="77"/>
      <c r="RNX127" s="77"/>
      <c r="RNY127" s="77"/>
      <c r="RNZ127" s="77"/>
      <c r="ROA127" s="77"/>
      <c r="ROB127" s="77"/>
      <c r="ROC127" s="77"/>
      <c r="ROD127" s="77"/>
      <c r="ROE127" s="77"/>
      <c r="ROF127" s="77"/>
      <c r="ROG127" s="77"/>
      <c r="ROH127" s="77"/>
      <c r="ROI127" s="77"/>
      <c r="ROJ127" s="77"/>
      <c r="ROK127" s="77"/>
      <c r="ROL127" s="77"/>
      <c r="ROM127" s="77"/>
      <c r="RON127" s="77"/>
      <c r="ROO127" s="77"/>
      <c r="ROP127" s="77"/>
      <c r="ROQ127" s="77"/>
      <c r="ROR127" s="77"/>
      <c r="ROS127" s="77"/>
      <c r="ROT127" s="77"/>
      <c r="ROU127" s="77"/>
      <c r="ROV127" s="77"/>
      <c r="ROW127" s="77"/>
      <c r="ROX127" s="77"/>
      <c r="ROY127" s="77"/>
      <c r="ROZ127" s="77"/>
      <c r="RPA127" s="77"/>
      <c r="RPB127" s="77"/>
      <c r="RPC127" s="77"/>
      <c r="RPD127" s="77"/>
      <c r="RPE127" s="77"/>
      <c r="RPF127" s="77"/>
      <c r="RPG127" s="77"/>
      <c r="RPH127" s="77"/>
      <c r="RPI127" s="77"/>
      <c r="RPJ127" s="77"/>
      <c r="RPK127" s="77"/>
      <c r="RPL127" s="77"/>
      <c r="RPM127" s="77"/>
      <c r="RPN127" s="77"/>
      <c r="RPO127" s="77"/>
      <c r="RPP127" s="77"/>
      <c r="RPQ127" s="77"/>
      <c r="RPR127" s="77"/>
      <c r="RPS127" s="77"/>
      <c r="RPT127" s="77"/>
      <c r="RPU127" s="77"/>
      <c r="RPV127" s="77"/>
      <c r="RPW127" s="77"/>
      <c r="RPX127" s="77"/>
      <c r="RPY127" s="77"/>
      <c r="RPZ127" s="77"/>
      <c r="RQA127" s="77"/>
      <c r="RQB127" s="77"/>
      <c r="RQC127" s="77"/>
      <c r="RQD127" s="77"/>
      <c r="RQE127" s="77"/>
      <c r="RQF127" s="77"/>
      <c r="RQG127" s="77"/>
      <c r="RQH127" s="77"/>
      <c r="RQI127" s="77"/>
      <c r="RQJ127" s="77"/>
      <c r="RQK127" s="77"/>
      <c r="RQL127" s="77"/>
      <c r="RQM127" s="77"/>
      <c r="RQN127" s="77"/>
      <c r="RQO127" s="77"/>
      <c r="RQP127" s="77"/>
      <c r="RQQ127" s="77"/>
      <c r="RQR127" s="77"/>
      <c r="RQS127" s="77"/>
      <c r="RQT127" s="77"/>
      <c r="RQU127" s="77"/>
      <c r="RQV127" s="77"/>
      <c r="RQW127" s="77"/>
      <c r="RQX127" s="77"/>
      <c r="RQY127" s="77"/>
      <c r="RQZ127" s="77"/>
      <c r="RRA127" s="77"/>
      <c r="RRB127" s="77"/>
      <c r="RRC127" s="77"/>
      <c r="RRD127" s="77"/>
      <c r="RRE127" s="77"/>
      <c r="RRF127" s="77"/>
      <c r="RRG127" s="77"/>
      <c r="RRH127" s="77"/>
      <c r="RRI127" s="77"/>
      <c r="RRJ127" s="77"/>
      <c r="RRK127" s="77"/>
      <c r="RRL127" s="77"/>
      <c r="RRM127" s="77"/>
      <c r="RRN127" s="77"/>
      <c r="RRO127" s="77"/>
      <c r="RRP127" s="77"/>
      <c r="RRQ127" s="77"/>
      <c r="RRR127" s="77"/>
      <c r="RRS127" s="77"/>
      <c r="RRT127" s="77"/>
      <c r="RRU127" s="77"/>
      <c r="RRV127" s="77"/>
      <c r="RRW127" s="77"/>
      <c r="RRX127" s="77"/>
      <c r="RRY127" s="77"/>
      <c r="RRZ127" s="77"/>
      <c r="RSA127" s="77"/>
      <c r="RSB127" s="77"/>
      <c r="RSC127" s="77"/>
      <c r="RSD127" s="77"/>
      <c r="RSE127" s="77"/>
      <c r="RSF127" s="77"/>
      <c r="RSG127" s="77"/>
      <c r="RSH127" s="77"/>
      <c r="RSI127" s="77"/>
      <c r="RSJ127" s="77"/>
      <c r="RSK127" s="77"/>
      <c r="RSL127" s="77"/>
      <c r="RSM127" s="77"/>
      <c r="RSN127" s="77"/>
      <c r="RSO127" s="77"/>
      <c r="RSP127" s="77"/>
      <c r="RSQ127" s="77"/>
      <c r="RSR127" s="77"/>
      <c r="RSS127" s="77"/>
      <c r="RST127" s="77"/>
      <c r="RSU127" s="77"/>
      <c r="RSV127" s="77"/>
      <c r="RSW127" s="77"/>
      <c r="RSX127" s="77"/>
      <c r="RSY127" s="77"/>
      <c r="RSZ127" s="77"/>
      <c r="RTA127" s="77"/>
      <c r="RTB127" s="77"/>
      <c r="RTC127" s="77"/>
      <c r="RTD127" s="77"/>
      <c r="RTE127" s="77"/>
      <c r="RTF127" s="77"/>
      <c r="RTG127" s="77"/>
      <c r="RTH127" s="77"/>
      <c r="RTI127" s="77"/>
      <c r="RTJ127" s="77"/>
      <c r="RTK127" s="77"/>
      <c r="RTL127" s="77"/>
      <c r="RTM127" s="77"/>
      <c r="RTN127" s="77"/>
      <c r="RTO127" s="77"/>
      <c r="RTP127" s="77"/>
      <c r="RTQ127" s="77"/>
      <c r="RTR127" s="77"/>
      <c r="RTS127" s="77"/>
      <c r="RTT127" s="77"/>
      <c r="RTU127" s="77"/>
      <c r="RTV127" s="77"/>
      <c r="RTW127" s="77"/>
      <c r="RTX127" s="77"/>
      <c r="RTY127" s="77"/>
      <c r="RTZ127" s="77"/>
      <c r="RUA127" s="77"/>
      <c r="RUB127" s="77"/>
      <c r="RUC127" s="77"/>
      <c r="RUD127" s="77"/>
      <c r="RUE127" s="77"/>
      <c r="RUF127" s="77"/>
      <c r="RUG127" s="77"/>
      <c r="RUH127" s="77"/>
      <c r="RUI127" s="77"/>
      <c r="RUJ127" s="77"/>
      <c r="RUK127" s="77"/>
      <c r="RUL127" s="77"/>
      <c r="RUM127" s="77"/>
      <c r="RUN127" s="77"/>
      <c r="RUO127" s="77"/>
      <c r="RUP127" s="77"/>
      <c r="RUQ127" s="77"/>
      <c r="RUR127" s="77"/>
      <c r="RUS127" s="77"/>
      <c r="RUT127" s="77"/>
      <c r="RUU127" s="77"/>
      <c r="RUV127" s="77"/>
      <c r="RUW127" s="77"/>
      <c r="RUX127" s="77"/>
      <c r="RUY127" s="77"/>
      <c r="RUZ127" s="77"/>
      <c r="RVA127" s="77"/>
      <c r="RVB127" s="77"/>
      <c r="RVC127" s="77"/>
      <c r="RVD127" s="77"/>
      <c r="RVE127" s="77"/>
      <c r="RVF127" s="77"/>
      <c r="RVG127" s="77"/>
      <c r="RVH127" s="77"/>
      <c r="RVI127" s="77"/>
      <c r="RVJ127" s="77"/>
      <c r="RVK127" s="77"/>
      <c r="RVL127" s="77"/>
      <c r="RVM127" s="77"/>
      <c r="RVN127" s="77"/>
      <c r="RVO127" s="77"/>
      <c r="RVP127" s="77"/>
      <c r="RVQ127" s="77"/>
      <c r="RVR127" s="77"/>
      <c r="RVS127" s="77"/>
      <c r="RVT127" s="77"/>
      <c r="RVU127" s="77"/>
      <c r="RVV127" s="77"/>
      <c r="RVW127" s="77"/>
      <c r="RVX127" s="77"/>
      <c r="RVY127" s="77"/>
      <c r="RVZ127" s="77"/>
      <c r="RWA127" s="77"/>
      <c r="RWB127" s="77"/>
      <c r="RWC127" s="77"/>
      <c r="RWD127" s="77"/>
      <c r="RWE127" s="77"/>
      <c r="RWF127" s="77"/>
      <c r="RWG127" s="77"/>
      <c r="RWH127" s="77"/>
      <c r="RWI127" s="77"/>
      <c r="RWJ127" s="77"/>
      <c r="RWK127" s="77"/>
      <c r="RWL127" s="77"/>
      <c r="RWM127" s="77"/>
      <c r="RWN127" s="77"/>
      <c r="RWO127" s="77"/>
      <c r="RWP127" s="77"/>
      <c r="RWQ127" s="77"/>
      <c r="RWR127" s="77"/>
      <c r="RWS127" s="77"/>
      <c r="RWT127" s="77"/>
      <c r="RWU127" s="77"/>
      <c r="RWV127" s="77"/>
      <c r="RWW127" s="77"/>
      <c r="RWX127" s="77"/>
      <c r="RWY127" s="77"/>
      <c r="RWZ127" s="77"/>
      <c r="RXA127" s="77"/>
      <c r="RXB127" s="77"/>
      <c r="RXC127" s="77"/>
      <c r="RXD127" s="77"/>
      <c r="RXE127" s="77"/>
      <c r="RXF127" s="77"/>
      <c r="RXG127" s="77"/>
      <c r="RXH127" s="77"/>
      <c r="RXI127" s="77"/>
      <c r="RXJ127" s="77"/>
      <c r="RXK127" s="77"/>
      <c r="RXL127" s="77"/>
      <c r="RXM127" s="77"/>
      <c r="RXN127" s="77"/>
      <c r="RXO127" s="77"/>
      <c r="RXP127" s="77"/>
      <c r="RXQ127" s="77"/>
      <c r="RXR127" s="77"/>
      <c r="RXS127" s="77"/>
      <c r="RXT127" s="77"/>
      <c r="RXU127" s="77"/>
      <c r="RXV127" s="77"/>
      <c r="RXW127" s="77"/>
      <c r="RXX127" s="77"/>
      <c r="RXY127" s="77"/>
      <c r="RXZ127" s="77"/>
      <c r="RYA127" s="77"/>
      <c r="RYB127" s="77"/>
      <c r="RYC127" s="77"/>
      <c r="RYD127" s="77"/>
      <c r="RYE127" s="77"/>
      <c r="RYF127" s="77"/>
      <c r="RYG127" s="77"/>
      <c r="RYH127" s="77"/>
      <c r="RYI127" s="77"/>
      <c r="RYJ127" s="77"/>
      <c r="RYK127" s="77"/>
      <c r="RYL127" s="77"/>
      <c r="RYM127" s="77"/>
      <c r="RYN127" s="77"/>
      <c r="RYO127" s="77"/>
      <c r="RYP127" s="77"/>
      <c r="RYQ127" s="77"/>
      <c r="RYR127" s="77"/>
      <c r="RYS127" s="77"/>
      <c r="RYT127" s="77"/>
      <c r="RYU127" s="77"/>
      <c r="RYV127" s="77"/>
      <c r="RYW127" s="77"/>
      <c r="RYX127" s="77"/>
      <c r="RYY127" s="77"/>
      <c r="RYZ127" s="77"/>
      <c r="RZA127" s="77"/>
      <c r="RZB127" s="77"/>
      <c r="RZC127" s="77"/>
      <c r="RZD127" s="77"/>
      <c r="RZE127" s="77"/>
      <c r="RZF127" s="77"/>
      <c r="RZG127" s="77"/>
      <c r="RZH127" s="77"/>
      <c r="RZI127" s="77"/>
      <c r="RZJ127" s="77"/>
      <c r="RZK127" s="77"/>
      <c r="RZL127" s="77"/>
      <c r="RZM127" s="77"/>
      <c r="RZN127" s="77"/>
      <c r="RZO127" s="77"/>
      <c r="RZP127" s="77"/>
      <c r="RZQ127" s="77"/>
      <c r="RZR127" s="77"/>
      <c r="RZS127" s="77"/>
      <c r="RZT127" s="77"/>
      <c r="RZU127" s="77"/>
      <c r="RZV127" s="77"/>
      <c r="RZW127" s="77"/>
      <c r="RZX127" s="77"/>
      <c r="RZY127" s="77"/>
      <c r="RZZ127" s="77"/>
      <c r="SAA127" s="77"/>
      <c r="SAB127" s="77"/>
      <c r="SAC127" s="77"/>
      <c r="SAD127" s="77"/>
      <c r="SAE127" s="77"/>
      <c r="SAF127" s="77"/>
      <c r="SAG127" s="77"/>
      <c r="SAH127" s="77"/>
      <c r="SAI127" s="77"/>
      <c r="SAJ127" s="77"/>
      <c r="SAK127" s="77"/>
      <c r="SAL127" s="77"/>
      <c r="SAM127" s="77"/>
      <c r="SAN127" s="77"/>
      <c r="SAO127" s="77"/>
      <c r="SAP127" s="77"/>
      <c r="SAQ127" s="77"/>
      <c r="SAR127" s="77"/>
      <c r="SAS127" s="77"/>
      <c r="SAT127" s="77"/>
      <c r="SAU127" s="77"/>
      <c r="SAV127" s="77"/>
      <c r="SAW127" s="77"/>
      <c r="SAX127" s="77"/>
      <c r="SAY127" s="77"/>
      <c r="SAZ127" s="77"/>
      <c r="SBA127" s="77"/>
      <c r="SBB127" s="77"/>
      <c r="SBC127" s="77"/>
      <c r="SBD127" s="77"/>
      <c r="SBE127" s="77"/>
      <c r="SBF127" s="77"/>
      <c r="SBG127" s="77"/>
      <c r="SBH127" s="77"/>
      <c r="SBI127" s="77"/>
      <c r="SBJ127" s="77"/>
      <c r="SBK127" s="77"/>
      <c r="SBL127" s="77"/>
      <c r="SBM127" s="77"/>
      <c r="SBN127" s="77"/>
      <c r="SBO127" s="77"/>
      <c r="SBP127" s="77"/>
      <c r="SBQ127" s="77"/>
      <c r="SBR127" s="77"/>
      <c r="SBS127" s="77"/>
      <c r="SBT127" s="77"/>
      <c r="SBU127" s="77"/>
      <c r="SBV127" s="77"/>
      <c r="SBW127" s="77"/>
      <c r="SBX127" s="77"/>
      <c r="SBY127" s="77"/>
      <c r="SBZ127" s="77"/>
      <c r="SCA127" s="77"/>
      <c r="SCB127" s="77"/>
      <c r="SCC127" s="77"/>
      <c r="SCD127" s="77"/>
      <c r="SCE127" s="77"/>
      <c r="SCF127" s="77"/>
      <c r="SCG127" s="77"/>
      <c r="SCH127" s="77"/>
      <c r="SCI127" s="77"/>
      <c r="SCJ127" s="77"/>
      <c r="SCK127" s="77"/>
      <c r="SCL127" s="77"/>
      <c r="SCM127" s="77"/>
      <c r="SCN127" s="77"/>
      <c r="SCO127" s="77"/>
      <c r="SCP127" s="77"/>
      <c r="SCQ127" s="77"/>
      <c r="SCR127" s="77"/>
      <c r="SCS127" s="77"/>
      <c r="SCT127" s="77"/>
      <c r="SCU127" s="77"/>
      <c r="SCV127" s="77"/>
      <c r="SCW127" s="77"/>
      <c r="SCX127" s="77"/>
      <c r="SCY127" s="77"/>
      <c r="SCZ127" s="77"/>
      <c r="SDA127" s="77"/>
      <c r="SDB127" s="77"/>
      <c r="SDC127" s="77"/>
      <c r="SDD127" s="77"/>
      <c r="SDE127" s="77"/>
      <c r="SDF127" s="77"/>
      <c r="SDG127" s="77"/>
      <c r="SDH127" s="77"/>
      <c r="SDI127" s="77"/>
      <c r="SDJ127" s="77"/>
      <c r="SDK127" s="77"/>
      <c r="SDL127" s="77"/>
      <c r="SDM127" s="77"/>
      <c r="SDN127" s="77"/>
      <c r="SDO127" s="77"/>
      <c r="SDP127" s="77"/>
      <c r="SDQ127" s="77"/>
      <c r="SDR127" s="77"/>
      <c r="SDS127" s="77"/>
      <c r="SDT127" s="77"/>
      <c r="SDU127" s="77"/>
      <c r="SDV127" s="77"/>
      <c r="SDW127" s="77"/>
      <c r="SDX127" s="77"/>
      <c r="SDY127" s="77"/>
      <c r="SDZ127" s="77"/>
      <c r="SEA127" s="77"/>
      <c r="SEB127" s="77"/>
      <c r="SEC127" s="77"/>
      <c r="SED127" s="77"/>
      <c r="SEE127" s="77"/>
      <c r="SEF127" s="77"/>
      <c r="SEG127" s="77"/>
      <c r="SEH127" s="77"/>
      <c r="SEI127" s="77"/>
      <c r="SEJ127" s="77"/>
      <c r="SEK127" s="77"/>
      <c r="SEL127" s="77"/>
      <c r="SEM127" s="77"/>
      <c r="SEN127" s="77"/>
      <c r="SEO127" s="77"/>
      <c r="SEP127" s="77"/>
      <c r="SEQ127" s="77"/>
      <c r="SER127" s="77"/>
      <c r="SES127" s="77"/>
      <c r="SET127" s="77"/>
      <c r="SEU127" s="77"/>
      <c r="SEV127" s="77"/>
      <c r="SEW127" s="77"/>
      <c r="SEX127" s="77"/>
      <c r="SEY127" s="77"/>
      <c r="SEZ127" s="77"/>
      <c r="SFA127" s="77"/>
      <c r="SFB127" s="77"/>
      <c r="SFC127" s="77"/>
      <c r="SFD127" s="77"/>
      <c r="SFE127" s="77"/>
      <c r="SFF127" s="77"/>
      <c r="SFG127" s="77"/>
      <c r="SFH127" s="77"/>
      <c r="SFI127" s="77"/>
      <c r="SFJ127" s="77"/>
      <c r="SFK127" s="77"/>
      <c r="SFL127" s="77"/>
      <c r="SFM127" s="77"/>
      <c r="SFN127" s="77"/>
      <c r="SFO127" s="77"/>
      <c r="SFP127" s="77"/>
      <c r="SFQ127" s="77"/>
      <c r="SFR127" s="77"/>
      <c r="SFS127" s="77"/>
      <c r="SFT127" s="77"/>
      <c r="SFU127" s="77"/>
      <c r="SFV127" s="77"/>
      <c r="SFW127" s="77"/>
      <c r="SFX127" s="77"/>
      <c r="SFY127" s="77"/>
      <c r="SFZ127" s="77"/>
      <c r="SGA127" s="77"/>
      <c r="SGB127" s="77"/>
      <c r="SGC127" s="77"/>
      <c r="SGD127" s="77"/>
      <c r="SGE127" s="77"/>
      <c r="SGF127" s="77"/>
      <c r="SGG127" s="77"/>
      <c r="SGH127" s="77"/>
      <c r="SGI127" s="77"/>
      <c r="SGJ127" s="77"/>
      <c r="SGK127" s="77"/>
      <c r="SGL127" s="77"/>
      <c r="SGM127" s="77"/>
      <c r="SGN127" s="77"/>
      <c r="SGO127" s="77"/>
      <c r="SGP127" s="77"/>
      <c r="SGQ127" s="77"/>
      <c r="SGR127" s="77"/>
      <c r="SGS127" s="77"/>
      <c r="SGT127" s="77"/>
      <c r="SGU127" s="77"/>
      <c r="SGV127" s="77"/>
      <c r="SGW127" s="77"/>
      <c r="SGX127" s="77"/>
      <c r="SGY127" s="77"/>
      <c r="SGZ127" s="77"/>
      <c r="SHA127" s="77"/>
      <c r="SHB127" s="77"/>
      <c r="SHC127" s="77"/>
      <c r="SHD127" s="77"/>
      <c r="SHE127" s="77"/>
      <c r="SHF127" s="77"/>
      <c r="SHG127" s="77"/>
      <c r="SHH127" s="77"/>
      <c r="SHI127" s="77"/>
      <c r="SHJ127" s="77"/>
      <c r="SHK127" s="77"/>
      <c r="SHL127" s="77"/>
      <c r="SHM127" s="77"/>
      <c r="SHN127" s="77"/>
      <c r="SHO127" s="77"/>
      <c r="SHP127" s="77"/>
      <c r="SHQ127" s="77"/>
      <c r="SHR127" s="77"/>
      <c r="SHS127" s="77"/>
      <c r="SHT127" s="77"/>
      <c r="SHU127" s="77"/>
      <c r="SHV127" s="77"/>
      <c r="SHW127" s="77"/>
      <c r="SHX127" s="77"/>
      <c r="SHY127" s="77"/>
      <c r="SHZ127" s="77"/>
      <c r="SIA127" s="77"/>
      <c r="SIB127" s="77"/>
      <c r="SIC127" s="77"/>
      <c r="SID127" s="77"/>
      <c r="SIE127" s="77"/>
      <c r="SIF127" s="77"/>
      <c r="SIG127" s="77"/>
      <c r="SIH127" s="77"/>
      <c r="SII127" s="77"/>
      <c r="SIJ127" s="77"/>
      <c r="SIK127" s="77"/>
      <c r="SIL127" s="77"/>
      <c r="SIM127" s="77"/>
      <c r="SIN127" s="77"/>
      <c r="SIO127" s="77"/>
      <c r="SIP127" s="77"/>
      <c r="SIQ127" s="77"/>
      <c r="SIR127" s="77"/>
      <c r="SIS127" s="77"/>
      <c r="SIT127" s="77"/>
      <c r="SIU127" s="77"/>
      <c r="SIV127" s="77"/>
      <c r="SIW127" s="77"/>
      <c r="SIX127" s="77"/>
      <c r="SIY127" s="77"/>
      <c r="SIZ127" s="77"/>
      <c r="SJA127" s="77"/>
      <c r="SJB127" s="77"/>
      <c r="SJC127" s="77"/>
      <c r="SJD127" s="77"/>
      <c r="SJE127" s="77"/>
      <c r="SJF127" s="77"/>
      <c r="SJG127" s="77"/>
      <c r="SJH127" s="77"/>
      <c r="SJI127" s="77"/>
      <c r="SJJ127" s="77"/>
      <c r="SJK127" s="77"/>
      <c r="SJL127" s="77"/>
      <c r="SJM127" s="77"/>
      <c r="SJN127" s="77"/>
      <c r="SJO127" s="77"/>
      <c r="SJP127" s="77"/>
      <c r="SJQ127" s="77"/>
      <c r="SJR127" s="77"/>
      <c r="SJS127" s="77"/>
      <c r="SJT127" s="77"/>
      <c r="SJU127" s="77"/>
      <c r="SJV127" s="77"/>
      <c r="SJW127" s="77"/>
      <c r="SJX127" s="77"/>
      <c r="SJY127" s="77"/>
      <c r="SJZ127" s="77"/>
      <c r="SKA127" s="77"/>
      <c r="SKB127" s="77"/>
      <c r="SKC127" s="77"/>
      <c r="SKD127" s="77"/>
      <c r="SKE127" s="77"/>
      <c r="SKF127" s="77"/>
      <c r="SKG127" s="77"/>
      <c r="SKH127" s="77"/>
      <c r="SKI127" s="77"/>
      <c r="SKJ127" s="77"/>
      <c r="SKK127" s="77"/>
      <c r="SKL127" s="77"/>
      <c r="SKM127" s="77"/>
      <c r="SKN127" s="77"/>
      <c r="SKO127" s="77"/>
      <c r="SKP127" s="77"/>
      <c r="SKQ127" s="77"/>
      <c r="SKR127" s="77"/>
      <c r="SKS127" s="77"/>
      <c r="SKT127" s="77"/>
      <c r="SKU127" s="77"/>
      <c r="SKV127" s="77"/>
      <c r="SKW127" s="77"/>
      <c r="SKX127" s="77"/>
      <c r="SKY127" s="77"/>
      <c r="SKZ127" s="77"/>
      <c r="SLA127" s="77"/>
      <c r="SLB127" s="77"/>
      <c r="SLC127" s="77"/>
      <c r="SLD127" s="77"/>
      <c r="SLE127" s="77"/>
      <c r="SLF127" s="77"/>
      <c r="SLG127" s="77"/>
      <c r="SLH127" s="77"/>
      <c r="SLI127" s="77"/>
      <c r="SLJ127" s="77"/>
      <c r="SLK127" s="77"/>
      <c r="SLL127" s="77"/>
      <c r="SLM127" s="77"/>
      <c r="SLN127" s="77"/>
      <c r="SLO127" s="77"/>
      <c r="SLP127" s="77"/>
      <c r="SLQ127" s="77"/>
      <c r="SLR127" s="77"/>
      <c r="SLS127" s="77"/>
      <c r="SLT127" s="77"/>
      <c r="SLU127" s="77"/>
      <c r="SLV127" s="77"/>
      <c r="SLW127" s="77"/>
      <c r="SLX127" s="77"/>
      <c r="SLY127" s="77"/>
      <c r="SLZ127" s="77"/>
      <c r="SMA127" s="77"/>
      <c r="SMB127" s="77"/>
      <c r="SMC127" s="77"/>
      <c r="SMD127" s="77"/>
      <c r="SME127" s="77"/>
      <c r="SMF127" s="77"/>
      <c r="SMG127" s="77"/>
      <c r="SMH127" s="77"/>
      <c r="SMI127" s="77"/>
      <c r="SMJ127" s="77"/>
      <c r="SMK127" s="77"/>
      <c r="SML127" s="77"/>
      <c r="SMM127" s="77"/>
      <c r="SMN127" s="77"/>
      <c r="SMO127" s="77"/>
      <c r="SMP127" s="77"/>
      <c r="SMQ127" s="77"/>
      <c r="SMR127" s="77"/>
      <c r="SMS127" s="77"/>
      <c r="SMT127" s="77"/>
      <c r="SMU127" s="77"/>
      <c r="SMV127" s="77"/>
      <c r="SMW127" s="77"/>
      <c r="SMX127" s="77"/>
      <c r="SMY127" s="77"/>
      <c r="SMZ127" s="77"/>
      <c r="SNA127" s="77"/>
      <c r="SNB127" s="77"/>
      <c r="SNC127" s="77"/>
      <c r="SND127" s="77"/>
      <c r="SNE127" s="77"/>
      <c r="SNF127" s="77"/>
      <c r="SNG127" s="77"/>
      <c r="SNH127" s="77"/>
      <c r="SNI127" s="77"/>
      <c r="SNJ127" s="77"/>
      <c r="SNK127" s="77"/>
      <c r="SNL127" s="77"/>
      <c r="SNM127" s="77"/>
      <c r="SNN127" s="77"/>
      <c r="SNO127" s="77"/>
      <c r="SNP127" s="77"/>
      <c r="SNQ127" s="77"/>
      <c r="SNR127" s="77"/>
      <c r="SNS127" s="77"/>
      <c r="SNT127" s="77"/>
      <c r="SNU127" s="77"/>
      <c r="SNV127" s="77"/>
      <c r="SNW127" s="77"/>
      <c r="SNX127" s="77"/>
      <c r="SNY127" s="77"/>
      <c r="SNZ127" s="77"/>
      <c r="SOA127" s="77"/>
      <c r="SOB127" s="77"/>
      <c r="SOC127" s="77"/>
      <c r="SOD127" s="77"/>
      <c r="SOE127" s="77"/>
      <c r="SOF127" s="77"/>
      <c r="SOG127" s="77"/>
      <c r="SOH127" s="77"/>
      <c r="SOI127" s="77"/>
      <c r="SOJ127" s="77"/>
      <c r="SOK127" s="77"/>
      <c r="SOL127" s="77"/>
      <c r="SOM127" s="77"/>
      <c r="SON127" s="77"/>
      <c r="SOO127" s="77"/>
      <c r="SOP127" s="77"/>
      <c r="SOQ127" s="77"/>
      <c r="SOR127" s="77"/>
      <c r="SOS127" s="77"/>
      <c r="SOT127" s="77"/>
      <c r="SOU127" s="77"/>
      <c r="SOV127" s="77"/>
      <c r="SOW127" s="77"/>
      <c r="SOX127" s="77"/>
      <c r="SOY127" s="77"/>
      <c r="SOZ127" s="77"/>
      <c r="SPA127" s="77"/>
      <c r="SPB127" s="77"/>
      <c r="SPC127" s="77"/>
      <c r="SPD127" s="77"/>
      <c r="SPE127" s="77"/>
      <c r="SPF127" s="77"/>
      <c r="SPG127" s="77"/>
      <c r="SPH127" s="77"/>
      <c r="SPI127" s="77"/>
      <c r="SPJ127" s="77"/>
      <c r="SPK127" s="77"/>
      <c r="SPL127" s="77"/>
      <c r="SPM127" s="77"/>
      <c r="SPN127" s="77"/>
      <c r="SPO127" s="77"/>
      <c r="SPP127" s="77"/>
      <c r="SPQ127" s="77"/>
      <c r="SPR127" s="77"/>
      <c r="SPS127" s="77"/>
      <c r="SPT127" s="77"/>
      <c r="SPU127" s="77"/>
      <c r="SPV127" s="77"/>
      <c r="SPW127" s="77"/>
      <c r="SPX127" s="77"/>
      <c r="SPY127" s="77"/>
      <c r="SPZ127" s="77"/>
      <c r="SQA127" s="77"/>
      <c r="SQB127" s="77"/>
      <c r="SQC127" s="77"/>
      <c r="SQD127" s="77"/>
      <c r="SQE127" s="77"/>
      <c r="SQF127" s="77"/>
      <c r="SQG127" s="77"/>
      <c r="SQH127" s="77"/>
      <c r="SQI127" s="77"/>
      <c r="SQJ127" s="77"/>
      <c r="SQK127" s="77"/>
      <c r="SQL127" s="77"/>
      <c r="SQM127" s="77"/>
      <c r="SQN127" s="77"/>
      <c r="SQO127" s="77"/>
      <c r="SQP127" s="77"/>
      <c r="SQQ127" s="77"/>
      <c r="SQR127" s="77"/>
      <c r="SQS127" s="77"/>
      <c r="SQT127" s="77"/>
      <c r="SQU127" s="77"/>
      <c r="SQV127" s="77"/>
      <c r="SQW127" s="77"/>
      <c r="SQX127" s="77"/>
      <c r="SQY127" s="77"/>
      <c r="SQZ127" s="77"/>
      <c r="SRA127" s="77"/>
      <c r="SRB127" s="77"/>
      <c r="SRC127" s="77"/>
      <c r="SRD127" s="77"/>
      <c r="SRE127" s="77"/>
      <c r="SRF127" s="77"/>
      <c r="SRG127" s="77"/>
      <c r="SRH127" s="77"/>
      <c r="SRI127" s="77"/>
      <c r="SRJ127" s="77"/>
      <c r="SRK127" s="77"/>
      <c r="SRL127" s="77"/>
      <c r="SRM127" s="77"/>
      <c r="SRN127" s="77"/>
      <c r="SRO127" s="77"/>
      <c r="SRP127" s="77"/>
      <c r="SRQ127" s="77"/>
      <c r="SRR127" s="77"/>
      <c r="SRS127" s="77"/>
      <c r="SRT127" s="77"/>
      <c r="SRU127" s="77"/>
      <c r="SRV127" s="77"/>
      <c r="SRW127" s="77"/>
      <c r="SRX127" s="77"/>
      <c r="SRY127" s="77"/>
      <c r="SRZ127" s="77"/>
      <c r="SSA127" s="77"/>
      <c r="SSB127" s="77"/>
      <c r="SSC127" s="77"/>
      <c r="SSD127" s="77"/>
      <c r="SSE127" s="77"/>
      <c r="SSF127" s="77"/>
      <c r="SSG127" s="77"/>
      <c r="SSH127" s="77"/>
      <c r="SSI127" s="77"/>
      <c r="SSJ127" s="77"/>
      <c r="SSK127" s="77"/>
      <c r="SSL127" s="77"/>
      <c r="SSM127" s="77"/>
      <c r="SSN127" s="77"/>
      <c r="SSO127" s="77"/>
      <c r="SSP127" s="77"/>
      <c r="SSQ127" s="77"/>
      <c r="SSR127" s="77"/>
      <c r="SSS127" s="77"/>
      <c r="SST127" s="77"/>
      <c r="SSU127" s="77"/>
      <c r="SSV127" s="77"/>
      <c r="SSW127" s="77"/>
      <c r="SSX127" s="77"/>
      <c r="SSY127" s="77"/>
      <c r="SSZ127" s="77"/>
      <c r="STA127" s="77"/>
      <c r="STB127" s="77"/>
      <c r="STC127" s="77"/>
      <c r="STD127" s="77"/>
      <c r="STE127" s="77"/>
      <c r="STF127" s="77"/>
      <c r="STG127" s="77"/>
      <c r="STH127" s="77"/>
      <c r="STI127" s="77"/>
      <c r="STJ127" s="77"/>
      <c r="STK127" s="77"/>
      <c r="STL127" s="77"/>
      <c r="STM127" s="77"/>
      <c r="STN127" s="77"/>
      <c r="STO127" s="77"/>
      <c r="STP127" s="77"/>
      <c r="STQ127" s="77"/>
      <c r="STR127" s="77"/>
      <c r="STS127" s="77"/>
      <c r="STT127" s="77"/>
      <c r="STU127" s="77"/>
      <c r="STV127" s="77"/>
      <c r="STW127" s="77"/>
      <c r="STX127" s="77"/>
      <c r="STY127" s="77"/>
      <c r="STZ127" s="77"/>
      <c r="SUA127" s="77"/>
      <c r="SUB127" s="77"/>
      <c r="SUC127" s="77"/>
      <c r="SUD127" s="77"/>
      <c r="SUE127" s="77"/>
      <c r="SUF127" s="77"/>
      <c r="SUG127" s="77"/>
      <c r="SUH127" s="77"/>
      <c r="SUI127" s="77"/>
      <c r="SUJ127" s="77"/>
      <c r="SUK127" s="77"/>
      <c r="SUL127" s="77"/>
      <c r="SUM127" s="77"/>
      <c r="SUN127" s="77"/>
      <c r="SUO127" s="77"/>
      <c r="SUP127" s="77"/>
      <c r="SUQ127" s="77"/>
      <c r="SUR127" s="77"/>
      <c r="SUS127" s="77"/>
      <c r="SUT127" s="77"/>
      <c r="SUU127" s="77"/>
      <c r="SUV127" s="77"/>
      <c r="SUW127" s="77"/>
      <c r="SUX127" s="77"/>
      <c r="SUY127" s="77"/>
      <c r="SUZ127" s="77"/>
      <c r="SVA127" s="77"/>
      <c r="SVB127" s="77"/>
      <c r="SVC127" s="77"/>
      <c r="SVD127" s="77"/>
      <c r="SVE127" s="77"/>
      <c r="SVF127" s="77"/>
      <c r="SVG127" s="77"/>
      <c r="SVH127" s="77"/>
      <c r="SVI127" s="77"/>
      <c r="SVJ127" s="77"/>
      <c r="SVK127" s="77"/>
      <c r="SVL127" s="77"/>
      <c r="SVM127" s="77"/>
      <c r="SVN127" s="77"/>
      <c r="SVO127" s="77"/>
      <c r="SVP127" s="77"/>
      <c r="SVQ127" s="77"/>
      <c r="SVR127" s="77"/>
      <c r="SVS127" s="77"/>
      <c r="SVT127" s="77"/>
      <c r="SVU127" s="77"/>
      <c r="SVV127" s="77"/>
      <c r="SVW127" s="77"/>
      <c r="SVX127" s="77"/>
      <c r="SVY127" s="77"/>
      <c r="SVZ127" s="77"/>
      <c r="SWA127" s="77"/>
      <c r="SWB127" s="77"/>
      <c r="SWC127" s="77"/>
      <c r="SWD127" s="77"/>
      <c r="SWE127" s="77"/>
      <c r="SWF127" s="77"/>
      <c r="SWG127" s="77"/>
      <c r="SWH127" s="77"/>
      <c r="SWI127" s="77"/>
      <c r="SWJ127" s="77"/>
      <c r="SWK127" s="77"/>
      <c r="SWL127" s="77"/>
      <c r="SWM127" s="77"/>
      <c r="SWN127" s="77"/>
      <c r="SWO127" s="77"/>
      <c r="SWP127" s="77"/>
      <c r="SWQ127" s="77"/>
      <c r="SWR127" s="77"/>
      <c r="SWS127" s="77"/>
      <c r="SWT127" s="77"/>
      <c r="SWU127" s="77"/>
      <c r="SWV127" s="77"/>
      <c r="SWW127" s="77"/>
      <c r="SWX127" s="77"/>
      <c r="SWY127" s="77"/>
      <c r="SWZ127" s="77"/>
      <c r="SXA127" s="77"/>
      <c r="SXB127" s="77"/>
      <c r="SXC127" s="77"/>
      <c r="SXD127" s="77"/>
      <c r="SXE127" s="77"/>
      <c r="SXF127" s="77"/>
      <c r="SXG127" s="77"/>
      <c r="SXH127" s="77"/>
      <c r="SXI127" s="77"/>
      <c r="SXJ127" s="77"/>
      <c r="SXK127" s="77"/>
      <c r="SXL127" s="77"/>
      <c r="SXM127" s="77"/>
      <c r="SXN127" s="77"/>
      <c r="SXO127" s="77"/>
      <c r="SXP127" s="77"/>
      <c r="SXQ127" s="77"/>
      <c r="SXR127" s="77"/>
      <c r="SXS127" s="77"/>
      <c r="SXT127" s="77"/>
      <c r="SXU127" s="77"/>
      <c r="SXV127" s="77"/>
      <c r="SXW127" s="77"/>
      <c r="SXX127" s="77"/>
      <c r="SXY127" s="77"/>
      <c r="SXZ127" s="77"/>
      <c r="SYA127" s="77"/>
      <c r="SYB127" s="77"/>
      <c r="SYC127" s="77"/>
      <c r="SYD127" s="77"/>
      <c r="SYE127" s="77"/>
      <c r="SYF127" s="77"/>
      <c r="SYG127" s="77"/>
      <c r="SYH127" s="77"/>
      <c r="SYI127" s="77"/>
      <c r="SYJ127" s="77"/>
      <c r="SYK127" s="77"/>
      <c r="SYL127" s="77"/>
      <c r="SYM127" s="77"/>
      <c r="SYN127" s="77"/>
      <c r="SYO127" s="77"/>
      <c r="SYP127" s="77"/>
      <c r="SYQ127" s="77"/>
      <c r="SYR127" s="77"/>
      <c r="SYS127" s="77"/>
      <c r="SYT127" s="77"/>
      <c r="SYU127" s="77"/>
      <c r="SYV127" s="77"/>
      <c r="SYW127" s="77"/>
      <c r="SYX127" s="77"/>
      <c r="SYY127" s="77"/>
      <c r="SYZ127" s="77"/>
      <c r="SZA127" s="77"/>
      <c r="SZB127" s="77"/>
      <c r="SZC127" s="77"/>
      <c r="SZD127" s="77"/>
      <c r="SZE127" s="77"/>
      <c r="SZF127" s="77"/>
      <c r="SZG127" s="77"/>
      <c r="SZH127" s="77"/>
      <c r="SZI127" s="77"/>
      <c r="SZJ127" s="77"/>
      <c r="SZK127" s="77"/>
      <c r="SZL127" s="77"/>
      <c r="SZM127" s="77"/>
      <c r="SZN127" s="77"/>
      <c r="SZO127" s="77"/>
      <c r="SZP127" s="77"/>
      <c r="SZQ127" s="77"/>
      <c r="SZR127" s="77"/>
      <c r="SZS127" s="77"/>
      <c r="SZT127" s="77"/>
      <c r="SZU127" s="77"/>
      <c r="SZV127" s="77"/>
      <c r="SZW127" s="77"/>
      <c r="SZX127" s="77"/>
      <c r="SZY127" s="77"/>
      <c r="SZZ127" s="77"/>
      <c r="TAA127" s="77"/>
      <c r="TAB127" s="77"/>
      <c r="TAC127" s="77"/>
      <c r="TAD127" s="77"/>
      <c r="TAE127" s="77"/>
      <c r="TAF127" s="77"/>
      <c r="TAG127" s="77"/>
      <c r="TAH127" s="77"/>
      <c r="TAI127" s="77"/>
      <c r="TAJ127" s="77"/>
      <c r="TAK127" s="77"/>
      <c r="TAL127" s="77"/>
      <c r="TAM127" s="77"/>
      <c r="TAN127" s="77"/>
      <c r="TAO127" s="77"/>
      <c r="TAP127" s="77"/>
      <c r="TAQ127" s="77"/>
      <c r="TAR127" s="77"/>
      <c r="TAS127" s="77"/>
      <c r="TAT127" s="77"/>
      <c r="TAU127" s="77"/>
      <c r="TAV127" s="77"/>
      <c r="TAW127" s="77"/>
      <c r="TAX127" s="77"/>
      <c r="TAY127" s="77"/>
      <c r="TAZ127" s="77"/>
      <c r="TBA127" s="77"/>
      <c r="TBB127" s="77"/>
      <c r="TBC127" s="77"/>
      <c r="TBD127" s="77"/>
      <c r="TBE127" s="77"/>
      <c r="TBF127" s="77"/>
      <c r="TBG127" s="77"/>
      <c r="TBH127" s="77"/>
      <c r="TBI127" s="77"/>
      <c r="TBJ127" s="77"/>
      <c r="TBK127" s="77"/>
      <c r="TBL127" s="77"/>
      <c r="TBM127" s="77"/>
      <c r="TBN127" s="77"/>
      <c r="TBO127" s="77"/>
      <c r="TBP127" s="77"/>
      <c r="TBQ127" s="77"/>
      <c r="TBR127" s="77"/>
      <c r="TBS127" s="77"/>
      <c r="TBT127" s="77"/>
      <c r="TBU127" s="77"/>
      <c r="TBV127" s="77"/>
      <c r="TBW127" s="77"/>
      <c r="TBX127" s="77"/>
      <c r="TBY127" s="77"/>
      <c r="TBZ127" s="77"/>
      <c r="TCA127" s="77"/>
      <c r="TCB127" s="77"/>
      <c r="TCC127" s="77"/>
      <c r="TCD127" s="77"/>
      <c r="TCE127" s="77"/>
      <c r="TCF127" s="77"/>
      <c r="TCG127" s="77"/>
      <c r="TCH127" s="77"/>
      <c r="TCI127" s="77"/>
      <c r="TCJ127" s="77"/>
      <c r="TCK127" s="77"/>
      <c r="TCL127" s="77"/>
      <c r="TCM127" s="77"/>
      <c r="TCN127" s="77"/>
      <c r="TCO127" s="77"/>
      <c r="TCP127" s="77"/>
      <c r="TCQ127" s="77"/>
      <c r="TCR127" s="77"/>
      <c r="TCS127" s="77"/>
      <c r="TCT127" s="77"/>
      <c r="TCU127" s="77"/>
      <c r="TCV127" s="77"/>
      <c r="TCW127" s="77"/>
      <c r="TCX127" s="77"/>
      <c r="TCY127" s="77"/>
      <c r="TCZ127" s="77"/>
      <c r="TDA127" s="77"/>
      <c r="TDB127" s="77"/>
      <c r="TDC127" s="77"/>
      <c r="TDD127" s="77"/>
      <c r="TDE127" s="77"/>
      <c r="TDF127" s="77"/>
      <c r="TDG127" s="77"/>
      <c r="TDH127" s="77"/>
      <c r="TDI127" s="77"/>
      <c r="TDJ127" s="77"/>
      <c r="TDK127" s="77"/>
      <c r="TDL127" s="77"/>
      <c r="TDM127" s="77"/>
      <c r="TDN127" s="77"/>
      <c r="TDO127" s="77"/>
      <c r="TDP127" s="77"/>
      <c r="TDQ127" s="77"/>
      <c r="TDR127" s="77"/>
      <c r="TDS127" s="77"/>
      <c r="TDT127" s="77"/>
      <c r="TDU127" s="77"/>
      <c r="TDV127" s="77"/>
      <c r="TDW127" s="77"/>
      <c r="TDX127" s="77"/>
      <c r="TDY127" s="77"/>
      <c r="TDZ127" s="77"/>
      <c r="TEA127" s="77"/>
      <c r="TEB127" s="77"/>
      <c r="TEC127" s="77"/>
      <c r="TED127" s="77"/>
      <c r="TEE127" s="77"/>
      <c r="TEF127" s="77"/>
      <c r="TEG127" s="77"/>
      <c r="TEH127" s="77"/>
      <c r="TEI127" s="77"/>
      <c r="TEJ127" s="77"/>
      <c r="TEK127" s="77"/>
      <c r="TEL127" s="77"/>
      <c r="TEM127" s="77"/>
      <c r="TEN127" s="77"/>
      <c r="TEO127" s="77"/>
      <c r="TEP127" s="77"/>
      <c r="TEQ127" s="77"/>
      <c r="TER127" s="77"/>
      <c r="TES127" s="77"/>
      <c r="TET127" s="77"/>
      <c r="TEU127" s="77"/>
      <c r="TEV127" s="77"/>
      <c r="TEW127" s="77"/>
      <c r="TEX127" s="77"/>
      <c r="TEY127" s="77"/>
      <c r="TEZ127" s="77"/>
      <c r="TFA127" s="77"/>
      <c r="TFB127" s="77"/>
      <c r="TFC127" s="77"/>
      <c r="TFD127" s="77"/>
      <c r="TFE127" s="77"/>
      <c r="TFF127" s="77"/>
      <c r="TFG127" s="77"/>
      <c r="TFH127" s="77"/>
      <c r="TFI127" s="77"/>
      <c r="TFJ127" s="77"/>
      <c r="TFK127" s="77"/>
      <c r="TFL127" s="77"/>
      <c r="TFM127" s="77"/>
      <c r="TFN127" s="77"/>
      <c r="TFO127" s="77"/>
      <c r="TFP127" s="77"/>
      <c r="TFQ127" s="77"/>
      <c r="TFR127" s="77"/>
      <c r="TFS127" s="77"/>
      <c r="TFT127" s="77"/>
      <c r="TFU127" s="77"/>
      <c r="TFV127" s="77"/>
      <c r="TFW127" s="77"/>
      <c r="TFX127" s="77"/>
      <c r="TFY127" s="77"/>
      <c r="TFZ127" s="77"/>
      <c r="TGA127" s="77"/>
      <c r="TGB127" s="77"/>
      <c r="TGC127" s="77"/>
      <c r="TGD127" s="77"/>
      <c r="TGE127" s="77"/>
      <c r="TGF127" s="77"/>
      <c r="TGG127" s="77"/>
      <c r="TGH127" s="77"/>
      <c r="TGI127" s="77"/>
      <c r="TGJ127" s="77"/>
      <c r="TGK127" s="77"/>
      <c r="TGL127" s="77"/>
      <c r="TGM127" s="77"/>
      <c r="TGN127" s="77"/>
      <c r="TGO127" s="77"/>
      <c r="TGP127" s="77"/>
      <c r="TGQ127" s="77"/>
      <c r="TGR127" s="77"/>
      <c r="TGS127" s="77"/>
      <c r="TGT127" s="77"/>
      <c r="TGU127" s="77"/>
      <c r="TGV127" s="77"/>
      <c r="TGW127" s="77"/>
      <c r="TGX127" s="77"/>
      <c r="TGY127" s="77"/>
      <c r="TGZ127" s="77"/>
      <c r="THA127" s="77"/>
      <c r="THB127" s="77"/>
      <c r="THC127" s="77"/>
      <c r="THD127" s="77"/>
      <c r="THE127" s="77"/>
      <c r="THF127" s="77"/>
      <c r="THG127" s="77"/>
      <c r="THH127" s="77"/>
      <c r="THI127" s="77"/>
      <c r="THJ127" s="77"/>
      <c r="THK127" s="77"/>
      <c r="THL127" s="77"/>
      <c r="THM127" s="77"/>
      <c r="THN127" s="77"/>
      <c r="THO127" s="77"/>
      <c r="THP127" s="77"/>
      <c r="THQ127" s="77"/>
      <c r="THR127" s="77"/>
      <c r="THS127" s="77"/>
      <c r="THT127" s="77"/>
      <c r="THU127" s="77"/>
      <c r="THV127" s="77"/>
      <c r="THW127" s="77"/>
      <c r="THX127" s="77"/>
      <c r="THY127" s="77"/>
      <c r="THZ127" s="77"/>
      <c r="TIA127" s="77"/>
      <c r="TIB127" s="77"/>
      <c r="TIC127" s="77"/>
      <c r="TID127" s="77"/>
      <c r="TIE127" s="77"/>
      <c r="TIF127" s="77"/>
      <c r="TIG127" s="77"/>
      <c r="TIH127" s="77"/>
      <c r="TII127" s="77"/>
      <c r="TIJ127" s="77"/>
      <c r="TIK127" s="77"/>
      <c r="TIL127" s="77"/>
      <c r="TIM127" s="77"/>
      <c r="TIN127" s="77"/>
      <c r="TIO127" s="77"/>
      <c r="TIP127" s="77"/>
      <c r="TIQ127" s="77"/>
      <c r="TIR127" s="77"/>
      <c r="TIS127" s="77"/>
      <c r="TIT127" s="77"/>
      <c r="TIU127" s="77"/>
      <c r="TIV127" s="77"/>
      <c r="TIW127" s="77"/>
      <c r="TIX127" s="77"/>
      <c r="TIY127" s="77"/>
      <c r="TIZ127" s="77"/>
      <c r="TJA127" s="77"/>
      <c r="TJB127" s="77"/>
      <c r="TJC127" s="77"/>
      <c r="TJD127" s="77"/>
      <c r="TJE127" s="77"/>
      <c r="TJF127" s="77"/>
      <c r="TJG127" s="77"/>
      <c r="TJH127" s="77"/>
      <c r="TJI127" s="77"/>
      <c r="TJJ127" s="77"/>
      <c r="TJK127" s="77"/>
      <c r="TJL127" s="77"/>
      <c r="TJM127" s="77"/>
      <c r="TJN127" s="77"/>
      <c r="TJO127" s="77"/>
      <c r="TJP127" s="77"/>
      <c r="TJQ127" s="77"/>
      <c r="TJR127" s="77"/>
      <c r="TJS127" s="77"/>
      <c r="TJT127" s="77"/>
      <c r="TJU127" s="77"/>
      <c r="TJV127" s="77"/>
      <c r="TJW127" s="77"/>
      <c r="TJX127" s="77"/>
      <c r="TJY127" s="77"/>
      <c r="TJZ127" s="77"/>
      <c r="TKA127" s="77"/>
      <c r="TKB127" s="77"/>
      <c r="TKC127" s="77"/>
      <c r="TKD127" s="77"/>
      <c r="TKE127" s="77"/>
      <c r="TKF127" s="77"/>
      <c r="TKG127" s="77"/>
      <c r="TKH127" s="77"/>
      <c r="TKI127" s="77"/>
      <c r="TKJ127" s="77"/>
      <c r="TKK127" s="77"/>
      <c r="TKL127" s="77"/>
      <c r="TKM127" s="77"/>
      <c r="TKN127" s="77"/>
      <c r="TKO127" s="77"/>
      <c r="TKP127" s="77"/>
      <c r="TKQ127" s="77"/>
      <c r="TKR127" s="77"/>
      <c r="TKS127" s="77"/>
      <c r="TKT127" s="77"/>
      <c r="TKU127" s="77"/>
      <c r="TKV127" s="77"/>
      <c r="TKW127" s="77"/>
      <c r="TKX127" s="77"/>
      <c r="TKY127" s="77"/>
      <c r="TKZ127" s="77"/>
      <c r="TLA127" s="77"/>
      <c r="TLB127" s="77"/>
      <c r="TLC127" s="77"/>
      <c r="TLD127" s="77"/>
      <c r="TLE127" s="77"/>
      <c r="TLF127" s="77"/>
      <c r="TLG127" s="77"/>
      <c r="TLH127" s="77"/>
      <c r="TLI127" s="77"/>
      <c r="TLJ127" s="77"/>
      <c r="TLK127" s="77"/>
      <c r="TLL127" s="77"/>
      <c r="TLM127" s="77"/>
      <c r="TLN127" s="77"/>
      <c r="TLO127" s="77"/>
      <c r="TLP127" s="77"/>
      <c r="TLQ127" s="77"/>
      <c r="TLR127" s="77"/>
      <c r="TLS127" s="77"/>
      <c r="TLT127" s="77"/>
      <c r="TLU127" s="77"/>
      <c r="TLV127" s="77"/>
      <c r="TLW127" s="77"/>
      <c r="TLX127" s="77"/>
      <c r="TLY127" s="77"/>
      <c r="TLZ127" s="77"/>
      <c r="TMA127" s="77"/>
      <c r="TMB127" s="77"/>
      <c r="TMC127" s="77"/>
      <c r="TMD127" s="77"/>
      <c r="TME127" s="77"/>
      <c r="TMF127" s="77"/>
      <c r="TMG127" s="77"/>
      <c r="TMH127" s="77"/>
      <c r="TMI127" s="77"/>
      <c r="TMJ127" s="77"/>
      <c r="TMK127" s="77"/>
      <c r="TML127" s="77"/>
      <c r="TMM127" s="77"/>
      <c r="TMN127" s="77"/>
      <c r="TMO127" s="77"/>
      <c r="TMP127" s="77"/>
      <c r="TMQ127" s="77"/>
      <c r="TMR127" s="77"/>
      <c r="TMS127" s="77"/>
      <c r="TMT127" s="77"/>
      <c r="TMU127" s="77"/>
      <c r="TMV127" s="77"/>
      <c r="TMW127" s="77"/>
      <c r="TMX127" s="77"/>
      <c r="TMY127" s="77"/>
      <c r="TMZ127" s="77"/>
      <c r="TNA127" s="77"/>
      <c r="TNB127" s="77"/>
      <c r="TNC127" s="77"/>
      <c r="TND127" s="77"/>
      <c r="TNE127" s="77"/>
      <c r="TNF127" s="77"/>
      <c r="TNG127" s="77"/>
      <c r="TNH127" s="77"/>
      <c r="TNI127" s="77"/>
      <c r="TNJ127" s="77"/>
      <c r="TNK127" s="77"/>
      <c r="TNL127" s="77"/>
      <c r="TNM127" s="77"/>
      <c r="TNN127" s="77"/>
      <c r="TNO127" s="77"/>
      <c r="TNP127" s="77"/>
      <c r="TNQ127" s="77"/>
      <c r="TNR127" s="77"/>
      <c r="TNS127" s="77"/>
      <c r="TNT127" s="77"/>
      <c r="TNU127" s="77"/>
      <c r="TNV127" s="77"/>
      <c r="TNW127" s="77"/>
      <c r="TNX127" s="77"/>
      <c r="TNY127" s="77"/>
      <c r="TNZ127" s="77"/>
      <c r="TOA127" s="77"/>
      <c r="TOB127" s="77"/>
      <c r="TOC127" s="77"/>
      <c r="TOD127" s="77"/>
      <c r="TOE127" s="77"/>
      <c r="TOF127" s="77"/>
      <c r="TOG127" s="77"/>
      <c r="TOH127" s="77"/>
      <c r="TOI127" s="77"/>
      <c r="TOJ127" s="77"/>
      <c r="TOK127" s="77"/>
      <c r="TOL127" s="77"/>
      <c r="TOM127" s="77"/>
      <c r="TON127" s="77"/>
      <c r="TOO127" s="77"/>
      <c r="TOP127" s="77"/>
      <c r="TOQ127" s="77"/>
      <c r="TOR127" s="77"/>
      <c r="TOS127" s="77"/>
      <c r="TOT127" s="77"/>
      <c r="TOU127" s="77"/>
      <c r="TOV127" s="77"/>
      <c r="TOW127" s="77"/>
      <c r="TOX127" s="77"/>
      <c r="TOY127" s="77"/>
      <c r="TOZ127" s="77"/>
      <c r="TPA127" s="77"/>
      <c r="TPB127" s="77"/>
      <c r="TPC127" s="77"/>
      <c r="TPD127" s="77"/>
      <c r="TPE127" s="77"/>
      <c r="TPF127" s="77"/>
      <c r="TPG127" s="77"/>
      <c r="TPH127" s="77"/>
      <c r="TPI127" s="77"/>
      <c r="TPJ127" s="77"/>
      <c r="TPK127" s="77"/>
      <c r="TPL127" s="77"/>
      <c r="TPM127" s="77"/>
      <c r="TPN127" s="77"/>
      <c r="TPO127" s="77"/>
      <c r="TPP127" s="77"/>
      <c r="TPQ127" s="77"/>
      <c r="TPR127" s="77"/>
      <c r="TPS127" s="77"/>
      <c r="TPT127" s="77"/>
      <c r="TPU127" s="77"/>
      <c r="TPV127" s="77"/>
      <c r="TPW127" s="77"/>
      <c r="TPX127" s="77"/>
      <c r="TPY127" s="77"/>
      <c r="TPZ127" s="77"/>
      <c r="TQA127" s="77"/>
      <c r="TQB127" s="77"/>
      <c r="TQC127" s="77"/>
      <c r="TQD127" s="77"/>
      <c r="TQE127" s="77"/>
      <c r="TQF127" s="77"/>
      <c r="TQG127" s="77"/>
      <c r="TQH127" s="77"/>
      <c r="TQI127" s="77"/>
      <c r="TQJ127" s="77"/>
      <c r="TQK127" s="77"/>
      <c r="TQL127" s="77"/>
      <c r="TQM127" s="77"/>
      <c r="TQN127" s="77"/>
      <c r="TQO127" s="77"/>
      <c r="TQP127" s="77"/>
      <c r="TQQ127" s="77"/>
      <c r="TQR127" s="77"/>
      <c r="TQS127" s="77"/>
      <c r="TQT127" s="77"/>
      <c r="TQU127" s="77"/>
      <c r="TQV127" s="77"/>
      <c r="TQW127" s="77"/>
      <c r="TQX127" s="77"/>
      <c r="TQY127" s="77"/>
      <c r="TQZ127" s="77"/>
      <c r="TRA127" s="77"/>
      <c r="TRB127" s="77"/>
      <c r="TRC127" s="77"/>
      <c r="TRD127" s="77"/>
      <c r="TRE127" s="77"/>
      <c r="TRF127" s="77"/>
      <c r="TRG127" s="77"/>
      <c r="TRH127" s="77"/>
      <c r="TRI127" s="77"/>
      <c r="TRJ127" s="77"/>
      <c r="TRK127" s="77"/>
      <c r="TRL127" s="77"/>
      <c r="TRM127" s="77"/>
      <c r="TRN127" s="77"/>
      <c r="TRO127" s="77"/>
      <c r="TRP127" s="77"/>
      <c r="TRQ127" s="77"/>
      <c r="TRR127" s="77"/>
      <c r="TRS127" s="77"/>
      <c r="TRT127" s="77"/>
      <c r="TRU127" s="77"/>
      <c r="TRV127" s="77"/>
      <c r="TRW127" s="77"/>
      <c r="TRX127" s="77"/>
      <c r="TRY127" s="77"/>
      <c r="TRZ127" s="77"/>
      <c r="TSA127" s="77"/>
      <c r="TSB127" s="77"/>
      <c r="TSC127" s="77"/>
      <c r="TSD127" s="77"/>
      <c r="TSE127" s="77"/>
      <c r="TSF127" s="77"/>
      <c r="TSG127" s="77"/>
      <c r="TSH127" s="77"/>
      <c r="TSI127" s="77"/>
      <c r="TSJ127" s="77"/>
      <c r="TSK127" s="77"/>
      <c r="TSL127" s="77"/>
      <c r="TSM127" s="77"/>
      <c r="TSN127" s="77"/>
      <c r="TSO127" s="77"/>
      <c r="TSP127" s="77"/>
      <c r="TSQ127" s="77"/>
      <c r="TSR127" s="77"/>
      <c r="TSS127" s="77"/>
      <c r="TST127" s="77"/>
      <c r="TSU127" s="77"/>
      <c r="TSV127" s="77"/>
      <c r="TSW127" s="77"/>
      <c r="TSX127" s="77"/>
      <c r="TSY127" s="77"/>
      <c r="TSZ127" s="77"/>
      <c r="TTA127" s="77"/>
      <c r="TTB127" s="77"/>
      <c r="TTC127" s="77"/>
      <c r="TTD127" s="77"/>
      <c r="TTE127" s="77"/>
      <c r="TTF127" s="77"/>
      <c r="TTG127" s="77"/>
      <c r="TTH127" s="77"/>
      <c r="TTI127" s="77"/>
      <c r="TTJ127" s="77"/>
      <c r="TTK127" s="77"/>
      <c r="TTL127" s="77"/>
      <c r="TTM127" s="77"/>
      <c r="TTN127" s="77"/>
      <c r="TTO127" s="77"/>
      <c r="TTP127" s="77"/>
      <c r="TTQ127" s="77"/>
      <c r="TTR127" s="77"/>
      <c r="TTS127" s="77"/>
      <c r="TTT127" s="77"/>
      <c r="TTU127" s="77"/>
      <c r="TTV127" s="77"/>
      <c r="TTW127" s="77"/>
      <c r="TTX127" s="77"/>
      <c r="TTY127" s="77"/>
      <c r="TTZ127" s="77"/>
      <c r="TUA127" s="77"/>
      <c r="TUB127" s="77"/>
      <c r="TUC127" s="77"/>
      <c r="TUD127" s="77"/>
      <c r="TUE127" s="77"/>
      <c r="TUF127" s="77"/>
      <c r="TUG127" s="77"/>
      <c r="TUH127" s="77"/>
      <c r="TUI127" s="77"/>
      <c r="TUJ127" s="77"/>
      <c r="TUK127" s="77"/>
      <c r="TUL127" s="77"/>
      <c r="TUM127" s="77"/>
      <c r="TUN127" s="77"/>
      <c r="TUO127" s="77"/>
      <c r="TUP127" s="77"/>
      <c r="TUQ127" s="77"/>
      <c r="TUR127" s="77"/>
      <c r="TUS127" s="77"/>
      <c r="TUT127" s="77"/>
      <c r="TUU127" s="77"/>
      <c r="TUV127" s="77"/>
      <c r="TUW127" s="77"/>
      <c r="TUX127" s="77"/>
      <c r="TUY127" s="77"/>
      <c r="TUZ127" s="77"/>
      <c r="TVA127" s="77"/>
      <c r="TVB127" s="77"/>
      <c r="TVC127" s="77"/>
      <c r="TVD127" s="77"/>
      <c r="TVE127" s="77"/>
      <c r="TVF127" s="77"/>
      <c r="TVG127" s="77"/>
      <c r="TVH127" s="77"/>
      <c r="TVI127" s="77"/>
      <c r="TVJ127" s="77"/>
      <c r="TVK127" s="77"/>
      <c r="TVL127" s="77"/>
      <c r="TVM127" s="77"/>
      <c r="TVN127" s="77"/>
      <c r="TVO127" s="77"/>
      <c r="TVP127" s="77"/>
      <c r="TVQ127" s="77"/>
      <c r="TVR127" s="77"/>
      <c r="TVS127" s="77"/>
      <c r="TVT127" s="77"/>
      <c r="TVU127" s="77"/>
      <c r="TVV127" s="77"/>
      <c r="TVW127" s="77"/>
      <c r="TVX127" s="77"/>
      <c r="TVY127" s="77"/>
      <c r="TVZ127" s="77"/>
      <c r="TWA127" s="77"/>
      <c r="TWB127" s="77"/>
      <c r="TWC127" s="77"/>
      <c r="TWD127" s="77"/>
      <c r="TWE127" s="77"/>
      <c r="TWF127" s="77"/>
      <c r="TWG127" s="77"/>
      <c r="TWH127" s="77"/>
      <c r="TWI127" s="77"/>
      <c r="TWJ127" s="77"/>
      <c r="TWK127" s="77"/>
      <c r="TWL127" s="77"/>
      <c r="TWM127" s="77"/>
      <c r="TWN127" s="77"/>
      <c r="TWO127" s="77"/>
      <c r="TWP127" s="77"/>
      <c r="TWQ127" s="77"/>
      <c r="TWR127" s="77"/>
      <c r="TWS127" s="77"/>
      <c r="TWT127" s="77"/>
      <c r="TWU127" s="77"/>
      <c r="TWV127" s="77"/>
      <c r="TWW127" s="77"/>
      <c r="TWX127" s="77"/>
      <c r="TWY127" s="77"/>
      <c r="TWZ127" s="77"/>
      <c r="TXA127" s="77"/>
      <c r="TXB127" s="77"/>
      <c r="TXC127" s="77"/>
      <c r="TXD127" s="77"/>
      <c r="TXE127" s="77"/>
      <c r="TXF127" s="77"/>
      <c r="TXG127" s="77"/>
      <c r="TXH127" s="77"/>
      <c r="TXI127" s="77"/>
      <c r="TXJ127" s="77"/>
      <c r="TXK127" s="77"/>
      <c r="TXL127" s="77"/>
      <c r="TXM127" s="77"/>
      <c r="TXN127" s="77"/>
      <c r="TXO127" s="77"/>
      <c r="TXP127" s="77"/>
      <c r="TXQ127" s="77"/>
      <c r="TXR127" s="77"/>
      <c r="TXS127" s="77"/>
      <c r="TXT127" s="77"/>
      <c r="TXU127" s="77"/>
      <c r="TXV127" s="77"/>
      <c r="TXW127" s="77"/>
      <c r="TXX127" s="77"/>
      <c r="TXY127" s="77"/>
      <c r="TXZ127" s="77"/>
      <c r="TYA127" s="77"/>
      <c r="TYB127" s="77"/>
      <c r="TYC127" s="77"/>
      <c r="TYD127" s="77"/>
      <c r="TYE127" s="77"/>
      <c r="TYF127" s="77"/>
      <c r="TYG127" s="77"/>
      <c r="TYH127" s="77"/>
      <c r="TYI127" s="77"/>
      <c r="TYJ127" s="77"/>
      <c r="TYK127" s="77"/>
      <c r="TYL127" s="77"/>
      <c r="TYM127" s="77"/>
      <c r="TYN127" s="77"/>
      <c r="TYO127" s="77"/>
      <c r="TYP127" s="77"/>
      <c r="TYQ127" s="77"/>
      <c r="TYR127" s="77"/>
      <c r="TYS127" s="77"/>
      <c r="TYT127" s="77"/>
      <c r="TYU127" s="77"/>
      <c r="TYV127" s="77"/>
      <c r="TYW127" s="77"/>
      <c r="TYX127" s="77"/>
      <c r="TYY127" s="77"/>
      <c r="TYZ127" s="77"/>
      <c r="TZA127" s="77"/>
      <c r="TZB127" s="77"/>
      <c r="TZC127" s="77"/>
      <c r="TZD127" s="77"/>
      <c r="TZE127" s="77"/>
      <c r="TZF127" s="77"/>
      <c r="TZG127" s="77"/>
      <c r="TZH127" s="77"/>
      <c r="TZI127" s="77"/>
      <c r="TZJ127" s="77"/>
      <c r="TZK127" s="77"/>
      <c r="TZL127" s="77"/>
      <c r="TZM127" s="77"/>
      <c r="TZN127" s="77"/>
      <c r="TZO127" s="77"/>
      <c r="TZP127" s="77"/>
      <c r="TZQ127" s="77"/>
      <c r="TZR127" s="77"/>
      <c r="TZS127" s="77"/>
      <c r="TZT127" s="77"/>
      <c r="TZU127" s="77"/>
      <c r="TZV127" s="77"/>
      <c r="TZW127" s="77"/>
      <c r="TZX127" s="77"/>
      <c r="TZY127" s="77"/>
      <c r="TZZ127" s="77"/>
      <c r="UAA127" s="77"/>
      <c r="UAB127" s="77"/>
      <c r="UAC127" s="77"/>
      <c r="UAD127" s="77"/>
      <c r="UAE127" s="77"/>
      <c r="UAF127" s="77"/>
      <c r="UAG127" s="77"/>
      <c r="UAH127" s="77"/>
      <c r="UAI127" s="77"/>
      <c r="UAJ127" s="77"/>
      <c r="UAK127" s="77"/>
      <c r="UAL127" s="77"/>
      <c r="UAM127" s="77"/>
      <c r="UAN127" s="77"/>
      <c r="UAO127" s="77"/>
      <c r="UAP127" s="77"/>
      <c r="UAQ127" s="77"/>
      <c r="UAR127" s="77"/>
      <c r="UAS127" s="77"/>
      <c r="UAT127" s="77"/>
      <c r="UAU127" s="77"/>
      <c r="UAV127" s="77"/>
      <c r="UAW127" s="77"/>
      <c r="UAX127" s="77"/>
      <c r="UAY127" s="77"/>
      <c r="UAZ127" s="77"/>
      <c r="UBA127" s="77"/>
      <c r="UBB127" s="77"/>
      <c r="UBC127" s="77"/>
      <c r="UBD127" s="77"/>
      <c r="UBE127" s="77"/>
      <c r="UBF127" s="77"/>
      <c r="UBG127" s="77"/>
      <c r="UBH127" s="77"/>
      <c r="UBI127" s="77"/>
      <c r="UBJ127" s="77"/>
      <c r="UBK127" s="77"/>
      <c r="UBL127" s="77"/>
      <c r="UBM127" s="77"/>
      <c r="UBN127" s="77"/>
      <c r="UBO127" s="77"/>
      <c r="UBP127" s="77"/>
      <c r="UBQ127" s="77"/>
      <c r="UBR127" s="77"/>
      <c r="UBS127" s="77"/>
      <c r="UBT127" s="77"/>
      <c r="UBU127" s="77"/>
      <c r="UBV127" s="77"/>
      <c r="UBW127" s="77"/>
      <c r="UBX127" s="77"/>
      <c r="UBY127" s="77"/>
      <c r="UBZ127" s="77"/>
      <c r="UCA127" s="77"/>
      <c r="UCB127" s="77"/>
      <c r="UCC127" s="77"/>
      <c r="UCD127" s="77"/>
      <c r="UCE127" s="77"/>
      <c r="UCF127" s="77"/>
      <c r="UCG127" s="77"/>
      <c r="UCH127" s="77"/>
      <c r="UCI127" s="77"/>
      <c r="UCJ127" s="77"/>
      <c r="UCK127" s="77"/>
      <c r="UCL127" s="77"/>
      <c r="UCM127" s="77"/>
      <c r="UCN127" s="77"/>
      <c r="UCO127" s="77"/>
      <c r="UCP127" s="77"/>
      <c r="UCQ127" s="77"/>
      <c r="UCR127" s="77"/>
      <c r="UCS127" s="77"/>
      <c r="UCT127" s="77"/>
      <c r="UCU127" s="77"/>
      <c r="UCV127" s="77"/>
      <c r="UCW127" s="77"/>
      <c r="UCX127" s="77"/>
      <c r="UCY127" s="77"/>
      <c r="UCZ127" s="77"/>
      <c r="UDA127" s="77"/>
      <c r="UDB127" s="77"/>
      <c r="UDC127" s="77"/>
      <c r="UDD127" s="77"/>
      <c r="UDE127" s="77"/>
      <c r="UDF127" s="77"/>
      <c r="UDG127" s="77"/>
      <c r="UDH127" s="77"/>
      <c r="UDI127" s="77"/>
      <c r="UDJ127" s="77"/>
      <c r="UDK127" s="77"/>
      <c r="UDL127" s="77"/>
      <c r="UDM127" s="77"/>
      <c r="UDN127" s="77"/>
      <c r="UDO127" s="77"/>
      <c r="UDP127" s="77"/>
      <c r="UDQ127" s="77"/>
      <c r="UDR127" s="77"/>
      <c r="UDS127" s="77"/>
      <c r="UDT127" s="77"/>
      <c r="UDU127" s="77"/>
      <c r="UDV127" s="77"/>
      <c r="UDW127" s="77"/>
      <c r="UDX127" s="77"/>
      <c r="UDY127" s="77"/>
      <c r="UDZ127" s="77"/>
      <c r="UEA127" s="77"/>
      <c r="UEB127" s="77"/>
      <c r="UEC127" s="77"/>
      <c r="UED127" s="77"/>
      <c r="UEE127" s="77"/>
      <c r="UEF127" s="77"/>
      <c r="UEG127" s="77"/>
      <c r="UEH127" s="77"/>
      <c r="UEI127" s="77"/>
      <c r="UEJ127" s="77"/>
      <c r="UEK127" s="77"/>
      <c r="UEL127" s="77"/>
      <c r="UEM127" s="77"/>
      <c r="UEN127" s="77"/>
      <c r="UEO127" s="77"/>
      <c r="UEP127" s="77"/>
      <c r="UEQ127" s="77"/>
      <c r="UER127" s="77"/>
      <c r="UES127" s="77"/>
      <c r="UET127" s="77"/>
      <c r="UEU127" s="77"/>
      <c r="UEV127" s="77"/>
      <c r="UEW127" s="77"/>
      <c r="UEX127" s="77"/>
      <c r="UEY127" s="77"/>
      <c r="UEZ127" s="77"/>
      <c r="UFA127" s="77"/>
      <c r="UFB127" s="77"/>
      <c r="UFC127" s="77"/>
      <c r="UFD127" s="77"/>
      <c r="UFE127" s="77"/>
      <c r="UFF127" s="77"/>
      <c r="UFG127" s="77"/>
      <c r="UFH127" s="77"/>
      <c r="UFI127" s="77"/>
      <c r="UFJ127" s="77"/>
      <c r="UFK127" s="77"/>
      <c r="UFL127" s="77"/>
      <c r="UFM127" s="77"/>
      <c r="UFN127" s="77"/>
      <c r="UFO127" s="77"/>
      <c r="UFP127" s="77"/>
      <c r="UFQ127" s="77"/>
      <c r="UFR127" s="77"/>
      <c r="UFS127" s="77"/>
      <c r="UFT127" s="77"/>
      <c r="UFU127" s="77"/>
      <c r="UFV127" s="77"/>
      <c r="UFW127" s="77"/>
      <c r="UFX127" s="77"/>
      <c r="UFY127" s="77"/>
      <c r="UFZ127" s="77"/>
      <c r="UGA127" s="77"/>
      <c r="UGB127" s="77"/>
      <c r="UGC127" s="77"/>
      <c r="UGD127" s="77"/>
      <c r="UGE127" s="77"/>
      <c r="UGF127" s="77"/>
      <c r="UGG127" s="77"/>
      <c r="UGH127" s="77"/>
      <c r="UGI127" s="77"/>
      <c r="UGJ127" s="77"/>
      <c r="UGK127" s="77"/>
      <c r="UGL127" s="77"/>
      <c r="UGM127" s="77"/>
      <c r="UGN127" s="77"/>
      <c r="UGO127" s="77"/>
      <c r="UGP127" s="77"/>
      <c r="UGQ127" s="77"/>
      <c r="UGR127" s="77"/>
      <c r="UGS127" s="77"/>
      <c r="UGT127" s="77"/>
      <c r="UGU127" s="77"/>
      <c r="UGV127" s="77"/>
      <c r="UGW127" s="77"/>
      <c r="UGX127" s="77"/>
      <c r="UGY127" s="77"/>
      <c r="UGZ127" s="77"/>
      <c r="UHA127" s="77"/>
      <c r="UHB127" s="77"/>
      <c r="UHC127" s="77"/>
      <c r="UHD127" s="77"/>
      <c r="UHE127" s="77"/>
      <c r="UHF127" s="77"/>
      <c r="UHG127" s="77"/>
      <c r="UHH127" s="77"/>
      <c r="UHI127" s="77"/>
      <c r="UHJ127" s="77"/>
      <c r="UHK127" s="77"/>
      <c r="UHL127" s="77"/>
      <c r="UHM127" s="77"/>
      <c r="UHN127" s="77"/>
      <c r="UHO127" s="77"/>
      <c r="UHP127" s="77"/>
      <c r="UHQ127" s="77"/>
      <c r="UHR127" s="77"/>
      <c r="UHS127" s="77"/>
      <c r="UHT127" s="77"/>
      <c r="UHU127" s="77"/>
      <c r="UHV127" s="77"/>
      <c r="UHW127" s="77"/>
      <c r="UHX127" s="77"/>
      <c r="UHY127" s="77"/>
      <c r="UHZ127" s="77"/>
      <c r="UIA127" s="77"/>
      <c r="UIB127" s="77"/>
      <c r="UIC127" s="77"/>
      <c r="UID127" s="77"/>
      <c r="UIE127" s="77"/>
      <c r="UIF127" s="77"/>
      <c r="UIG127" s="77"/>
      <c r="UIH127" s="77"/>
      <c r="UII127" s="77"/>
      <c r="UIJ127" s="77"/>
      <c r="UIK127" s="77"/>
      <c r="UIL127" s="77"/>
      <c r="UIM127" s="77"/>
      <c r="UIN127" s="77"/>
      <c r="UIO127" s="77"/>
      <c r="UIP127" s="77"/>
      <c r="UIQ127" s="77"/>
      <c r="UIR127" s="77"/>
      <c r="UIS127" s="77"/>
      <c r="UIT127" s="77"/>
      <c r="UIU127" s="77"/>
      <c r="UIV127" s="77"/>
      <c r="UIW127" s="77"/>
      <c r="UIX127" s="77"/>
      <c r="UIY127" s="77"/>
      <c r="UIZ127" s="77"/>
      <c r="UJA127" s="77"/>
      <c r="UJB127" s="77"/>
      <c r="UJC127" s="77"/>
      <c r="UJD127" s="77"/>
      <c r="UJE127" s="77"/>
      <c r="UJF127" s="77"/>
      <c r="UJG127" s="77"/>
      <c r="UJH127" s="77"/>
      <c r="UJI127" s="77"/>
      <c r="UJJ127" s="77"/>
      <c r="UJK127" s="77"/>
      <c r="UJL127" s="77"/>
      <c r="UJM127" s="77"/>
      <c r="UJN127" s="77"/>
      <c r="UJO127" s="77"/>
      <c r="UJP127" s="77"/>
      <c r="UJQ127" s="77"/>
      <c r="UJR127" s="77"/>
      <c r="UJS127" s="77"/>
      <c r="UJT127" s="77"/>
      <c r="UJU127" s="77"/>
      <c r="UJV127" s="77"/>
      <c r="UJW127" s="77"/>
      <c r="UJX127" s="77"/>
      <c r="UJY127" s="77"/>
      <c r="UJZ127" s="77"/>
      <c r="UKA127" s="77"/>
      <c r="UKB127" s="77"/>
      <c r="UKC127" s="77"/>
      <c r="UKD127" s="77"/>
      <c r="UKE127" s="77"/>
      <c r="UKF127" s="77"/>
      <c r="UKG127" s="77"/>
      <c r="UKH127" s="77"/>
      <c r="UKI127" s="77"/>
      <c r="UKJ127" s="77"/>
      <c r="UKK127" s="77"/>
      <c r="UKL127" s="77"/>
      <c r="UKM127" s="77"/>
      <c r="UKN127" s="77"/>
      <c r="UKO127" s="77"/>
      <c r="UKP127" s="77"/>
      <c r="UKQ127" s="77"/>
      <c r="UKR127" s="77"/>
      <c r="UKS127" s="77"/>
      <c r="UKT127" s="77"/>
      <c r="UKU127" s="77"/>
      <c r="UKV127" s="77"/>
      <c r="UKW127" s="77"/>
      <c r="UKX127" s="77"/>
      <c r="UKY127" s="77"/>
      <c r="UKZ127" s="77"/>
      <c r="ULA127" s="77"/>
      <c r="ULB127" s="77"/>
      <c r="ULC127" s="77"/>
      <c r="ULD127" s="77"/>
      <c r="ULE127" s="77"/>
      <c r="ULF127" s="77"/>
      <c r="ULG127" s="77"/>
      <c r="ULH127" s="77"/>
      <c r="ULI127" s="77"/>
      <c r="ULJ127" s="77"/>
      <c r="ULK127" s="77"/>
      <c r="ULL127" s="77"/>
      <c r="ULM127" s="77"/>
      <c r="ULN127" s="77"/>
      <c r="ULO127" s="77"/>
      <c r="ULP127" s="77"/>
      <c r="ULQ127" s="77"/>
      <c r="ULR127" s="77"/>
      <c r="ULS127" s="77"/>
      <c r="ULT127" s="77"/>
      <c r="ULU127" s="77"/>
      <c r="ULV127" s="77"/>
      <c r="ULW127" s="77"/>
      <c r="ULX127" s="77"/>
      <c r="ULY127" s="77"/>
      <c r="ULZ127" s="77"/>
      <c r="UMA127" s="77"/>
      <c r="UMB127" s="77"/>
      <c r="UMC127" s="77"/>
      <c r="UMD127" s="77"/>
      <c r="UME127" s="77"/>
      <c r="UMF127" s="77"/>
      <c r="UMG127" s="77"/>
      <c r="UMH127" s="77"/>
      <c r="UMI127" s="77"/>
      <c r="UMJ127" s="77"/>
      <c r="UMK127" s="77"/>
      <c r="UML127" s="77"/>
      <c r="UMM127" s="77"/>
      <c r="UMN127" s="77"/>
      <c r="UMO127" s="77"/>
      <c r="UMP127" s="77"/>
      <c r="UMQ127" s="77"/>
      <c r="UMR127" s="77"/>
      <c r="UMS127" s="77"/>
      <c r="UMT127" s="77"/>
      <c r="UMU127" s="77"/>
      <c r="UMV127" s="77"/>
      <c r="UMW127" s="77"/>
      <c r="UMX127" s="77"/>
      <c r="UMY127" s="77"/>
      <c r="UMZ127" s="77"/>
      <c r="UNA127" s="77"/>
      <c r="UNB127" s="77"/>
      <c r="UNC127" s="77"/>
      <c r="UND127" s="77"/>
      <c r="UNE127" s="77"/>
      <c r="UNF127" s="77"/>
      <c r="UNG127" s="77"/>
      <c r="UNH127" s="77"/>
      <c r="UNI127" s="77"/>
      <c r="UNJ127" s="77"/>
      <c r="UNK127" s="77"/>
      <c r="UNL127" s="77"/>
      <c r="UNM127" s="77"/>
      <c r="UNN127" s="77"/>
      <c r="UNO127" s="77"/>
      <c r="UNP127" s="77"/>
      <c r="UNQ127" s="77"/>
      <c r="UNR127" s="77"/>
      <c r="UNS127" s="77"/>
      <c r="UNT127" s="77"/>
      <c r="UNU127" s="77"/>
      <c r="UNV127" s="77"/>
      <c r="UNW127" s="77"/>
      <c r="UNX127" s="77"/>
      <c r="UNY127" s="77"/>
      <c r="UNZ127" s="77"/>
      <c r="UOA127" s="77"/>
      <c r="UOB127" s="77"/>
      <c r="UOC127" s="77"/>
      <c r="UOD127" s="77"/>
      <c r="UOE127" s="77"/>
      <c r="UOF127" s="77"/>
      <c r="UOG127" s="77"/>
      <c r="UOH127" s="77"/>
      <c r="UOI127" s="77"/>
      <c r="UOJ127" s="77"/>
      <c r="UOK127" s="77"/>
      <c r="UOL127" s="77"/>
      <c r="UOM127" s="77"/>
      <c r="UON127" s="77"/>
      <c r="UOO127" s="77"/>
      <c r="UOP127" s="77"/>
      <c r="UOQ127" s="77"/>
      <c r="UOR127" s="77"/>
      <c r="UOS127" s="77"/>
      <c r="UOT127" s="77"/>
      <c r="UOU127" s="77"/>
      <c r="UOV127" s="77"/>
      <c r="UOW127" s="77"/>
      <c r="UOX127" s="77"/>
      <c r="UOY127" s="77"/>
      <c r="UOZ127" s="77"/>
      <c r="UPA127" s="77"/>
      <c r="UPB127" s="77"/>
      <c r="UPC127" s="77"/>
      <c r="UPD127" s="77"/>
      <c r="UPE127" s="77"/>
      <c r="UPF127" s="77"/>
      <c r="UPG127" s="77"/>
      <c r="UPH127" s="77"/>
      <c r="UPI127" s="77"/>
      <c r="UPJ127" s="77"/>
      <c r="UPK127" s="77"/>
      <c r="UPL127" s="77"/>
      <c r="UPM127" s="77"/>
      <c r="UPN127" s="77"/>
      <c r="UPO127" s="77"/>
      <c r="UPP127" s="77"/>
      <c r="UPQ127" s="77"/>
      <c r="UPR127" s="77"/>
      <c r="UPS127" s="77"/>
      <c r="UPT127" s="77"/>
      <c r="UPU127" s="77"/>
      <c r="UPV127" s="77"/>
      <c r="UPW127" s="77"/>
      <c r="UPX127" s="77"/>
      <c r="UPY127" s="77"/>
      <c r="UPZ127" s="77"/>
      <c r="UQA127" s="77"/>
      <c r="UQB127" s="77"/>
      <c r="UQC127" s="77"/>
      <c r="UQD127" s="77"/>
      <c r="UQE127" s="77"/>
      <c r="UQF127" s="77"/>
      <c r="UQG127" s="77"/>
      <c r="UQH127" s="77"/>
      <c r="UQI127" s="77"/>
      <c r="UQJ127" s="77"/>
      <c r="UQK127" s="77"/>
      <c r="UQL127" s="77"/>
      <c r="UQM127" s="77"/>
      <c r="UQN127" s="77"/>
      <c r="UQO127" s="77"/>
      <c r="UQP127" s="77"/>
      <c r="UQQ127" s="77"/>
      <c r="UQR127" s="77"/>
      <c r="UQS127" s="77"/>
      <c r="UQT127" s="77"/>
      <c r="UQU127" s="77"/>
      <c r="UQV127" s="77"/>
      <c r="UQW127" s="77"/>
      <c r="UQX127" s="77"/>
      <c r="UQY127" s="77"/>
      <c r="UQZ127" s="77"/>
      <c r="URA127" s="77"/>
      <c r="URB127" s="77"/>
      <c r="URC127" s="77"/>
      <c r="URD127" s="77"/>
      <c r="URE127" s="77"/>
      <c r="URF127" s="77"/>
      <c r="URG127" s="77"/>
      <c r="URH127" s="77"/>
      <c r="URI127" s="77"/>
      <c r="URJ127" s="77"/>
      <c r="URK127" s="77"/>
      <c r="URL127" s="77"/>
      <c r="URM127" s="77"/>
      <c r="URN127" s="77"/>
      <c r="URO127" s="77"/>
      <c r="URP127" s="77"/>
      <c r="URQ127" s="77"/>
      <c r="URR127" s="77"/>
      <c r="URS127" s="77"/>
      <c r="URT127" s="77"/>
      <c r="URU127" s="77"/>
      <c r="URV127" s="77"/>
      <c r="URW127" s="77"/>
      <c r="URX127" s="77"/>
      <c r="URY127" s="77"/>
      <c r="URZ127" s="77"/>
      <c r="USA127" s="77"/>
      <c r="USB127" s="77"/>
      <c r="USC127" s="77"/>
      <c r="USD127" s="77"/>
      <c r="USE127" s="77"/>
      <c r="USF127" s="77"/>
      <c r="USG127" s="77"/>
      <c r="USH127" s="77"/>
      <c r="USI127" s="77"/>
      <c r="USJ127" s="77"/>
      <c r="USK127" s="77"/>
      <c r="USL127" s="77"/>
      <c r="USM127" s="77"/>
      <c r="USN127" s="77"/>
      <c r="USO127" s="77"/>
      <c r="USP127" s="77"/>
      <c r="USQ127" s="77"/>
      <c r="USR127" s="77"/>
      <c r="USS127" s="77"/>
      <c r="UST127" s="77"/>
      <c r="USU127" s="77"/>
      <c r="USV127" s="77"/>
      <c r="USW127" s="77"/>
      <c r="USX127" s="77"/>
      <c r="USY127" s="77"/>
      <c r="USZ127" s="77"/>
      <c r="UTA127" s="77"/>
      <c r="UTB127" s="77"/>
      <c r="UTC127" s="77"/>
      <c r="UTD127" s="77"/>
      <c r="UTE127" s="77"/>
      <c r="UTF127" s="77"/>
      <c r="UTG127" s="77"/>
      <c r="UTH127" s="77"/>
      <c r="UTI127" s="77"/>
      <c r="UTJ127" s="77"/>
      <c r="UTK127" s="77"/>
      <c r="UTL127" s="77"/>
      <c r="UTM127" s="77"/>
      <c r="UTN127" s="77"/>
      <c r="UTO127" s="77"/>
      <c r="UTP127" s="77"/>
      <c r="UTQ127" s="77"/>
      <c r="UTR127" s="77"/>
      <c r="UTS127" s="77"/>
      <c r="UTT127" s="77"/>
      <c r="UTU127" s="77"/>
      <c r="UTV127" s="77"/>
      <c r="UTW127" s="77"/>
      <c r="UTX127" s="77"/>
      <c r="UTY127" s="77"/>
      <c r="UTZ127" s="77"/>
      <c r="UUA127" s="77"/>
      <c r="UUB127" s="77"/>
      <c r="UUC127" s="77"/>
      <c r="UUD127" s="77"/>
      <c r="UUE127" s="77"/>
      <c r="UUF127" s="77"/>
      <c r="UUG127" s="77"/>
      <c r="UUH127" s="77"/>
      <c r="UUI127" s="77"/>
      <c r="UUJ127" s="77"/>
      <c r="UUK127" s="77"/>
      <c r="UUL127" s="77"/>
      <c r="UUM127" s="77"/>
      <c r="UUN127" s="77"/>
      <c r="UUO127" s="77"/>
      <c r="UUP127" s="77"/>
      <c r="UUQ127" s="77"/>
      <c r="UUR127" s="77"/>
      <c r="UUS127" s="77"/>
      <c r="UUT127" s="77"/>
      <c r="UUU127" s="77"/>
      <c r="UUV127" s="77"/>
      <c r="UUW127" s="77"/>
      <c r="UUX127" s="77"/>
      <c r="UUY127" s="77"/>
      <c r="UUZ127" s="77"/>
      <c r="UVA127" s="77"/>
      <c r="UVB127" s="77"/>
      <c r="UVC127" s="77"/>
      <c r="UVD127" s="77"/>
      <c r="UVE127" s="77"/>
      <c r="UVF127" s="77"/>
      <c r="UVG127" s="77"/>
      <c r="UVH127" s="77"/>
      <c r="UVI127" s="77"/>
      <c r="UVJ127" s="77"/>
      <c r="UVK127" s="77"/>
      <c r="UVL127" s="77"/>
      <c r="UVM127" s="77"/>
      <c r="UVN127" s="77"/>
      <c r="UVO127" s="77"/>
      <c r="UVP127" s="77"/>
      <c r="UVQ127" s="77"/>
      <c r="UVR127" s="77"/>
      <c r="UVS127" s="77"/>
      <c r="UVT127" s="77"/>
      <c r="UVU127" s="77"/>
      <c r="UVV127" s="77"/>
      <c r="UVW127" s="77"/>
      <c r="UVX127" s="77"/>
      <c r="UVY127" s="77"/>
      <c r="UVZ127" s="77"/>
      <c r="UWA127" s="77"/>
      <c r="UWB127" s="77"/>
      <c r="UWC127" s="77"/>
      <c r="UWD127" s="77"/>
      <c r="UWE127" s="77"/>
      <c r="UWF127" s="77"/>
      <c r="UWG127" s="77"/>
      <c r="UWH127" s="77"/>
      <c r="UWI127" s="77"/>
      <c r="UWJ127" s="77"/>
      <c r="UWK127" s="77"/>
      <c r="UWL127" s="77"/>
      <c r="UWM127" s="77"/>
      <c r="UWN127" s="77"/>
      <c r="UWO127" s="77"/>
      <c r="UWP127" s="77"/>
      <c r="UWQ127" s="77"/>
      <c r="UWR127" s="77"/>
      <c r="UWS127" s="77"/>
      <c r="UWT127" s="77"/>
      <c r="UWU127" s="77"/>
      <c r="UWV127" s="77"/>
      <c r="UWW127" s="77"/>
      <c r="UWX127" s="77"/>
      <c r="UWY127" s="77"/>
      <c r="UWZ127" s="77"/>
      <c r="UXA127" s="77"/>
      <c r="UXB127" s="77"/>
      <c r="UXC127" s="77"/>
      <c r="UXD127" s="77"/>
      <c r="UXE127" s="77"/>
      <c r="UXF127" s="77"/>
      <c r="UXG127" s="77"/>
      <c r="UXH127" s="77"/>
      <c r="UXI127" s="77"/>
      <c r="UXJ127" s="77"/>
      <c r="UXK127" s="77"/>
      <c r="UXL127" s="77"/>
      <c r="UXM127" s="77"/>
      <c r="UXN127" s="77"/>
      <c r="UXO127" s="77"/>
      <c r="UXP127" s="77"/>
      <c r="UXQ127" s="77"/>
      <c r="UXR127" s="77"/>
      <c r="UXS127" s="77"/>
      <c r="UXT127" s="77"/>
      <c r="UXU127" s="77"/>
      <c r="UXV127" s="77"/>
      <c r="UXW127" s="77"/>
      <c r="UXX127" s="77"/>
      <c r="UXY127" s="77"/>
      <c r="UXZ127" s="77"/>
      <c r="UYA127" s="77"/>
      <c r="UYB127" s="77"/>
      <c r="UYC127" s="77"/>
      <c r="UYD127" s="77"/>
      <c r="UYE127" s="77"/>
      <c r="UYF127" s="77"/>
      <c r="UYG127" s="77"/>
      <c r="UYH127" s="77"/>
      <c r="UYI127" s="77"/>
      <c r="UYJ127" s="77"/>
      <c r="UYK127" s="77"/>
      <c r="UYL127" s="77"/>
      <c r="UYM127" s="77"/>
      <c r="UYN127" s="77"/>
      <c r="UYO127" s="77"/>
      <c r="UYP127" s="77"/>
      <c r="UYQ127" s="77"/>
      <c r="UYR127" s="77"/>
      <c r="UYS127" s="77"/>
      <c r="UYT127" s="77"/>
      <c r="UYU127" s="77"/>
      <c r="UYV127" s="77"/>
      <c r="UYW127" s="77"/>
      <c r="UYX127" s="77"/>
      <c r="UYY127" s="77"/>
      <c r="UYZ127" s="77"/>
      <c r="UZA127" s="77"/>
      <c r="UZB127" s="77"/>
      <c r="UZC127" s="77"/>
      <c r="UZD127" s="77"/>
      <c r="UZE127" s="77"/>
      <c r="UZF127" s="77"/>
      <c r="UZG127" s="77"/>
      <c r="UZH127" s="77"/>
      <c r="UZI127" s="77"/>
      <c r="UZJ127" s="77"/>
      <c r="UZK127" s="77"/>
      <c r="UZL127" s="77"/>
      <c r="UZM127" s="77"/>
      <c r="UZN127" s="77"/>
      <c r="UZO127" s="77"/>
      <c r="UZP127" s="77"/>
      <c r="UZQ127" s="77"/>
      <c r="UZR127" s="77"/>
      <c r="UZS127" s="77"/>
      <c r="UZT127" s="77"/>
      <c r="UZU127" s="77"/>
      <c r="UZV127" s="77"/>
      <c r="UZW127" s="77"/>
      <c r="UZX127" s="77"/>
      <c r="UZY127" s="77"/>
      <c r="UZZ127" s="77"/>
      <c r="VAA127" s="77"/>
      <c r="VAB127" s="77"/>
      <c r="VAC127" s="77"/>
      <c r="VAD127" s="77"/>
      <c r="VAE127" s="77"/>
      <c r="VAF127" s="77"/>
      <c r="VAG127" s="77"/>
      <c r="VAH127" s="77"/>
      <c r="VAI127" s="77"/>
      <c r="VAJ127" s="77"/>
      <c r="VAK127" s="77"/>
      <c r="VAL127" s="77"/>
      <c r="VAM127" s="77"/>
      <c r="VAN127" s="77"/>
      <c r="VAO127" s="77"/>
      <c r="VAP127" s="77"/>
      <c r="VAQ127" s="77"/>
      <c r="VAR127" s="77"/>
      <c r="VAS127" s="77"/>
      <c r="VAT127" s="77"/>
      <c r="VAU127" s="77"/>
      <c r="VAV127" s="77"/>
      <c r="VAW127" s="77"/>
      <c r="VAX127" s="77"/>
      <c r="VAY127" s="77"/>
      <c r="VAZ127" s="77"/>
      <c r="VBA127" s="77"/>
      <c r="VBB127" s="77"/>
      <c r="VBC127" s="77"/>
      <c r="VBD127" s="77"/>
      <c r="VBE127" s="77"/>
      <c r="VBF127" s="77"/>
      <c r="VBG127" s="77"/>
      <c r="VBH127" s="77"/>
      <c r="VBI127" s="77"/>
      <c r="VBJ127" s="77"/>
      <c r="VBK127" s="77"/>
      <c r="VBL127" s="77"/>
      <c r="VBM127" s="77"/>
      <c r="VBN127" s="77"/>
      <c r="VBO127" s="77"/>
      <c r="VBP127" s="77"/>
      <c r="VBQ127" s="77"/>
      <c r="VBR127" s="77"/>
      <c r="VBS127" s="77"/>
      <c r="VBT127" s="77"/>
      <c r="VBU127" s="77"/>
      <c r="VBV127" s="77"/>
      <c r="VBW127" s="77"/>
      <c r="VBX127" s="77"/>
      <c r="VBY127" s="77"/>
      <c r="VBZ127" s="77"/>
      <c r="VCA127" s="77"/>
      <c r="VCB127" s="77"/>
      <c r="VCC127" s="77"/>
      <c r="VCD127" s="77"/>
      <c r="VCE127" s="77"/>
      <c r="VCF127" s="77"/>
      <c r="VCG127" s="77"/>
      <c r="VCH127" s="77"/>
      <c r="VCI127" s="77"/>
      <c r="VCJ127" s="77"/>
      <c r="VCK127" s="77"/>
      <c r="VCL127" s="77"/>
      <c r="VCM127" s="77"/>
      <c r="VCN127" s="77"/>
      <c r="VCO127" s="77"/>
      <c r="VCP127" s="77"/>
      <c r="VCQ127" s="77"/>
      <c r="VCR127" s="77"/>
      <c r="VCS127" s="77"/>
      <c r="VCT127" s="77"/>
      <c r="VCU127" s="77"/>
      <c r="VCV127" s="77"/>
      <c r="VCW127" s="77"/>
      <c r="VCX127" s="77"/>
      <c r="VCY127" s="77"/>
      <c r="VCZ127" s="77"/>
      <c r="VDA127" s="77"/>
      <c r="VDB127" s="77"/>
      <c r="VDC127" s="77"/>
      <c r="VDD127" s="77"/>
      <c r="VDE127" s="77"/>
      <c r="VDF127" s="77"/>
      <c r="VDG127" s="77"/>
      <c r="VDH127" s="77"/>
      <c r="VDI127" s="77"/>
      <c r="VDJ127" s="77"/>
      <c r="VDK127" s="77"/>
      <c r="VDL127" s="77"/>
      <c r="VDM127" s="77"/>
      <c r="VDN127" s="77"/>
      <c r="VDO127" s="77"/>
      <c r="VDP127" s="77"/>
      <c r="VDQ127" s="77"/>
      <c r="VDR127" s="77"/>
      <c r="VDS127" s="77"/>
      <c r="VDT127" s="77"/>
      <c r="VDU127" s="77"/>
      <c r="VDV127" s="77"/>
      <c r="VDW127" s="77"/>
      <c r="VDX127" s="77"/>
      <c r="VDY127" s="77"/>
      <c r="VDZ127" s="77"/>
      <c r="VEA127" s="77"/>
      <c r="VEB127" s="77"/>
      <c r="VEC127" s="77"/>
      <c r="VED127" s="77"/>
      <c r="VEE127" s="77"/>
      <c r="VEF127" s="77"/>
      <c r="VEG127" s="77"/>
      <c r="VEH127" s="77"/>
      <c r="VEI127" s="77"/>
      <c r="VEJ127" s="77"/>
      <c r="VEK127" s="77"/>
      <c r="VEL127" s="77"/>
      <c r="VEM127" s="77"/>
      <c r="VEN127" s="77"/>
      <c r="VEO127" s="77"/>
      <c r="VEP127" s="77"/>
      <c r="VEQ127" s="77"/>
      <c r="VER127" s="77"/>
      <c r="VES127" s="77"/>
      <c r="VET127" s="77"/>
      <c r="VEU127" s="77"/>
      <c r="VEV127" s="77"/>
      <c r="VEW127" s="77"/>
      <c r="VEX127" s="77"/>
      <c r="VEY127" s="77"/>
      <c r="VEZ127" s="77"/>
      <c r="VFA127" s="77"/>
      <c r="VFB127" s="77"/>
      <c r="VFC127" s="77"/>
      <c r="VFD127" s="77"/>
      <c r="VFE127" s="77"/>
      <c r="VFF127" s="77"/>
      <c r="VFG127" s="77"/>
      <c r="VFH127" s="77"/>
      <c r="VFI127" s="77"/>
      <c r="VFJ127" s="77"/>
      <c r="VFK127" s="77"/>
      <c r="VFL127" s="77"/>
      <c r="VFM127" s="77"/>
      <c r="VFN127" s="77"/>
      <c r="VFO127" s="77"/>
      <c r="VFP127" s="77"/>
      <c r="VFQ127" s="77"/>
      <c r="VFR127" s="77"/>
      <c r="VFS127" s="77"/>
      <c r="VFT127" s="77"/>
      <c r="VFU127" s="77"/>
      <c r="VFV127" s="77"/>
      <c r="VFW127" s="77"/>
      <c r="VFX127" s="77"/>
      <c r="VFY127" s="77"/>
      <c r="VFZ127" s="77"/>
      <c r="VGA127" s="77"/>
      <c r="VGB127" s="77"/>
      <c r="VGC127" s="77"/>
      <c r="VGD127" s="77"/>
      <c r="VGE127" s="77"/>
      <c r="VGF127" s="77"/>
      <c r="VGG127" s="77"/>
      <c r="VGH127" s="77"/>
      <c r="VGI127" s="77"/>
      <c r="VGJ127" s="77"/>
      <c r="VGK127" s="77"/>
      <c r="VGL127" s="77"/>
      <c r="VGM127" s="77"/>
      <c r="VGN127" s="77"/>
      <c r="VGO127" s="77"/>
      <c r="VGP127" s="77"/>
      <c r="VGQ127" s="77"/>
      <c r="VGR127" s="77"/>
      <c r="VGS127" s="77"/>
      <c r="VGT127" s="77"/>
      <c r="VGU127" s="77"/>
      <c r="VGV127" s="77"/>
      <c r="VGW127" s="77"/>
      <c r="VGX127" s="77"/>
      <c r="VGY127" s="77"/>
      <c r="VGZ127" s="77"/>
      <c r="VHA127" s="77"/>
      <c r="VHB127" s="77"/>
      <c r="VHC127" s="77"/>
      <c r="VHD127" s="77"/>
      <c r="VHE127" s="77"/>
      <c r="VHF127" s="77"/>
      <c r="VHG127" s="77"/>
      <c r="VHH127" s="77"/>
      <c r="VHI127" s="77"/>
      <c r="VHJ127" s="77"/>
      <c r="VHK127" s="77"/>
      <c r="VHL127" s="77"/>
      <c r="VHM127" s="77"/>
      <c r="VHN127" s="77"/>
      <c r="VHO127" s="77"/>
      <c r="VHP127" s="77"/>
      <c r="VHQ127" s="77"/>
      <c r="VHR127" s="77"/>
      <c r="VHS127" s="77"/>
      <c r="VHT127" s="77"/>
      <c r="VHU127" s="77"/>
      <c r="VHV127" s="77"/>
      <c r="VHW127" s="77"/>
      <c r="VHX127" s="77"/>
      <c r="VHY127" s="77"/>
      <c r="VHZ127" s="77"/>
      <c r="VIA127" s="77"/>
      <c r="VIB127" s="77"/>
      <c r="VIC127" s="77"/>
      <c r="VID127" s="77"/>
      <c r="VIE127" s="77"/>
      <c r="VIF127" s="77"/>
      <c r="VIG127" s="77"/>
      <c r="VIH127" s="77"/>
      <c r="VII127" s="77"/>
      <c r="VIJ127" s="77"/>
      <c r="VIK127" s="77"/>
      <c r="VIL127" s="77"/>
      <c r="VIM127" s="77"/>
      <c r="VIN127" s="77"/>
      <c r="VIO127" s="77"/>
      <c r="VIP127" s="77"/>
      <c r="VIQ127" s="77"/>
      <c r="VIR127" s="77"/>
      <c r="VIS127" s="77"/>
      <c r="VIT127" s="77"/>
      <c r="VIU127" s="77"/>
      <c r="VIV127" s="77"/>
      <c r="VIW127" s="77"/>
      <c r="VIX127" s="77"/>
      <c r="VIY127" s="77"/>
      <c r="VIZ127" s="77"/>
      <c r="VJA127" s="77"/>
      <c r="VJB127" s="77"/>
      <c r="VJC127" s="77"/>
      <c r="VJD127" s="77"/>
      <c r="VJE127" s="77"/>
      <c r="VJF127" s="77"/>
      <c r="VJG127" s="77"/>
      <c r="VJH127" s="77"/>
      <c r="VJI127" s="77"/>
      <c r="VJJ127" s="77"/>
      <c r="VJK127" s="77"/>
      <c r="VJL127" s="77"/>
      <c r="VJM127" s="77"/>
      <c r="VJN127" s="77"/>
      <c r="VJO127" s="77"/>
      <c r="VJP127" s="77"/>
      <c r="VJQ127" s="77"/>
      <c r="VJR127" s="77"/>
      <c r="VJS127" s="77"/>
      <c r="VJT127" s="77"/>
      <c r="VJU127" s="77"/>
      <c r="VJV127" s="77"/>
      <c r="VJW127" s="77"/>
      <c r="VJX127" s="77"/>
      <c r="VJY127" s="77"/>
      <c r="VJZ127" s="77"/>
      <c r="VKA127" s="77"/>
      <c r="VKB127" s="77"/>
      <c r="VKC127" s="77"/>
      <c r="VKD127" s="77"/>
      <c r="VKE127" s="77"/>
      <c r="VKF127" s="77"/>
      <c r="VKG127" s="77"/>
      <c r="VKH127" s="77"/>
      <c r="VKI127" s="77"/>
      <c r="VKJ127" s="77"/>
      <c r="VKK127" s="77"/>
      <c r="VKL127" s="77"/>
      <c r="VKM127" s="77"/>
      <c r="VKN127" s="77"/>
      <c r="VKO127" s="77"/>
      <c r="VKP127" s="77"/>
      <c r="VKQ127" s="77"/>
      <c r="VKR127" s="77"/>
      <c r="VKS127" s="77"/>
      <c r="VKT127" s="77"/>
      <c r="VKU127" s="77"/>
      <c r="VKV127" s="77"/>
      <c r="VKW127" s="77"/>
      <c r="VKX127" s="77"/>
      <c r="VKY127" s="77"/>
      <c r="VKZ127" s="77"/>
      <c r="VLA127" s="77"/>
      <c r="VLB127" s="77"/>
      <c r="VLC127" s="77"/>
      <c r="VLD127" s="77"/>
      <c r="VLE127" s="77"/>
      <c r="VLF127" s="77"/>
      <c r="VLG127" s="77"/>
      <c r="VLH127" s="77"/>
      <c r="VLI127" s="77"/>
      <c r="VLJ127" s="77"/>
      <c r="VLK127" s="77"/>
      <c r="VLL127" s="77"/>
      <c r="VLM127" s="77"/>
      <c r="VLN127" s="77"/>
      <c r="VLO127" s="77"/>
      <c r="VLP127" s="77"/>
      <c r="VLQ127" s="77"/>
      <c r="VLR127" s="77"/>
      <c r="VLS127" s="77"/>
      <c r="VLT127" s="77"/>
      <c r="VLU127" s="77"/>
      <c r="VLV127" s="77"/>
      <c r="VLW127" s="77"/>
      <c r="VLX127" s="77"/>
      <c r="VLY127" s="77"/>
      <c r="VLZ127" s="77"/>
      <c r="VMA127" s="77"/>
      <c r="VMB127" s="77"/>
      <c r="VMC127" s="77"/>
      <c r="VMD127" s="77"/>
      <c r="VME127" s="77"/>
      <c r="VMF127" s="77"/>
      <c r="VMG127" s="77"/>
      <c r="VMH127" s="77"/>
      <c r="VMI127" s="77"/>
      <c r="VMJ127" s="77"/>
      <c r="VMK127" s="77"/>
      <c r="VML127" s="77"/>
      <c r="VMM127" s="77"/>
      <c r="VMN127" s="77"/>
      <c r="VMO127" s="77"/>
      <c r="VMP127" s="77"/>
      <c r="VMQ127" s="77"/>
      <c r="VMR127" s="77"/>
      <c r="VMS127" s="77"/>
      <c r="VMT127" s="77"/>
      <c r="VMU127" s="77"/>
      <c r="VMV127" s="77"/>
      <c r="VMW127" s="77"/>
      <c r="VMX127" s="77"/>
      <c r="VMY127" s="77"/>
      <c r="VMZ127" s="77"/>
      <c r="VNA127" s="77"/>
      <c r="VNB127" s="77"/>
      <c r="VNC127" s="77"/>
      <c r="VND127" s="77"/>
      <c r="VNE127" s="77"/>
      <c r="VNF127" s="77"/>
      <c r="VNG127" s="77"/>
      <c r="VNH127" s="77"/>
      <c r="VNI127" s="77"/>
      <c r="VNJ127" s="77"/>
      <c r="VNK127" s="77"/>
      <c r="VNL127" s="77"/>
      <c r="VNM127" s="77"/>
      <c r="VNN127" s="77"/>
      <c r="VNO127" s="77"/>
      <c r="VNP127" s="77"/>
      <c r="VNQ127" s="77"/>
      <c r="VNR127" s="77"/>
      <c r="VNS127" s="77"/>
      <c r="VNT127" s="77"/>
      <c r="VNU127" s="77"/>
      <c r="VNV127" s="77"/>
      <c r="VNW127" s="77"/>
      <c r="VNX127" s="77"/>
      <c r="VNY127" s="77"/>
      <c r="VNZ127" s="77"/>
      <c r="VOA127" s="77"/>
      <c r="VOB127" s="77"/>
      <c r="VOC127" s="77"/>
      <c r="VOD127" s="77"/>
      <c r="VOE127" s="77"/>
      <c r="VOF127" s="77"/>
      <c r="VOG127" s="77"/>
      <c r="VOH127" s="77"/>
      <c r="VOI127" s="77"/>
      <c r="VOJ127" s="77"/>
      <c r="VOK127" s="77"/>
      <c r="VOL127" s="77"/>
      <c r="VOM127" s="77"/>
      <c r="VON127" s="77"/>
      <c r="VOO127" s="77"/>
      <c r="VOP127" s="77"/>
      <c r="VOQ127" s="77"/>
      <c r="VOR127" s="77"/>
      <c r="VOS127" s="77"/>
      <c r="VOT127" s="77"/>
      <c r="VOU127" s="77"/>
      <c r="VOV127" s="77"/>
      <c r="VOW127" s="77"/>
      <c r="VOX127" s="77"/>
      <c r="VOY127" s="77"/>
      <c r="VOZ127" s="77"/>
      <c r="VPA127" s="77"/>
      <c r="VPB127" s="77"/>
      <c r="VPC127" s="77"/>
      <c r="VPD127" s="77"/>
      <c r="VPE127" s="77"/>
      <c r="VPF127" s="77"/>
      <c r="VPG127" s="77"/>
      <c r="VPH127" s="77"/>
      <c r="VPI127" s="77"/>
      <c r="VPJ127" s="77"/>
      <c r="VPK127" s="77"/>
      <c r="VPL127" s="77"/>
      <c r="VPM127" s="77"/>
      <c r="VPN127" s="77"/>
      <c r="VPO127" s="77"/>
      <c r="VPP127" s="77"/>
      <c r="VPQ127" s="77"/>
      <c r="VPR127" s="77"/>
      <c r="VPS127" s="77"/>
      <c r="VPT127" s="77"/>
      <c r="VPU127" s="77"/>
      <c r="VPV127" s="77"/>
      <c r="VPW127" s="77"/>
      <c r="VPX127" s="77"/>
      <c r="VPY127" s="77"/>
      <c r="VPZ127" s="77"/>
      <c r="VQA127" s="77"/>
      <c r="VQB127" s="77"/>
      <c r="VQC127" s="77"/>
      <c r="VQD127" s="77"/>
      <c r="VQE127" s="77"/>
      <c r="VQF127" s="77"/>
      <c r="VQG127" s="77"/>
      <c r="VQH127" s="77"/>
      <c r="VQI127" s="77"/>
      <c r="VQJ127" s="77"/>
      <c r="VQK127" s="77"/>
      <c r="VQL127" s="77"/>
      <c r="VQM127" s="77"/>
      <c r="VQN127" s="77"/>
      <c r="VQO127" s="77"/>
      <c r="VQP127" s="77"/>
      <c r="VQQ127" s="77"/>
      <c r="VQR127" s="77"/>
      <c r="VQS127" s="77"/>
      <c r="VQT127" s="77"/>
      <c r="VQU127" s="77"/>
      <c r="VQV127" s="77"/>
      <c r="VQW127" s="77"/>
      <c r="VQX127" s="77"/>
      <c r="VQY127" s="77"/>
      <c r="VQZ127" s="77"/>
      <c r="VRA127" s="77"/>
      <c r="VRB127" s="77"/>
      <c r="VRC127" s="77"/>
      <c r="VRD127" s="77"/>
      <c r="VRE127" s="77"/>
      <c r="VRF127" s="77"/>
      <c r="VRG127" s="77"/>
      <c r="VRH127" s="77"/>
      <c r="VRI127" s="77"/>
      <c r="VRJ127" s="77"/>
      <c r="VRK127" s="77"/>
      <c r="VRL127" s="77"/>
      <c r="VRM127" s="77"/>
      <c r="VRN127" s="77"/>
      <c r="VRO127" s="77"/>
      <c r="VRP127" s="77"/>
      <c r="VRQ127" s="77"/>
      <c r="VRR127" s="77"/>
      <c r="VRS127" s="77"/>
      <c r="VRT127" s="77"/>
      <c r="VRU127" s="77"/>
      <c r="VRV127" s="77"/>
      <c r="VRW127" s="77"/>
      <c r="VRX127" s="77"/>
      <c r="VRY127" s="77"/>
      <c r="VRZ127" s="77"/>
      <c r="VSA127" s="77"/>
      <c r="VSB127" s="77"/>
      <c r="VSC127" s="77"/>
      <c r="VSD127" s="77"/>
      <c r="VSE127" s="77"/>
      <c r="VSF127" s="77"/>
      <c r="VSG127" s="77"/>
      <c r="VSH127" s="77"/>
      <c r="VSI127" s="77"/>
      <c r="VSJ127" s="77"/>
      <c r="VSK127" s="77"/>
      <c r="VSL127" s="77"/>
      <c r="VSM127" s="77"/>
      <c r="VSN127" s="77"/>
      <c r="VSO127" s="77"/>
      <c r="VSP127" s="77"/>
      <c r="VSQ127" s="77"/>
      <c r="VSR127" s="77"/>
      <c r="VSS127" s="77"/>
      <c r="VST127" s="77"/>
      <c r="VSU127" s="77"/>
      <c r="VSV127" s="77"/>
      <c r="VSW127" s="77"/>
      <c r="VSX127" s="77"/>
      <c r="VSY127" s="77"/>
      <c r="VSZ127" s="77"/>
      <c r="VTA127" s="77"/>
      <c r="VTB127" s="77"/>
      <c r="VTC127" s="77"/>
      <c r="VTD127" s="77"/>
      <c r="VTE127" s="77"/>
      <c r="VTF127" s="77"/>
      <c r="VTG127" s="77"/>
      <c r="VTH127" s="77"/>
      <c r="VTI127" s="77"/>
      <c r="VTJ127" s="77"/>
      <c r="VTK127" s="77"/>
      <c r="VTL127" s="77"/>
      <c r="VTM127" s="77"/>
      <c r="VTN127" s="77"/>
      <c r="VTO127" s="77"/>
      <c r="VTP127" s="77"/>
      <c r="VTQ127" s="77"/>
      <c r="VTR127" s="77"/>
      <c r="VTS127" s="77"/>
      <c r="VTT127" s="77"/>
      <c r="VTU127" s="77"/>
      <c r="VTV127" s="77"/>
      <c r="VTW127" s="77"/>
      <c r="VTX127" s="77"/>
      <c r="VTY127" s="77"/>
      <c r="VTZ127" s="77"/>
      <c r="VUA127" s="77"/>
      <c r="VUB127" s="77"/>
      <c r="VUC127" s="77"/>
      <c r="VUD127" s="77"/>
      <c r="VUE127" s="77"/>
      <c r="VUF127" s="77"/>
      <c r="VUG127" s="77"/>
      <c r="VUH127" s="77"/>
      <c r="VUI127" s="77"/>
      <c r="VUJ127" s="77"/>
      <c r="VUK127" s="77"/>
      <c r="VUL127" s="77"/>
      <c r="VUM127" s="77"/>
      <c r="VUN127" s="77"/>
      <c r="VUO127" s="77"/>
      <c r="VUP127" s="77"/>
      <c r="VUQ127" s="77"/>
      <c r="VUR127" s="77"/>
      <c r="VUS127" s="77"/>
      <c r="VUT127" s="77"/>
      <c r="VUU127" s="77"/>
      <c r="VUV127" s="77"/>
      <c r="VUW127" s="77"/>
      <c r="VUX127" s="77"/>
      <c r="VUY127" s="77"/>
      <c r="VUZ127" s="77"/>
      <c r="VVA127" s="77"/>
      <c r="VVB127" s="77"/>
      <c r="VVC127" s="77"/>
      <c r="VVD127" s="77"/>
      <c r="VVE127" s="77"/>
      <c r="VVF127" s="77"/>
      <c r="VVG127" s="77"/>
      <c r="VVH127" s="77"/>
      <c r="VVI127" s="77"/>
      <c r="VVJ127" s="77"/>
      <c r="VVK127" s="77"/>
      <c r="VVL127" s="77"/>
      <c r="VVM127" s="77"/>
      <c r="VVN127" s="77"/>
      <c r="VVO127" s="77"/>
      <c r="VVP127" s="77"/>
      <c r="VVQ127" s="77"/>
      <c r="VVR127" s="77"/>
      <c r="VVS127" s="77"/>
      <c r="VVT127" s="77"/>
      <c r="VVU127" s="77"/>
      <c r="VVV127" s="77"/>
      <c r="VVW127" s="77"/>
      <c r="VVX127" s="77"/>
      <c r="VVY127" s="77"/>
      <c r="VVZ127" s="77"/>
      <c r="VWA127" s="77"/>
      <c r="VWB127" s="77"/>
      <c r="VWC127" s="77"/>
      <c r="VWD127" s="77"/>
      <c r="VWE127" s="77"/>
      <c r="VWF127" s="77"/>
      <c r="VWG127" s="77"/>
      <c r="VWH127" s="77"/>
      <c r="VWI127" s="77"/>
      <c r="VWJ127" s="77"/>
      <c r="VWK127" s="77"/>
      <c r="VWL127" s="77"/>
      <c r="VWM127" s="77"/>
      <c r="VWN127" s="77"/>
      <c r="VWO127" s="77"/>
      <c r="VWP127" s="77"/>
      <c r="VWQ127" s="77"/>
      <c r="VWR127" s="77"/>
      <c r="VWS127" s="77"/>
      <c r="VWT127" s="77"/>
      <c r="VWU127" s="77"/>
      <c r="VWV127" s="77"/>
      <c r="VWW127" s="77"/>
      <c r="VWX127" s="77"/>
      <c r="VWY127" s="77"/>
      <c r="VWZ127" s="77"/>
      <c r="VXA127" s="77"/>
      <c r="VXB127" s="77"/>
      <c r="VXC127" s="77"/>
      <c r="VXD127" s="77"/>
      <c r="VXE127" s="77"/>
      <c r="VXF127" s="77"/>
      <c r="VXG127" s="77"/>
      <c r="VXH127" s="77"/>
      <c r="VXI127" s="77"/>
      <c r="VXJ127" s="77"/>
      <c r="VXK127" s="77"/>
      <c r="VXL127" s="77"/>
      <c r="VXM127" s="77"/>
      <c r="VXN127" s="77"/>
      <c r="VXO127" s="77"/>
      <c r="VXP127" s="77"/>
      <c r="VXQ127" s="77"/>
      <c r="VXR127" s="77"/>
      <c r="VXS127" s="77"/>
      <c r="VXT127" s="77"/>
      <c r="VXU127" s="77"/>
      <c r="VXV127" s="77"/>
      <c r="VXW127" s="77"/>
      <c r="VXX127" s="77"/>
      <c r="VXY127" s="77"/>
      <c r="VXZ127" s="77"/>
      <c r="VYA127" s="77"/>
      <c r="VYB127" s="77"/>
      <c r="VYC127" s="77"/>
      <c r="VYD127" s="77"/>
      <c r="VYE127" s="77"/>
      <c r="VYF127" s="77"/>
      <c r="VYG127" s="77"/>
      <c r="VYH127" s="77"/>
      <c r="VYI127" s="77"/>
      <c r="VYJ127" s="77"/>
      <c r="VYK127" s="77"/>
      <c r="VYL127" s="77"/>
      <c r="VYM127" s="77"/>
      <c r="VYN127" s="77"/>
      <c r="VYO127" s="77"/>
      <c r="VYP127" s="77"/>
      <c r="VYQ127" s="77"/>
      <c r="VYR127" s="77"/>
      <c r="VYS127" s="77"/>
      <c r="VYT127" s="77"/>
      <c r="VYU127" s="77"/>
      <c r="VYV127" s="77"/>
      <c r="VYW127" s="77"/>
      <c r="VYX127" s="77"/>
      <c r="VYY127" s="77"/>
      <c r="VYZ127" s="77"/>
      <c r="VZA127" s="77"/>
      <c r="VZB127" s="77"/>
      <c r="VZC127" s="77"/>
      <c r="VZD127" s="77"/>
      <c r="VZE127" s="77"/>
      <c r="VZF127" s="77"/>
      <c r="VZG127" s="77"/>
      <c r="VZH127" s="77"/>
      <c r="VZI127" s="77"/>
      <c r="VZJ127" s="77"/>
      <c r="VZK127" s="77"/>
      <c r="VZL127" s="77"/>
      <c r="VZM127" s="77"/>
      <c r="VZN127" s="77"/>
      <c r="VZO127" s="77"/>
      <c r="VZP127" s="77"/>
      <c r="VZQ127" s="77"/>
      <c r="VZR127" s="77"/>
      <c r="VZS127" s="77"/>
      <c r="VZT127" s="77"/>
      <c r="VZU127" s="77"/>
      <c r="VZV127" s="77"/>
      <c r="VZW127" s="77"/>
      <c r="VZX127" s="77"/>
      <c r="VZY127" s="77"/>
      <c r="VZZ127" s="77"/>
      <c r="WAA127" s="77"/>
      <c r="WAB127" s="77"/>
      <c r="WAC127" s="77"/>
      <c r="WAD127" s="77"/>
      <c r="WAE127" s="77"/>
      <c r="WAF127" s="77"/>
      <c r="WAG127" s="77"/>
      <c r="WAH127" s="77"/>
      <c r="WAI127" s="77"/>
      <c r="WAJ127" s="77"/>
      <c r="WAK127" s="77"/>
      <c r="WAL127" s="77"/>
      <c r="WAM127" s="77"/>
      <c r="WAN127" s="77"/>
      <c r="WAO127" s="77"/>
      <c r="WAP127" s="77"/>
      <c r="WAQ127" s="77"/>
      <c r="WAR127" s="77"/>
      <c r="WAS127" s="77"/>
      <c r="WAT127" s="77"/>
      <c r="WAU127" s="77"/>
      <c r="WAV127" s="77"/>
      <c r="WAW127" s="77"/>
      <c r="WAX127" s="77"/>
      <c r="WAY127" s="77"/>
      <c r="WAZ127" s="77"/>
      <c r="WBA127" s="77"/>
      <c r="WBB127" s="77"/>
      <c r="WBC127" s="77"/>
      <c r="WBD127" s="77"/>
      <c r="WBE127" s="77"/>
      <c r="WBF127" s="77"/>
      <c r="WBG127" s="77"/>
      <c r="WBH127" s="77"/>
      <c r="WBI127" s="77"/>
      <c r="WBJ127" s="77"/>
      <c r="WBK127" s="77"/>
      <c r="WBL127" s="77"/>
      <c r="WBM127" s="77"/>
      <c r="WBN127" s="77"/>
      <c r="WBO127" s="77"/>
      <c r="WBP127" s="77"/>
      <c r="WBQ127" s="77"/>
      <c r="WBR127" s="77"/>
      <c r="WBS127" s="77"/>
      <c r="WBT127" s="77"/>
      <c r="WBU127" s="77"/>
      <c r="WBV127" s="77"/>
      <c r="WBW127" s="77"/>
      <c r="WBX127" s="77"/>
      <c r="WBY127" s="77"/>
      <c r="WBZ127" s="77"/>
      <c r="WCA127" s="77"/>
      <c r="WCB127" s="77"/>
      <c r="WCC127" s="77"/>
      <c r="WCD127" s="77"/>
      <c r="WCE127" s="77"/>
      <c r="WCF127" s="77"/>
      <c r="WCG127" s="77"/>
      <c r="WCH127" s="77"/>
      <c r="WCI127" s="77"/>
      <c r="WCJ127" s="77"/>
      <c r="WCK127" s="77"/>
      <c r="WCL127" s="77"/>
      <c r="WCM127" s="77"/>
      <c r="WCN127" s="77"/>
      <c r="WCO127" s="77"/>
      <c r="WCP127" s="77"/>
      <c r="WCQ127" s="77"/>
      <c r="WCR127" s="77"/>
      <c r="WCS127" s="77"/>
      <c r="WCT127" s="77"/>
      <c r="WCU127" s="77"/>
      <c r="WCV127" s="77"/>
      <c r="WCW127" s="77"/>
      <c r="WCX127" s="77"/>
      <c r="WCY127" s="77"/>
      <c r="WCZ127" s="77"/>
      <c r="WDA127" s="77"/>
      <c r="WDB127" s="77"/>
      <c r="WDC127" s="77"/>
      <c r="WDD127" s="77"/>
      <c r="WDE127" s="77"/>
      <c r="WDF127" s="77"/>
      <c r="WDG127" s="77"/>
      <c r="WDH127" s="77"/>
      <c r="WDI127" s="77"/>
      <c r="WDJ127" s="77"/>
      <c r="WDK127" s="77"/>
      <c r="WDL127" s="77"/>
      <c r="WDM127" s="77"/>
      <c r="WDN127" s="77"/>
      <c r="WDO127" s="77"/>
      <c r="WDP127" s="77"/>
      <c r="WDQ127" s="77"/>
      <c r="WDR127" s="77"/>
      <c r="WDS127" s="77"/>
      <c r="WDT127" s="77"/>
      <c r="WDU127" s="77"/>
      <c r="WDV127" s="77"/>
      <c r="WDW127" s="77"/>
      <c r="WDX127" s="77"/>
      <c r="WDY127" s="77"/>
      <c r="WDZ127" s="77"/>
      <c r="WEA127" s="77"/>
      <c r="WEB127" s="77"/>
      <c r="WEC127" s="77"/>
      <c r="WED127" s="77"/>
      <c r="WEE127" s="77"/>
      <c r="WEF127" s="77"/>
      <c r="WEG127" s="77"/>
      <c r="WEH127" s="77"/>
      <c r="WEI127" s="77"/>
      <c r="WEJ127" s="77"/>
      <c r="WEK127" s="77"/>
      <c r="WEL127" s="77"/>
      <c r="WEM127" s="77"/>
      <c r="WEN127" s="77"/>
      <c r="WEO127" s="77"/>
      <c r="WEP127" s="77"/>
      <c r="WEQ127" s="77"/>
      <c r="WER127" s="77"/>
      <c r="WES127" s="77"/>
      <c r="WET127" s="77"/>
      <c r="WEU127" s="77"/>
      <c r="WEV127" s="77"/>
      <c r="WEW127" s="77"/>
      <c r="WEX127" s="77"/>
      <c r="WEY127" s="77"/>
      <c r="WEZ127" s="77"/>
      <c r="WFA127" s="77"/>
      <c r="WFB127" s="77"/>
      <c r="WFC127" s="77"/>
      <c r="WFD127" s="77"/>
      <c r="WFE127" s="77"/>
      <c r="WFF127" s="77"/>
      <c r="WFG127" s="77"/>
      <c r="WFH127" s="77"/>
      <c r="WFI127" s="77"/>
      <c r="WFJ127" s="77"/>
      <c r="WFK127" s="77"/>
      <c r="WFL127" s="77"/>
      <c r="WFM127" s="77"/>
      <c r="WFN127" s="77"/>
      <c r="WFO127" s="77"/>
      <c r="WFP127" s="77"/>
      <c r="WFQ127" s="77"/>
      <c r="WFR127" s="77"/>
      <c r="WFS127" s="77"/>
      <c r="WFT127" s="77"/>
      <c r="WFU127" s="77"/>
      <c r="WFV127" s="77"/>
      <c r="WFW127" s="77"/>
      <c r="WFX127" s="77"/>
      <c r="WFY127" s="77"/>
      <c r="WFZ127" s="77"/>
      <c r="WGA127" s="77"/>
      <c r="WGB127" s="77"/>
      <c r="WGC127" s="77"/>
      <c r="WGD127" s="77"/>
      <c r="WGE127" s="77"/>
      <c r="WGF127" s="77"/>
      <c r="WGG127" s="77"/>
      <c r="WGH127" s="77"/>
      <c r="WGI127" s="77"/>
      <c r="WGJ127" s="77"/>
      <c r="WGK127" s="77"/>
      <c r="WGL127" s="77"/>
      <c r="WGM127" s="77"/>
      <c r="WGN127" s="77"/>
      <c r="WGO127" s="77"/>
      <c r="WGP127" s="77"/>
      <c r="WGQ127" s="77"/>
      <c r="WGR127" s="77"/>
      <c r="WGS127" s="77"/>
      <c r="WGT127" s="77"/>
      <c r="WGU127" s="77"/>
      <c r="WGV127" s="77"/>
      <c r="WGW127" s="77"/>
      <c r="WGX127" s="77"/>
      <c r="WGY127" s="77"/>
      <c r="WGZ127" s="77"/>
      <c r="WHA127" s="77"/>
      <c r="WHB127" s="77"/>
      <c r="WHC127" s="77"/>
      <c r="WHD127" s="77"/>
      <c r="WHE127" s="77"/>
      <c r="WHF127" s="77"/>
      <c r="WHG127" s="77"/>
      <c r="WHH127" s="77"/>
      <c r="WHI127" s="77"/>
      <c r="WHJ127" s="77"/>
      <c r="WHK127" s="77"/>
      <c r="WHL127" s="77"/>
      <c r="WHM127" s="77"/>
      <c r="WHN127" s="77"/>
      <c r="WHO127" s="77"/>
      <c r="WHP127" s="77"/>
      <c r="WHQ127" s="77"/>
      <c r="WHR127" s="77"/>
      <c r="WHS127" s="77"/>
      <c r="WHT127" s="77"/>
      <c r="WHU127" s="77"/>
      <c r="WHV127" s="77"/>
      <c r="WHW127" s="77"/>
      <c r="WHX127" s="77"/>
      <c r="WHY127" s="77"/>
      <c r="WHZ127" s="77"/>
      <c r="WIA127" s="77"/>
      <c r="WIB127" s="77"/>
      <c r="WIC127" s="77"/>
      <c r="WID127" s="77"/>
      <c r="WIE127" s="77"/>
      <c r="WIF127" s="77"/>
      <c r="WIG127" s="77"/>
      <c r="WIH127" s="77"/>
      <c r="WII127" s="77"/>
      <c r="WIJ127" s="77"/>
      <c r="WIK127" s="77"/>
      <c r="WIL127" s="77"/>
      <c r="WIM127" s="77"/>
      <c r="WIN127" s="77"/>
      <c r="WIO127" s="77"/>
      <c r="WIP127" s="77"/>
      <c r="WIQ127" s="77"/>
      <c r="WIR127" s="77"/>
      <c r="WIS127" s="77"/>
      <c r="WIT127" s="77"/>
      <c r="WIU127" s="77"/>
      <c r="WIV127" s="77"/>
      <c r="WIW127" s="77"/>
      <c r="WIX127" s="77"/>
      <c r="WIY127" s="77"/>
      <c r="WIZ127" s="77"/>
      <c r="WJA127" s="77"/>
      <c r="WJB127" s="77"/>
      <c r="WJC127" s="77"/>
      <c r="WJD127" s="77"/>
      <c r="WJE127" s="77"/>
      <c r="WJF127" s="77"/>
      <c r="WJG127" s="77"/>
      <c r="WJH127" s="77"/>
      <c r="WJI127" s="77"/>
      <c r="WJJ127" s="77"/>
      <c r="WJK127" s="77"/>
      <c r="WJL127" s="77"/>
      <c r="WJM127" s="77"/>
      <c r="WJN127" s="77"/>
      <c r="WJO127" s="77"/>
      <c r="WJP127" s="77"/>
      <c r="WJQ127" s="77"/>
      <c r="WJR127" s="77"/>
      <c r="WJS127" s="77"/>
      <c r="WJT127" s="77"/>
      <c r="WJU127" s="77"/>
      <c r="WJV127" s="77"/>
      <c r="WJW127" s="77"/>
      <c r="WJX127" s="77"/>
      <c r="WJY127" s="77"/>
      <c r="WJZ127" s="77"/>
      <c r="WKA127" s="77"/>
      <c r="WKB127" s="77"/>
      <c r="WKC127" s="77"/>
      <c r="WKD127" s="77"/>
      <c r="WKE127" s="77"/>
      <c r="WKF127" s="77"/>
      <c r="WKG127" s="77"/>
      <c r="WKH127" s="77"/>
      <c r="WKI127" s="77"/>
      <c r="WKJ127" s="77"/>
      <c r="WKK127" s="77"/>
      <c r="WKL127" s="77"/>
      <c r="WKM127" s="77"/>
      <c r="WKN127" s="77"/>
      <c r="WKO127" s="77"/>
      <c r="WKP127" s="77"/>
      <c r="WKQ127" s="77"/>
      <c r="WKR127" s="77"/>
      <c r="WKS127" s="77"/>
      <c r="WKT127" s="77"/>
      <c r="WKU127" s="77"/>
      <c r="WKV127" s="77"/>
      <c r="WKW127" s="77"/>
      <c r="WKX127" s="77"/>
      <c r="WKY127" s="77"/>
      <c r="WKZ127" s="77"/>
      <c r="WLA127" s="77"/>
      <c r="WLB127" s="77"/>
      <c r="WLC127" s="77"/>
      <c r="WLD127" s="77"/>
      <c r="WLE127" s="77"/>
      <c r="WLF127" s="77"/>
      <c r="WLG127" s="77"/>
      <c r="WLH127" s="77"/>
      <c r="WLI127" s="77"/>
      <c r="WLJ127" s="77"/>
      <c r="WLK127" s="77"/>
      <c r="WLL127" s="77"/>
      <c r="WLM127" s="77"/>
      <c r="WLN127" s="77"/>
      <c r="WLO127" s="77"/>
      <c r="WLP127" s="77"/>
      <c r="WLQ127" s="77"/>
      <c r="WLR127" s="77"/>
      <c r="WLS127" s="77"/>
      <c r="WLT127" s="77"/>
      <c r="WLU127" s="77"/>
      <c r="WLV127" s="77"/>
      <c r="WLW127" s="77"/>
      <c r="WLX127" s="77"/>
      <c r="WLY127" s="77"/>
      <c r="WLZ127" s="77"/>
      <c r="WMA127" s="77"/>
      <c r="WMB127" s="77"/>
      <c r="WMC127" s="77"/>
      <c r="WMD127" s="77"/>
      <c r="WME127" s="77"/>
      <c r="WMF127" s="77"/>
      <c r="WMG127" s="77"/>
      <c r="WMH127" s="77"/>
      <c r="WMI127" s="77"/>
      <c r="WMJ127" s="77"/>
      <c r="WMK127" s="77"/>
      <c r="WML127" s="77"/>
      <c r="WMM127" s="77"/>
      <c r="WMN127" s="77"/>
      <c r="WMO127" s="77"/>
      <c r="WMP127" s="77"/>
      <c r="WMQ127" s="77"/>
      <c r="WMR127" s="77"/>
      <c r="WMS127" s="77"/>
      <c r="WMT127" s="77"/>
      <c r="WMU127" s="77"/>
      <c r="WMV127" s="77"/>
      <c r="WMW127" s="77"/>
      <c r="WMX127" s="77"/>
      <c r="WMY127" s="77"/>
      <c r="WMZ127" s="77"/>
      <c r="WNA127" s="77"/>
      <c r="WNB127" s="77"/>
      <c r="WNC127" s="77"/>
      <c r="WND127" s="77"/>
      <c r="WNE127" s="77"/>
      <c r="WNF127" s="77"/>
      <c r="WNG127" s="77"/>
      <c r="WNH127" s="77"/>
      <c r="WNI127" s="77"/>
      <c r="WNJ127" s="77"/>
      <c r="WNK127" s="77"/>
      <c r="WNL127" s="77"/>
      <c r="WNM127" s="77"/>
      <c r="WNN127" s="77"/>
      <c r="WNO127" s="77"/>
      <c r="WNP127" s="77"/>
      <c r="WNQ127" s="77"/>
      <c r="WNR127" s="77"/>
      <c r="WNS127" s="77"/>
      <c r="WNT127" s="77"/>
      <c r="WNU127" s="77"/>
      <c r="WNV127" s="77"/>
      <c r="WNW127" s="77"/>
      <c r="WNX127" s="77"/>
      <c r="WNY127" s="77"/>
      <c r="WNZ127" s="77"/>
      <c r="WOA127" s="77"/>
      <c r="WOB127" s="77"/>
      <c r="WOC127" s="77"/>
      <c r="WOD127" s="77"/>
      <c r="WOE127" s="77"/>
      <c r="WOF127" s="77"/>
      <c r="WOG127" s="77"/>
      <c r="WOH127" s="77"/>
      <c r="WOI127" s="77"/>
      <c r="WOJ127" s="77"/>
      <c r="WOK127" s="77"/>
      <c r="WOL127" s="77"/>
      <c r="WOM127" s="77"/>
      <c r="WON127" s="77"/>
      <c r="WOO127" s="77"/>
      <c r="WOP127" s="77"/>
      <c r="WOQ127" s="77"/>
      <c r="WOR127" s="77"/>
      <c r="WOS127" s="77"/>
      <c r="WOT127" s="77"/>
      <c r="WOU127" s="77"/>
      <c r="WOV127" s="77"/>
      <c r="WOW127" s="77"/>
      <c r="WOX127" s="77"/>
      <c r="WOY127" s="77"/>
      <c r="WOZ127" s="77"/>
      <c r="WPA127" s="77"/>
      <c r="WPB127" s="77"/>
      <c r="WPC127" s="77"/>
      <c r="WPD127" s="77"/>
      <c r="WPE127" s="77"/>
      <c r="WPF127" s="77"/>
      <c r="WPG127" s="77"/>
      <c r="WPH127" s="77"/>
      <c r="WPI127" s="77"/>
      <c r="WPJ127" s="77"/>
      <c r="WPK127" s="77"/>
      <c r="WPL127" s="77"/>
      <c r="WPM127" s="77"/>
      <c r="WPN127" s="77"/>
      <c r="WPO127" s="77"/>
      <c r="WPP127" s="77"/>
      <c r="WPQ127" s="77"/>
      <c r="WPR127" s="77"/>
      <c r="WPS127" s="77"/>
      <c r="WPT127" s="77"/>
      <c r="WPU127" s="77"/>
      <c r="WPV127" s="77"/>
      <c r="WPW127" s="77"/>
      <c r="WPX127" s="77"/>
      <c r="WPY127" s="77"/>
      <c r="WPZ127" s="77"/>
      <c r="WQA127" s="77"/>
      <c r="WQB127" s="77"/>
      <c r="WQC127" s="77"/>
      <c r="WQD127" s="77"/>
      <c r="WQE127" s="77"/>
      <c r="WQF127" s="77"/>
      <c r="WQG127" s="77"/>
      <c r="WQH127" s="77"/>
      <c r="WQI127" s="77"/>
      <c r="WQJ127" s="77"/>
      <c r="WQK127" s="77"/>
      <c r="WQL127" s="77"/>
      <c r="WQM127" s="77"/>
      <c r="WQN127" s="77"/>
      <c r="WQO127" s="77"/>
      <c r="WQP127" s="77"/>
      <c r="WQQ127" s="77"/>
      <c r="WQR127" s="77"/>
      <c r="WQS127" s="77"/>
      <c r="WQT127" s="77"/>
      <c r="WQU127" s="77"/>
      <c r="WQV127" s="77"/>
      <c r="WQW127" s="77"/>
      <c r="WQX127" s="77"/>
      <c r="WQY127" s="77"/>
      <c r="WQZ127" s="77"/>
      <c r="WRA127" s="77"/>
      <c r="WRB127" s="77"/>
      <c r="WRC127" s="77"/>
      <c r="WRD127" s="77"/>
      <c r="WRE127" s="77"/>
      <c r="WRF127" s="77"/>
      <c r="WRG127" s="77"/>
      <c r="WRH127" s="77"/>
      <c r="WRI127" s="77"/>
      <c r="WRJ127" s="77"/>
      <c r="WRK127" s="77"/>
      <c r="WRL127" s="77"/>
      <c r="WRM127" s="77"/>
      <c r="WRN127" s="77"/>
      <c r="WRO127" s="77"/>
      <c r="WRP127" s="77"/>
      <c r="WRQ127" s="77"/>
      <c r="WRR127" s="77"/>
      <c r="WRS127" s="77"/>
      <c r="WRT127" s="77"/>
      <c r="WRU127" s="77"/>
      <c r="WRV127" s="77"/>
      <c r="WRW127" s="77"/>
      <c r="WRX127" s="77"/>
      <c r="WRY127" s="77"/>
      <c r="WRZ127" s="77"/>
      <c r="WSA127" s="77"/>
      <c r="WSB127" s="77"/>
      <c r="WSC127" s="77"/>
      <c r="WSD127" s="77"/>
      <c r="WSE127" s="77"/>
      <c r="WSF127" s="77"/>
      <c r="WSG127" s="77"/>
      <c r="WSH127" s="77"/>
      <c r="WSI127" s="77"/>
      <c r="WSJ127" s="77"/>
      <c r="WSK127" s="77"/>
      <c r="WSL127" s="77"/>
      <c r="WSM127" s="77"/>
      <c r="WSN127" s="77"/>
      <c r="WSO127" s="77"/>
      <c r="WSP127" s="77"/>
      <c r="WSQ127" s="77"/>
      <c r="WSR127" s="77"/>
      <c r="WSS127" s="77"/>
      <c r="WST127" s="77"/>
      <c r="WSU127" s="77"/>
      <c r="WSV127" s="77"/>
      <c r="WSW127" s="77"/>
      <c r="WSX127" s="77"/>
      <c r="WSY127" s="77"/>
      <c r="WSZ127" s="77"/>
      <c r="WTA127" s="77"/>
      <c r="WTB127" s="77"/>
      <c r="WTC127" s="77"/>
      <c r="WTD127" s="77"/>
      <c r="WTE127" s="77"/>
      <c r="WTF127" s="77"/>
      <c r="WTG127" s="77"/>
      <c r="WTH127" s="77"/>
      <c r="WTI127" s="77"/>
      <c r="WTJ127" s="77"/>
      <c r="WTK127" s="77"/>
      <c r="WTL127" s="77"/>
      <c r="WTM127" s="77"/>
      <c r="WTN127" s="77"/>
      <c r="WTO127" s="77"/>
      <c r="WTP127" s="77"/>
      <c r="WTQ127" s="77"/>
      <c r="WTR127" s="77"/>
      <c r="WTS127" s="77"/>
      <c r="WTT127" s="77"/>
      <c r="WTU127" s="77"/>
      <c r="WTV127" s="77"/>
      <c r="WTW127" s="77"/>
      <c r="WTX127" s="77"/>
      <c r="WTY127" s="77"/>
      <c r="WTZ127" s="77"/>
      <c r="WUA127" s="77"/>
      <c r="WUB127" s="77"/>
      <c r="WUC127" s="77"/>
      <c r="WUD127" s="77"/>
      <c r="WUE127" s="77"/>
      <c r="WUF127" s="77"/>
      <c r="WUG127" s="77"/>
      <c r="WUH127" s="77"/>
      <c r="WUI127" s="77"/>
      <c r="WUJ127" s="77"/>
      <c r="WUK127" s="77"/>
      <c r="WUL127" s="77"/>
      <c r="WUM127" s="77"/>
      <c r="WUN127" s="77"/>
      <c r="WUO127" s="77"/>
      <c r="WUP127" s="77"/>
      <c r="WUQ127" s="77"/>
      <c r="WUR127" s="77"/>
      <c r="WUS127" s="77"/>
      <c r="WUT127" s="77"/>
      <c r="WUU127" s="77"/>
      <c r="WUV127" s="77"/>
      <c r="WUW127" s="77"/>
      <c r="WUX127" s="77"/>
      <c r="WUY127" s="77"/>
      <c r="WUZ127" s="77"/>
      <c r="WVA127" s="77"/>
      <c r="WVB127" s="77"/>
      <c r="WVC127" s="77"/>
      <c r="WVD127" s="77"/>
      <c r="WVE127" s="77"/>
      <c r="WVF127" s="77"/>
      <c r="WVG127" s="77"/>
      <c r="WVH127" s="77"/>
      <c r="WVI127" s="77"/>
      <c r="WVJ127" s="77"/>
      <c r="WVK127" s="77"/>
      <c r="WVL127" s="77"/>
      <c r="WVM127" s="77"/>
      <c r="WVN127" s="77"/>
      <c r="WVO127" s="77"/>
      <c r="WVP127" s="77"/>
      <c r="WVQ127" s="77"/>
      <c r="WVR127" s="77"/>
      <c r="WVS127" s="77"/>
      <c r="WVT127" s="77"/>
      <c r="WVU127" s="77"/>
      <c r="WVV127" s="77"/>
      <c r="WVW127" s="77"/>
      <c r="WVX127" s="77"/>
      <c r="WVY127" s="77"/>
      <c r="WVZ127" s="77"/>
      <c r="WWA127" s="77"/>
      <c r="WWB127" s="77"/>
      <c r="WWC127" s="77"/>
      <c r="WWD127" s="77"/>
      <c r="WWE127" s="77"/>
      <c r="WWF127" s="77"/>
      <c r="WWG127" s="77"/>
      <c r="WWH127" s="77"/>
      <c r="WWI127" s="77"/>
      <c r="WWJ127" s="77"/>
      <c r="WWK127" s="77"/>
      <c r="WWL127" s="77"/>
      <c r="WWM127" s="77"/>
      <c r="WWN127" s="77"/>
      <c r="WWO127" s="77"/>
      <c r="WWP127" s="77"/>
      <c r="WWQ127" s="77"/>
      <c r="WWR127" s="77"/>
      <c r="WWS127" s="77"/>
      <c r="WWT127" s="77"/>
      <c r="WWU127" s="77"/>
      <c r="WWV127" s="77"/>
      <c r="WWW127" s="77"/>
      <c r="WWX127" s="77"/>
      <c r="WWY127" s="77"/>
      <c r="WWZ127" s="77"/>
      <c r="WXA127" s="77"/>
      <c r="WXB127" s="77"/>
      <c r="WXC127" s="77"/>
      <c r="WXD127" s="77"/>
      <c r="WXE127" s="77"/>
      <c r="WXF127" s="77"/>
      <c r="WXG127" s="77"/>
      <c r="WXH127" s="77"/>
      <c r="WXI127" s="77"/>
      <c r="WXJ127" s="77"/>
      <c r="WXK127" s="77"/>
      <c r="WXL127" s="77"/>
      <c r="WXM127" s="77"/>
      <c r="WXN127" s="77"/>
      <c r="WXO127" s="77"/>
      <c r="WXP127" s="77"/>
      <c r="WXQ127" s="77"/>
      <c r="WXR127" s="77"/>
      <c r="WXS127" s="77"/>
      <c r="WXT127" s="77"/>
      <c r="WXU127" s="77"/>
      <c r="WXV127" s="77"/>
      <c r="WXW127" s="77"/>
      <c r="WXX127" s="77"/>
      <c r="WXY127" s="77"/>
      <c r="WXZ127" s="77"/>
      <c r="WYA127" s="77"/>
      <c r="WYB127" s="77"/>
      <c r="WYC127" s="77"/>
      <c r="WYD127" s="77"/>
      <c r="WYE127" s="77"/>
      <c r="WYF127" s="77"/>
      <c r="WYG127" s="77"/>
      <c r="WYH127" s="77"/>
      <c r="WYI127" s="77"/>
      <c r="WYJ127" s="77"/>
      <c r="WYK127" s="77"/>
      <c r="WYL127" s="77"/>
      <c r="WYM127" s="77"/>
      <c r="WYN127" s="77"/>
      <c r="WYO127" s="77"/>
      <c r="WYP127" s="77"/>
      <c r="WYQ127" s="77"/>
      <c r="WYR127" s="77"/>
      <c r="WYS127" s="77"/>
      <c r="WYT127" s="77"/>
      <c r="WYU127" s="77"/>
      <c r="WYV127" s="77"/>
      <c r="WYW127" s="77"/>
      <c r="WYX127" s="77"/>
      <c r="WYY127" s="77"/>
      <c r="WYZ127" s="77"/>
      <c r="WZA127" s="77"/>
      <c r="WZB127" s="77"/>
      <c r="WZC127" s="77"/>
      <c r="WZD127" s="77"/>
      <c r="WZE127" s="77"/>
      <c r="WZF127" s="77"/>
      <c r="WZG127" s="77"/>
      <c r="WZH127" s="77"/>
      <c r="WZI127" s="77"/>
      <c r="WZJ127" s="77"/>
      <c r="WZK127" s="77"/>
      <c r="WZL127" s="77"/>
      <c r="WZM127" s="77"/>
      <c r="WZN127" s="77"/>
      <c r="WZO127" s="77"/>
      <c r="WZP127" s="77"/>
      <c r="WZQ127" s="77"/>
      <c r="WZR127" s="77"/>
      <c r="WZS127" s="77"/>
      <c r="WZT127" s="77"/>
      <c r="WZU127" s="77"/>
      <c r="WZV127" s="77"/>
      <c r="WZW127" s="77"/>
      <c r="WZX127" s="77"/>
      <c r="WZY127" s="77"/>
      <c r="WZZ127" s="77"/>
      <c r="XAA127" s="77"/>
      <c r="XAB127" s="77"/>
      <c r="XAC127" s="77"/>
      <c r="XAD127" s="77"/>
      <c r="XAE127" s="77"/>
      <c r="XAF127" s="77"/>
      <c r="XAG127" s="77"/>
      <c r="XAH127" s="77"/>
      <c r="XAI127" s="77"/>
      <c r="XAJ127" s="77"/>
      <c r="XAK127" s="77"/>
      <c r="XAL127" s="77"/>
      <c r="XAM127" s="77"/>
      <c r="XAN127" s="77"/>
      <c r="XAO127" s="77"/>
      <c r="XAP127" s="77"/>
      <c r="XAQ127" s="77"/>
      <c r="XAR127" s="77"/>
      <c r="XAS127" s="77"/>
      <c r="XAT127" s="77"/>
      <c r="XAU127" s="77"/>
      <c r="XAV127" s="77"/>
      <c r="XAW127" s="77"/>
      <c r="XAX127" s="77"/>
      <c r="XAY127" s="77"/>
      <c r="XAZ127" s="77"/>
      <c r="XBA127" s="77"/>
      <c r="XBB127" s="77"/>
      <c r="XBC127" s="77"/>
      <c r="XBD127" s="77"/>
      <c r="XBE127" s="77"/>
      <c r="XBF127" s="77"/>
      <c r="XBG127" s="77"/>
      <c r="XBH127" s="77"/>
      <c r="XBI127" s="77"/>
      <c r="XBJ127" s="77"/>
      <c r="XBK127" s="77"/>
      <c r="XBL127" s="77"/>
      <c r="XBM127" s="77"/>
      <c r="XBN127" s="77"/>
      <c r="XBO127" s="77"/>
      <c r="XBP127" s="77"/>
      <c r="XBQ127" s="77"/>
      <c r="XBR127" s="77"/>
      <c r="XBS127" s="77"/>
      <c r="XBT127" s="77"/>
      <c r="XBU127" s="77"/>
      <c r="XBV127" s="77"/>
      <c r="XBW127" s="77"/>
      <c r="XBX127" s="77"/>
      <c r="XBY127" s="77"/>
      <c r="XBZ127" s="77"/>
      <c r="XCA127" s="77"/>
      <c r="XCB127" s="77"/>
      <c r="XCC127" s="77"/>
      <c r="XCD127" s="77"/>
      <c r="XCE127" s="77"/>
      <c r="XCF127" s="77"/>
      <c r="XCG127" s="77"/>
      <c r="XCH127" s="77"/>
      <c r="XCI127" s="77"/>
      <c r="XCJ127" s="77"/>
      <c r="XCK127" s="77"/>
      <c r="XCL127" s="77"/>
      <c r="XCM127" s="77"/>
      <c r="XCN127" s="77"/>
      <c r="XCO127" s="77"/>
      <c r="XCP127" s="77"/>
      <c r="XCQ127" s="77"/>
      <c r="XCR127" s="77"/>
      <c r="XCS127" s="77"/>
      <c r="XCT127" s="77"/>
      <c r="XCU127" s="77"/>
      <c r="XCV127" s="77"/>
      <c r="XCW127" s="77"/>
      <c r="XCX127" s="77"/>
      <c r="XCY127" s="77"/>
      <c r="XCZ127" s="77"/>
      <c r="XDA127" s="77"/>
      <c r="XDB127" s="77"/>
      <c r="XDC127" s="77"/>
      <c r="XDD127" s="77"/>
      <c r="XDE127" s="77"/>
      <c r="XDF127" s="77"/>
      <c r="XDG127" s="77"/>
      <c r="XDH127" s="77"/>
      <c r="XDI127" s="77"/>
      <c r="XDJ127" s="77"/>
      <c r="XDK127" s="77"/>
      <c r="XDL127" s="77"/>
      <c r="XDM127" s="77"/>
      <c r="XDN127" s="77"/>
      <c r="XDO127" s="77"/>
      <c r="XDP127" s="77"/>
      <c r="XDQ127" s="77"/>
      <c r="XDR127" s="77"/>
      <c r="XDS127" s="77"/>
      <c r="XDT127" s="77"/>
      <c r="XDU127" s="77"/>
      <c r="XDV127" s="77"/>
      <c r="XDW127" s="77"/>
      <c r="XDX127" s="77"/>
      <c r="XDY127" s="77"/>
      <c r="XDZ127" s="77"/>
      <c r="XEA127" s="77"/>
      <c r="XEB127" s="77"/>
      <c r="XEC127" s="77"/>
      <c r="XED127" s="77"/>
      <c r="XEE127" s="77"/>
      <c r="XEF127" s="77"/>
      <c r="XEG127" s="77"/>
      <c r="XEH127" s="77"/>
      <c r="XEI127" s="77"/>
      <c r="XEJ127" s="77"/>
      <c r="XEK127" s="77"/>
      <c r="XEL127" s="77"/>
      <c r="XEM127" s="77"/>
      <c r="XEN127" s="77"/>
      <c r="XEO127" s="77"/>
      <c r="XEP127" s="77"/>
      <c r="XEQ127" s="77"/>
      <c r="XER127" s="77"/>
      <c r="XES127" s="77"/>
      <c r="XET127" s="77"/>
      <c r="XEU127" s="77"/>
      <c r="XEV127" s="77"/>
      <c r="XEW127" s="77"/>
      <c r="XEX127" s="77"/>
      <c r="XEY127" s="77"/>
      <c r="XEZ127" s="77"/>
      <c r="XFA127" s="77"/>
    </row>
    <row r="128" spans="1:16381" x14ac:dyDescent="0.25">
      <c r="A128" s="232" t="s">
        <v>418</v>
      </c>
      <c r="B128" s="245" t="s">
        <v>278</v>
      </c>
      <c r="C128" s="189" t="s">
        <v>278</v>
      </c>
      <c r="D128" s="189" t="s">
        <v>162</v>
      </c>
      <c r="E128" s="189" t="s">
        <v>278</v>
      </c>
      <c r="F128" s="10">
        <f>IFERROR(VLOOKUP($A128,ImportDataWA!$A$14:$BB$200,9,FALSE),0)</f>
        <v>0</v>
      </c>
      <c r="G128" s="11">
        <f>IFERROR(VLOOKUP($A128,ImportDataWA!$A$12:$BB$200,10,FALSE),0)</f>
        <v>0</v>
      </c>
      <c r="H128" s="11">
        <f>IFERROR(VLOOKUP($A128,ImportDataWA!$A$12:$BB$200,14,FALSE),0)</f>
        <v>0</v>
      </c>
      <c r="I128" s="11">
        <f>IFERROR(VLOOKUP($A128,ImportDataWA!$A$12:$BB$200,18,FALSE),0)</f>
        <v>0</v>
      </c>
      <c r="J128" s="10">
        <f>IFERROR(VLOOKUP($A128,ImportDataWA!$A$12:$BB$200,5,FALSE),0)</f>
        <v>0</v>
      </c>
      <c r="K128" s="11">
        <f>IFERROR(VLOOKUP($A128,ImportDataWA!$A$12:$BB$200,7,FALSE),0)</f>
        <v>0</v>
      </c>
      <c r="L128" s="10">
        <f>IFERROR(VLOOKUP($A128,ImportDataWA!$A$12:$BB$200,3,FALSE),0)</f>
        <v>0</v>
      </c>
      <c r="M128" s="10">
        <f>IFERROR(VLOOKUP($A128,ImportDataWA!$A$12:$BB$200,4,FALSE),0)</f>
        <v>0</v>
      </c>
    </row>
    <row r="129" spans="1:13" x14ac:dyDescent="0.25">
      <c r="A129" s="9" t="s">
        <v>429</v>
      </c>
      <c r="B129" s="86" t="s">
        <v>383</v>
      </c>
      <c r="C129" s="9" t="s">
        <v>472</v>
      </c>
      <c r="D129" s="9" t="s">
        <v>162</v>
      </c>
      <c r="E129" s="9" t="s">
        <v>336</v>
      </c>
      <c r="F129" s="10">
        <f>IFERROR(VLOOKUP($A129,ImportDataWA!$A$14:$BB$200,9,FALSE),0)</f>
        <v>158</v>
      </c>
      <c r="G129" s="11">
        <f>IFERROR(VLOOKUP($A129,ImportDataWA!$A$12:$BB$200,10,FALSE),0)</f>
        <v>742254.46961127396</v>
      </c>
      <c r="H129" s="11">
        <f>IFERROR(VLOOKUP($A129,ImportDataWA!$A$12:$BB$200,14,FALSE),0)</f>
        <v>15155.933840909091</v>
      </c>
      <c r="I129" s="11">
        <f>IFERROR(VLOOKUP($A129,ImportDataWA!$A$12:$BB$200,18,FALSE),0)</f>
        <v>55436.539629597472</v>
      </c>
      <c r="J129" s="10">
        <f>IFERROR(VLOOKUP($A129,ImportDataWA!$A$12:$BB$200,5,FALSE),0)</f>
        <v>0</v>
      </c>
      <c r="K129" s="11">
        <f>IFERROR(VLOOKUP($A129,ImportDataWA!$A$12:$BB$200,7,FALSE),0)</f>
        <v>0</v>
      </c>
      <c r="L129" s="10">
        <f>IFERROR(VLOOKUP($A129,ImportDataWA!$A$12:$BB$200,3,FALSE),0)</f>
        <v>0</v>
      </c>
      <c r="M129" s="10">
        <f>IFERROR(VLOOKUP($A129,ImportDataWA!$A$12:$BB$200,4,FALSE),0)</f>
        <v>0</v>
      </c>
    </row>
    <row r="130" spans="1:13" x14ac:dyDescent="0.25">
      <c r="A130" s="9" t="s">
        <v>109</v>
      </c>
      <c r="B130" s="86" t="s">
        <v>383</v>
      </c>
      <c r="C130" s="9" t="s">
        <v>150</v>
      </c>
      <c r="D130" s="9" t="s">
        <v>162</v>
      </c>
      <c r="E130" s="9" t="s">
        <v>336</v>
      </c>
      <c r="F130" s="10">
        <f>IFERROR(VLOOKUP($A130,ImportDataWA!$A$14:$BB$200,9,FALSE),0)</f>
        <v>240</v>
      </c>
      <c r="G130" s="11">
        <f>IFERROR(VLOOKUP($A130,ImportDataWA!$A$12:$BB$200,10,FALSE),0)</f>
        <v>860720.3520623598</v>
      </c>
      <c r="H130" s="11">
        <f>IFERROR(VLOOKUP($A130,ImportDataWA!$A$12:$BB$200,14,FALSE),0)</f>
        <v>20642.551901515148</v>
      </c>
      <c r="I130" s="11">
        <f>IFERROR(VLOOKUP($A130,ImportDataWA!$A$12:$BB$200,18,FALSE),0)</f>
        <v>18214.588911542873</v>
      </c>
      <c r="J130" s="10">
        <f>IFERROR(VLOOKUP($A130,ImportDataWA!$A$12:$BB$200,5,FALSE),0)</f>
        <v>15</v>
      </c>
      <c r="K130" s="11">
        <f>IFERROR(VLOOKUP($A130,ImportDataWA!$A$12:$BB$200,7,FALSE),0)</f>
        <v>57575.757575757576</v>
      </c>
      <c r="L130" s="10">
        <f>IFERROR(VLOOKUP($A130,ImportDataWA!$A$12:$BB$200,3,FALSE),0)</f>
        <v>13</v>
      </c>
      <c r="M130" s="10">
        <f>IFERROR(VLOOKUP($A130,ImportDataWA!$A$12:$BB$200,4,FALSE),0)</f>
        <v>8</v>
      </c>
    </row>
    <row r="131" spans="1:13" x14ac:dyDescent="0.25">
      <c r="A131" s="9" t="s">
        <v>114</v>
      </c>
      <c r="B131" s="86" t="s">
        <v>219</v>
      </c>
      <c r="C131" s="9" t="s">
        <v>472</v>
      </c>
      <c r="D131" s="9" t="s">
        <v>162</v>
      </c>
      <c r="E131" s="9" t="s">
        <v>336</v>
      </c>
      <c r="F131" s="10">
        <f>IFERROR(VLOOKUP($A131,ImportDataWA!$A$14:$BB$200,9,FALSE),0)</f>
        <v>234</v>
      </c>
      <c r="G131" s="11">
        <f>IFERROR(VLOOKUP($A131,ImportDataWA!$A$12:$BB$200,10,FALSE),0)</f>
        <v>772843.45577778632</v>
      </c>
      <c r="H131" s="11">
        <f>IFERROR(VLOOKUP($A131,ImportDataWA!$A$12:$BB$200,14,FALSE),0)</f>
        <v>47681.691128787883</v>
      </c>
      <c r="I131" s="11">
        <f>IFERROR(VLOOKUP($A131,ImportDataWA!$A$12:$BB$200,18,FALSE),0)</f>
        <v>57660.803781993542</v>
      </c>
      <c r="J131" s="10">
        <f>IFERROR(VLOOKUP($A131,ImportDataWA!$A$12:$BB$200,5,FALSE),0)</f>
        <v>0</v>
      </c>
      <c r="K131" s="11">
        <f>IFERROR(VLOOKUP($A131,ImportDataWA!$A$12:$BB$200,7,FALSE),0)</f>
        <v>0</v>
      </c>
      <c r="L131" s="10">
        <f>IFERROR(VLOOKUP($A131,ImportDataWA!$A$12:$BB$200,3,FALSE),0)</f>
        <v>0</v>
      </c>
      <c r="M131" s="10">
        <f>IFERROR(VLOOKUP($A131,ImportDataWA!$A$12:$BB$200,4,FALSE),0)</f>
        <v>0</v>
      </c>
    </row>
    <row r="132" spans="1:13" x14ac:dyDescent="0.25">
      <c r="A132" s="192" t="s">
        <v>391</v>
      </c>
      <c r="B132" s="245" t="s">
        <v>278</v>
      </c>
      <c r="C132" s="189" t="s">
        <v>278</v>
      </c>
      <c r="D132" s="189" t="s">
        <v>160</v>
      </c>
      <c r="E132" s="189" t="s">
        <v>278</v>
      </c>
      <c r="F132" s="10">
        <f>IFERROR(VLOOKUP($A132,ImportDataWA!$A$14:$BB$200,9,FALSE),0)</f>
        <v>0</v>
      </c>
      <c r="G132" s="11">
        <f>IFERROR(VLOOKUP($A132,ImportDataWA!$A$12:$BB$200,10,FALSE),0)</f>
        <v>0</v>
      </c>
      <c r="H132" s="11">
        <f>IFERROR(VLOOKUP($A132,ImportDataWA!$A$12:$BB$200,14,FALSE),0)</f>
        <v>0</v>
      </c>
      <c r="I132" s="11">
        <f>IFERROR(VLOOKUP($A132,ImportDataWA!$A$12:$BB$200,18,FALSE),0)</f>
        <v>0</v>
      </c>
      <c r="J132" s="10">
        <f>IFERROR(VLOOKUP($A132,ImportDataWA!$A$12:$BB$200,5,FALSE),0)</f>
        <v>0</v>
      </c>
      <c r="K132" s="11">
        <f>IFERROR(VLOOKUP($A132,ImportDataWA!$A$12:$BB$200,7,FALSE),0)</f>
        <v>0</v>
      </c>
      <c r="L132" s="10">
        <f>IFERROR(VLOOKUP($A132,ImportDataWA!$A$12:$BB$200,3,FALSE),0)</f>
        <v>0</v>
      </c>
      <c r="M132" s="10">
        <f>IFERROR(VLOOKUP($A132,ImportDataWA!$A$12:$BB$200,4,FALSE),0)</f>
        <v>0</v>
      </c>
    </row>
    <row r="133" spans="1:13" x14ac:dyDescent="0.25">
      <c r="A133" s="192" t="s">
        <v>392</v>
      </c>
      <c r="B133" s="245" t="s">
        <v>278</v>
      </c>
      <c r="C133" s="189" t="s">
        <v>278</v>
      </c>
      <c r="D133" s="189" t="s">
        <v>160</v>
      </c>
      <c r="E133" s="189" t="s">
        <v>278</v>
      </c>
      <c r="F133" s="10">
        <f>IFERROR(VLOOKUP($A133,ImportDataWA!$A$14:$BB$200,9,FALSE),0)</f>
        <v>0</v>
      </c>
      <c r="G133" s="11">
        <f>IFERROR(VLOOKUP($A133,ImportDataWA!$A$12:$BB$200,10,FALSE),0)</f>
        <v>0</v>
      </c>
      <c r="H133" s="11">
        <f>IFERROR(VLOOKUP($A133,ImportDataWA!$A$12:$BB$200,14,FALSE),0)</f>
        <v>0</v>
      </c>
      <c r="I133" s="11">
        <f>IFERROR(VLOOKUP($A133,ImportDataWA!$A$12:$BB$200,18,FALSE),0)</f>
        <v>0</v>
      </c>
      <c r="J133" s="10">
        <f>IFERROR(VLOOKUP($A133,ImportDataWA!$A$12:$BB$200,5,FALSE),0)</f>
        <v>0</v>
      </c>
      <c r="K133" s="11">
        <f>IFERROR(VLOOKUP($A133,ImportDataWA!$A$12:$BB$200,7,FALSE),0)</f>
        <v>0</v>
      </c>
      <c r="L133" s="10">
        <f>IFERROR(VLOOKUP($A133,ImportDataWA!$A$12:$BB$200,3,FALSE),0)</f>
        <v>0</v>
      </c>
      <c r="M133" s="10">
        <f>IFERROR(VLOOKUP($A133,ImportDataWA!$A$12:$BB$200,4,FALSE),0)</f>
        <v>0</v>
      </c>
    </row>
    <row r="134" spans="1:13" x14ac:dyDescent="0.25">
      <c r="A134" s="9" t="s">
        <v>9</v>
      </c>
      <c r="B134" s="86" t="s">
        <v>383</v>
      </c>
      <c r="C134" s="9" t="s">
        <v>476</v>
      </c>
      <c r="D134" s="9" t="s">
        <v>160</v>
      </c>
      <c r="E134" s="9" t="s">
        <v>504</v>
      </c>
      <c r="F134" s="10">
        <f>IFERROR(VLOOKUP($A134,ImportDataWA!$A$14:$BB$200,9,FALSE),0)</f>
        <v>189</v>
      </c>
      <c r="G134" s="11">
        <f>IFERROR(VLOOKUP($A134,ImportDataWA!$A$12:$BB$200,10,FALSE),0)</f>
        <v>631286.17750086309</v>
      </c>
      <c r="H134" s="11">
        <f>IFERROR(VLOOKUP($A134,ImportDataWA!$A$12:$BB$200,14,FALSE),0)</f>
        <v>0</v>
      </c>
      <c r="I134" s="11">
        <f>IFERROR(VLOOKUP($A134,ImportDataWA!$A$12:$BB$200,18,FALSE),0)</f>
        <v>1383.1830833333336</v>
      </c>
      <c r="J134" s="10">
        <f>IFERROR(VLOOKUP($A134,ImportDataWA!$A$12:$BB$200,5,FALSE),0)</f>
        <v>13</v>
      </c>
      <c r="K134" s="11">
        <f>IFERROR(VLOOKUP($A134,ImportDataWA!$A$12:$BB$200,7,FALSE),0)</f>
        <v>60606.060606060608</v>
      </c>
      <c r="L134" s="10">
        <f>IFERROR(VLOOKUP($A134,ImportDataWA!$A$12:$BB$200,3,FALSE),0)</f>
        <v>9</v>
      </c>
      <c r="M134" s="10">
        <f>IFERROR(VLOOKUP($A134,ImportDataWA!$A$12:$BB$200,4,FALSE),0)</f>
        <v>4</v>
      </c>
    </row>
    <row r="135" spans="1:13" x14ac:dyDescent="0.25">
      <c r="A135" s="192" t="s">
        <v>394</v>
      </c>
      <c r="B135" s="245" t="s">
        <v>278</v>
      </c>
      <c r="C135" s="189" t="s">
        <v>278</v>
      </c>
      <c r="D135" s="189" t="s">
        <v>160</v>
      </c>
      <c r="E135" s="189" t="s">
        <v>278</v>
      </c>
      <c r="F135" s="10">
        <f>IFERROR(VLOOKUP($A135,ImportDataWA!$A$14:$BB$200,9,FALSE),0)</f>
        <v>0</v>
      </c>
      <c r="G135" s="11">
        <f>IFERROR(VLOOKUP($A135,ImportDataWA!$A$12:$BB$200,10,FALSE),0)</f>
        <v>0</v>
      </c>
      <c r="H135" s="11">
        <f>IFERROR(VLOOKUP($A135,ImportDataWA!$A$12:$BB$200,14,FALSE),0)</f>
        <v>0</v>
      </c>
      <c r="I135" s="11">
        <f>IFERROR(VLOOKUP($A135,ImportDataWA!$A$12:$BB$200,18,FALSE),0)</f>
        <v>0</v>
      </c>
      <c r="J135" s="10">
        <f>IFERROR(VLOOKUP($A135,ImportDataWA!$A$12:$BB$200,5,FALSE),0)</f>
        <v>0</v>
      </c>
      <c r="K135" s="11">
        <f>IFERROR(VLOOKUP($A135,ImportDataWA!$A$12:$BB$200,7,FALSE),0)</f>
        <v>0</v>
      </c>
      <c r="L135" s="10">
        <f>IFERROR(VLOOKUP($A135,ImportDataWA!$A$12:$BB$200,3,FALSE),0)</f>
        <v>0</v>
      </c>
      <c r="M135" s="10">
        <f>IFERROR(VLOOKUP($A135,ImportDataWA!$A$12:$BB$200,4,FALSE),0)</f>
        <v>0</v>
      </c>
    </row>
    <row r="136" spans="1:13" x14ac:dyDescent="0.25">
      <c r="A136" s="9" t="s">
        <v>352</v>
      </c>
      <c r="B136" s="86" t="s">
        <v>219</v>
      </c>
      <c r="C136" s="9" t="s">
        <v>473</v>
      </c>
      <c r="D136" s="9" t="s">
        <v>160</v>
      </c>
      <c r="E136" s="9" t="s">
        <v>504</v>
      </c>
      <c r="F136" s="10">
        <f>IFERROR(VLOOKUP($A136,ImportDataWA!$A$14:$BB$200,9,FALSE),0)</f>
        <v>242</v>
      </c>
      <c r="G136" s="11">
        <f>IFERROR(VLOOKUP($A136,ImportDataWA!$A$12:$BB$200,10,FALSE),0)</f>
        <v>589002.34795218892</v>
      </c>
      <c r="H136" s="11">
        <f>IFERROR(VLOOKUP($A136,ImportDataWA!$A$12:$BB$200,14,FALSE),0)</f>
        <v>44920.612354972574</v>
      </c>
      <c r="I136" s="11">
        <f>IFERROR(VLOOKUP($A136,ImportDataWA!$A$12:$BB$200,18,FALSE),0)</f>
        <v>10081.210445141031</v>
      </c>
      <c r="J136" s="10">
        <f>IFERROR(VLOOKUP($A136,ImportDataWA!$A$12:$BB$200,5,FALSE),0)</f>
        <v>16</v>
      </c>
      <c r="K136" s="11">
        <f>IFERROR(VLOOKUP($A136,ImportDataWA!$A$12:$BB$200,7,FALSE),0)</f>
        <v>58712.121212121208</v>
      </c>
      <c r="L136" s="10">
        <f>IFERROR(VLOOKUP($A136,ImportDataWA!$A$12:$BB$200,3,FALSE),0)</f>
        <v>12</v>
      </c>
      <c r="M136" s="10">
        <f>IFERROR(VLOOKUP($A136,ImportDataWA!$A$12:$BB$200,4,FALSE),0)</f>
        <v>4</v>
      </c>
    </row>
    <row r="137" spans="1:13" x14ac:dyDescent="0.25">
      <c r="A137" s="192" t="s">
        <v>406</v>
      </c>
      <c r="B137" s="245" t="s">
        <v>278</v>
      </c>
      <c r="C137" s="189" t="s">
        <v>278</v>
      </c>
      <c r="D137" s="189" t="s">
        <v>160</v>
      </c>
      <c r="E137" s="189" t="s">
        <v>278</v>
      </c>
      <c r="F137" s="10">
        <f>IFERROR(VLOOKUP($A137,ImportDataWA!$A$14:$BB$200,9,FALSE),0)</f>
        <v>0</v>
      </c>
      <c r="G137" s="11">
        <f>IFERROR(VLOOKUP($A137,ImportDataWA!$A$12:$BB$200,10,FALSE),0)</f>
        <v>0</v>
      </c>
      <c r="H137" s="11">
        <f>IFERROR(VLOOKUP($A137,ImportDataWA!$A$12:$BB$200,14,FALSE),0)</f>
        <v>0</v>
      </c>
      <c r="I137" s="11">
        <f>IFERROR(VLOOKUP($A137,ImportDataWA!$A$12:$BB$200,18,FALSE),0)</f>
        <v>0</v>
      </c>
      <c r="J137" s="10">
        <f>IFERROR(VLOOKUP($A137,ImportDataWA!$A$12:$BB$200,5,FALSE),0)</f>
        <v>0</v>
      </c>
      <c r="K137" s="11">
        <f>IFERROR(VLOOKUP($A137,ImportDataWA!$A$12:$BB$200,7,FALSE),0)</f>
        <v>0</v>
      </c>
      <c r="L137" s="10">
        <f>IFERROR(VLOOKUP($A137,ImportDataWA!$A$12:$BB$200,3,FALSE),0)</f>
        <v>0</v>
      </c>
      <c r="M137" s="10">
        <f>IFERROR(VLOOKUP($A137,ImportDataWA!$A$12:$BB$200,4,FALSE),0)</f>
        <v>0</v>
      </c>
    </row>
    <row r="138" spans="1:13" x14ac:dyDescent="0.25">
      <c r="A138" s="185" t="s">
        <v>249</v>
      </c>
      <c r="B138" s="86" t="s">
        <v>383</v>
      </c>
      <c r="C138" s="9" t="s">
        <v>476</v>
      </c>
      <c r="D138" s="9" t="s">
        <v>160</v>
      </c>
      <c r="E138" s="9" t="s">
        <v>504</v>
      </c>
      <c r="F138" s="10">
        <f>IFERROR(VLOOKUP($A138,ImportDataWA!$A$14:$BB$200,9,FALSE),0)</f>
        <v>215</v>
      </c>
      <c r="G138" s="11">
        <f>IFERROR(VLOOKUP($A138,ImportDataWA!$A$12:$BB$200,10,FALSE),0)</f>
        <v>1164580.2029126724</v>
      </c>
      <c r="H138" s="11">
        <f>IFERROR(VLOOKUP($A138,ImportDataWA!$A$12:$BB$200,14,FALSE),0)</f>
        <v>94404.685420205438</v>
      </c>
      <c r="I138" s="11">
        <f>IFERROR(VLOOKUP($A138,ImportDataWA!$A$12:$BB$200,18,FALSE),0)</f>
        <v>9047.6370555320282</v>
      </c>
      <c r="J138" s="10">
        <f>IFERROR(VLOOKUP($A138,ImportDataWA!$A$12:$BB$200,5,FALSE),0)</f>
        <v>11</v>
      </c>
      <c r="K138" s="11">
        <f>IFERROR(VLOOKUP($A138,ImportDataWA!$A$12:$BB$200,7,FALSE),0)</f>
        <v>83712.121212121216</v>
      </c>
      <c r="L138" s="10">
        <f>IFERROR(VLOOKUP($A138,ImportDataWA!$A$12:$BB$200,3,FALSE),0)</f>
        <v>3</v>
      </c>
      <c r="M138" s="10">
        <f>IFERROR(VLOOKUP($A138,ImportDataWA!$A$12:$BB$200,4,FALSE),0)</f>
        <v>6</v>
      </c>
    </row>
    <row r="139" spans="1:13" x14ac:dyDescent="0.25">
      <c r="A139" s="9" t="s">
        <v>78</v>
      </c>
      <c r="B139" s="86" t="s">
        <v>219</v>
      </c>
      <c r="C139" s="9" t="s">
        <v>473</v>
      </c>
      <c r="D139" s="9" t="s">
        <v>160</v>
      </c>
      <c r="E139" s="9" t="s">
        <v>504</v>
      </c>
      <c r="F139" s="10">
        <f>IFERROR(VLOOKUP($A139,ImportDataWA!$A$14:$BB$200,9,FALSE),0)</f>
        <v>110</v>
      </c>
      <c r="G139" s="11">
        <f>IFERROR(VLOOKUP($A139,ImportDataWA!$A$12:$BB$200,10,FALSE),0)</f>
        <v>288072.26331818174</v>
      </c>
      <c r="H139" s="11">
        <f>IFERROR(VLOOKUP($A139,ImportDataWA!$A$12:$BB$200,14,FALSE),0)</f>
        <v>1561.5565227272718</v>
      </c>
      <c r="I139" s="11">
        <f>IFERROR(VLOOKUP($A139,ImportDataWA!$A$12:$BB$200,18,FALSE),0)</f>
        <v>1144.4187348484872</v>
      </c>
      <c r="J139" s="10">
        <f>IFERROR(VLOOKUP($A139,ImportDataWA!$A$12:$BB$200,5,FALSE),0)</f>
        <v>12</v>
      </c>
      <c r="K139" s="11">
        <f>IFERROR(VLOOKUP($A139,ImportDataWA!$A$12:$BB$200,7,FALSE),0)</f>
        <v>59848.484848484855</v>
      </c>
      <c r="L139" s="10">
        <f>IFERROR(VLOOKUP($A139,ImportDataWA!$A$12:$BB$200,3,FALSE),0)</f>
        <v>7</v>
      </c>
      <c r="M139" s="10">
        <f>IFERROR(VLOOKUP($A139,ImportDataWA!$A$12:$BB$200,4,FALSE),0)</f>
        <v>6</v>
      </c>
    </row>
    <row r="140" spans="1:13" x14ac:dyDescent="0.25">
      <c r="A140" s="9" t="s">
        <v>80</v>
      </c>
      <c r="B140" s="86" t="s">
        <v>219</v>
      </c>
      <c r="C140" s="9" t="s">
        <v>476</v>
      </c>
      <c r="D140" s="9" t="s">
        <v>160</v>
      </c>
      <c r="E140" s="9" t="s">
        <v>504</v>
      </c>
      <c r="F140" s="10">
        <f>IFERROR(VLOOKUP($A140,ImportDataWA!$A$14:$BB$200,9,FALSE),0)</f>
        <v>273</v>
      </c>
      <c r="G140" s="11">
        <f>IFERROR(VLOOKUP($A140,ImportDataWA!$A$12:$BB$200,10,FALSE),0)</f>
        <v>715379.01150716189</v>
      </c>
      <c r="H140" s="11">
        <f>IFERROR(VLOOKUP($A140,ImportDataWA!$A$12:$BB$200,14,FALSE),0)</f>
        <v>52427.299840909094</v>
      </c>
      <c r="I140" s="11">
        <f>IFERROR(VLOOKUP($A140,ImportDataWA!$A$12:$BB$200,18,FALSE),0)</f>
        <v>4387.5892424242429</v>
      </c>
      <c r="J140" s="10">
        <f>IFERROR(VLOOKUP($A140,ImportDataWA!$A$12:$BB$200,5,FALSE),0)</f>
        <v>14</v>
      </c>
      <c r="K140" s="11">
        <f>IFERROR(VLOOKUP($A140,ImportDataWA!$A$12:$BB$200,7,FALSE),0)</f>
        <v>63636.36363636364</v>
      </c>
      <c r="L140" s="10">
        <f>IFERROR(VLOOKUP($A140,ImportDataWA!$A$12:$BB$200,3,FALSE),0)</f>
        <v>6</v>
      </c>
      <c r="M140" s="10">
        <f>IFERROR(VLOOKUP($A140,ImportDataWA!$A$12:$BB$200,4,FALSE),0)</f>
        <v>5</v>
      </c>
    </row>
    <row r="141" spans="1:13" x14ac:dyDescent="0.25">
      <c r="A141" s="9" t="s">
        <v>97</v>
      </c>
      <c r="B141" s="86" t="s">
        <v>383</v>
      </c>
      <c r="C141" s="9" t="s">
        <v>476</v>
      </c>
      <c r="D141" s="9" t="s">
        <v>160</v>
      </c>
      <c r="E141" s="9" t="s">
        <v>504</v>
      </c>
      <c r="F141" s="10">
        <f>IFERROR(VLOOKUP($A141,ImportDataWA!$A$14:$BB$200,9,FALSE),0)</f>
        <v>191</v>
      </c>
      <c r="G141" s="11">
        <f>IFERROR(VLOOKUP($A141,ImportDataWA!$A$12:$BB$200,10,FALSE),0)</f>
        <v>728634.96754198754</v>
      </c>
      <c r="H141" s="11">
        <f>IFERROR(VLOOKUP($A141,ImportDataWA!$A$12:$BB$200,14,FALSE),0)</f>
        <v>4314.4235530303031</v>
      </c>
      <c r="I141" s="11">
        <f>IFERROR(VLOOKUP($A141,ImportDataWA!$A$12:$BB$200,18,FALSE),0)</f>
        <v>2979.373860742799</v>
      </c>
      <c r="J141" s="10">
        <f>IFERROR(VLOOKUP($A141,ImportDataWA!$A$12:$BB$200,5,FALSE),0)</f>
        <v>14</v>
      </c>
      <c r="K141" s="11">
        <f>IFERROR(VLOOKUP($A141,ImportDataWA!$A$12:$BB$200,7,FALSE),0)</f>
        <v>72803.030303030318</v>
      </c>
      <c r="L141" s="10">
        <f>IFERROR(VLOOKUP($A141,ImportDataWA!$A$12:$BB$200,3,FALSE),0)</f>
        <v>2</v>
      </c>
      <c r="M141" s="10">
        <f>IFERROR(VLOOKUP($A141,ImportDataWA!$A$12:$BB$200,4,FALSE),0)</f>
        <v>6</v>
      </c>
    </row>
    <row r="142" spans="1:13" x14ac:dyDescent="0.25">
      <c r="A142" t="s">
        <v>211</v>
      </c>
      <c r="B142" s="86" t="s">
        <v>219</v>
      </c>
      <c r="C142" s="9" t="s">
        <v>473</v>
      </c>
      <c r="D142" s="9" t="s">
        <v>160</v>
      </c>
      <c r="E142" s="9" t="s">
        <v>504</v>
      </c>
      <c r="F142" s="10">
        <f>IFERROR(VLOOKUP($A142,ImportDataWA!$A$14:$BB$200,9,FALSE),0)</f>
        <v>249</v>
      </c>
      <c r="G142" s="11">
        <f>IFERROR(VLOOKUP($A142,ImportDataWA!$A$12:$BB$200,10,FALSE),0)</f>
        <v>639988.72577036335</v>
      </c>
      <c r="H142" s="11">
        <f>IFERROR(VLOOKUP($A142,ImportDataWA!$A$12:$BB$200,14,FALSE),0)</f>
        <v>34533.428439393938</v>
      </c>
      <c r="I142" s="11">
        <f>IFERROR(VLOOKUP($A142,ImportDataWA!$A$12:$BB$200,18,FALSE),0)</f>
        <v>7674.7956054971319</v>
      </c>
      <c r="J142" s="10">
        <f>IFERROR(VLOOKUP($A142,ImportDataWA!$A$12:$BB$200,5,FALSE),0)</f>
        <v>17</v>
      </c>
      <c r="K142" s="11">
        <f>IFERROR(VLOOKUP($A142,ImportDataWA!$A$12:$BB$200,7,FALSE),0)</f>
        <v>71969.696969696961</v>
      </c>
      <c r="L142" s="10">
        <f>IFERROR(VLOOKUP($A142,ImportDataWA!$A$12:$BB$200,3,FALSE),0)</f>
        <v>13</v>
      </c>
      <c r="M142" s="10">
        <f>IFERROR(VLOOKUP($A142,ImportDataWA!$A$12:$BB$200,4,FALSE),0)</f>
        <v>9</v>
      </c>
    </row>
    <row r="143" spans="1:13" x14ac:dyDescent="0.25">
      <c r="A143" s="9" t="s">
        <v>116</v>
      </c>
      <c r="B143" s="86" t="s">
        <v>383</v>
      </c>
      <c r="C143" s="9" t="s">
        <v>473</v>
      </c>
      <c r="D143" s="9" t="s">
        <v>160</v>
      </c>
      <c r="E143" s="9" t="s">
        <v>504</v>
      </c>
      <c r="F143" s="10">
        <f>IFERROR(VLOOKUP($A143,ImportDataWA!$A$14:$BB$200,9,FALSE),0)</f>
        <v>192</v>
      </c>
      <c r="G143" s="11">
        <f>IFERROR(VLOOKUP($A143,ImportDataWA!$A$12:$BB$200,10,FALSE),0)</f>
        <v>985514.97298871621</v>
      </c>
      <c r="H143" s="11">
        <f>IFERROR(VLOOKUP($A143,ImportDataWA!$A$12:$BB$200,14,FALSE),0)</f>
        <v>19908.411715003513</v>
      </c>
      <c r="I143" s="11">
        <f>IFERROR(VLOOKUP($A143,ImportDataWA!$A$12:$BB$200,18,FALSE),0)</f>
        <v>7643.4647866295254</v>
      </c>
      <c r="J143" s="10">
        <f>IFERROR(VLOOKUP($A143,ImportDataWA!$A$12:$BB$200,5,FALSE),0)</f>
        <v>9</v>
      </c>
      <c r="K143" s="11">
        <f>IFERROR(VLOOKUP($A143,ImportDataWA!$A$12:$BB$200,7,FALSE),0)</f>
        <v>81515.151515151505</v>
      </c>
      <c r="L143" s="10">
        <f>IFERROR(VLOOKUP($A143,ImportDataWA!$A$12:$BB$200,3,FALSE),0)</f>
        <v>3</v>
      </c>
      <c r="M143" s="10">
        <f>IFERROR(VLOOKUP($A143,ImportDataWA!$A$12:$BB$200,4,FALSE),0)</f>
        <v>5</v>
      </c>
    </row>
    <row r="144" spans="1:13" x14ac:dyDescent="0.25">
      <c r="A144" s="32" t="s">
        <v>203</v>
      </c>
      <c r="B144" s="190" t="s">
        <v>278</v>
      </c>
      <c r="C144" s="32" t="s">
        <v>278</v>
      </c>
      <c r="D144" s="32" t="s">
        <v>212</v>
      </c>
      <c r="E144" s="32" t="s">
        <v>278</v>
      </c>
      <c r="F144" s="10">
        <f>IFERROR(VLOOKUP($A144,ImportDataWA!$A$14:$BB$200,9,FALSE),0)</f>
        <v>0</v>
      </c>
      <c r="G144" s="11">
        <f>IFERROR(VLOOKUP($A144,ImportDataWA!$A$12:$BB$200,10,FALSE),0)</f>
        <v>0</v>
      </c>
      <c r="H144" s="11">
        <f>IFERROR(VLOOKUP($A144,ImportDataWA!$A$12:$BB$200,14,FALSE),0)</f>
        <v>0</v>
      </c>
      <c r="I144" s="11">
        <f>IFERROR(VLOOKUP($A144,ImportDataWA!$A$12:$BB$200,18,FALSE),0)</f>
        <v>0</v>
      </c>
      <c r="J144" s="10">
        <f>IFERROR(VLOOKUP($A144,ImportDataWA!$A$12:$BB$200,5,FALSE),0)</f>
        <v>0</v>
      </c>
      <c r="K144" s="11">
        <f>IFERROR(VLOOKUP($A144,ImportDataWA!$A$12:$BB$200,7,FALSE),0)</f>
        <v>0</v>
      </c>
      <c r="L144" s="10">
        <f>IFERROR(VLOOKUP($A144,ImportDataWA!$A$12:$BB$200,3,FALSE),0)</f>
        <v>0</v>
      </c>
      <c r="M144" s="10">
        <f>IFERROR(VLOOKUP($A144,ImportDataWA!$A$12:$BB$200,4,FALSE),0)</f>
        <v>0</v>
      </c>
    </row>
    <row r="145" spans="1:13" x14ac:dyDescent="0.25">
      <c r="A145" s="32" t="s">
        <v>204</v>
      </c>
      <c r="B145" s="190" t="s">
        <v>278</v>
      </c>
      <c r="C145" s="32" t="s">
        <v>278</v>
      </c>
      <c r="D145" s="32" t="s">
        <v>212</v>
      </c>
      <c r="E145" s="32" t="s">
        <v>278</v>
      </c>
      <c r="F145" s="10">
        <f>IFERROR(VLOOKUP($A145,ImportDataWA!$A$14:$BB$200,9,FALSE),0)</f>
        <v>0</v>
      </c>
      <c r="G145" s="11">
        <f>IFERROR(VLOOKUP($A145,ImportDataWA!$A$12:$BB$200,10,FALSE),0)</f>
        <v>0</v>
      </c>
      <c r="H145" s="11">
        <f>IFERROR(VLOOKUP($A145,ImportDataWA!$A$12:$BB$200,14,FALSE),0)</f>
        <v>0</v>
      </c>
      <c r="I145" s="11">
        <f>IFERROR(VLOOKUP($A145,ImportDataWA!$A$12:$BB$200,18,FALSE),0)</f>
        <v>0</v>
      </c>
      <c r="J145" s="10">
        <f>IFERROR(VLOOKUP($A145,ImportDataWA!$A$12:$BB$200,5,FALSE),0)</f>
        <v>0</v>
      </c>
      <c r="K145" s="11">
        <f>IFERROR(VLOOKUP($A145,ImportDataWA!$A$12:$BB$200,7,FALSE),0)</f>
        <v>0</v>
      </c>
      <c r="L145" s="10">
        <f>IFERROR(VLOOKUP($A145,ImportDataWA!$A$12:$BB$200,3,FALSE),0)</f>
        <v>0</v>
      </c>
      <c r="M145" s="10">
        <f>IFERROR(VLOOKUP($A145,ImportDataWA!$A$12:$BB$200,4,FALSE),0)</f>
        <v>0</v>
      </c>
    </row>
    <row r="146" spans="1:13" x14ac:dyDescent="0.25">
      <c r="A146" s="233" t="s">
        <v>206</v>
      </c>
      <c r="B146" s="190" t="s">
        <v>278</v>
      </c>
      <c r="C146" s="32" t="s">
        <v>278</v>
      </c>
      <c r="D146" s="32" t="s">
        <v>212</v>
      </c>
      <c r="E146" s="32" t="s">
        <v>278</v>
      </c>
      <c r="F146" s="10">
        <f>IFERROR(VLOOKUP($A146,ImportDataWA!$A$14:$BB$200,9,FALSE),0)</f>
        <v>0</v>
      </c>
      <c r="G146" s="11">
        <f>IFERROR(VLOOKUP($A146,ImportDataWA!$A$12:$BB$200,10,FALSE),0)</f>
        <v>0</v>
      </c>
      <c r="H146" s="11">
        <f>IFERROR(VLOOKUP($A146,ImportDataWA!$A$12:$BB$200,14,FALSE),0)</f>
        <v>0</v>
      </c>
      <c r="I146" s="11">
        <f>IFERROR(VLOOKUP($A146,ImportDataWA!$A$12:$BB$200,18,FALSE),0)</f>
        <v>0</v>
      </c>
      <c r="J146" s="10">
        <f>IFERROR(VLOOKUP($A146,ImportDataWA!$A$12:$BB$200,5,FALSE),0)</f>
        <v>0</v>
      </c>
      <c r="K146" s="11">
        <f>IFERROR(VLOOKUP($A146,ImportDataWA!$A$12:$BB$200,7,FALSE),0)</f>
        <v>0</v>
      </c>
      <c r="L146" s="10">
        <f>IFERROR(VLOOKUP($A146,ImportDataWA!$A$12:$BB$200,3,FALSE),0)</f>
        <v>0</v>
      </c>
      <c r="M146" s="10">
        <f>IFERROR(VLOOKUP($A146,ImportDataWA!$A$12:$BB$200,4,FALSE),0)</f>
        <v>0</v>
      </c>
    </row>
    <row r="147" spans="1:13" x14ac:dyDescent="0.25">
      <c r="A147" s="186" t="s">
        <v>207</v>
      </c>
      <c r="B147" s="190" t="s">
        <v>278</v>
      </c>
      <c r="C147" s="32" t="s">
        <v>278</v>
      </c>
      <c r="D147" s="32" t="s">
        <v>212</v>
      </c>
      <c r="E147" s="32" t="s">
        <v>278</v>
      </c>
      <c r="F147" s="10">
        <f>IFERROR(VLOOKUP($A147,ImportDataWA!$A$14:$BB$200,9,FALSE),0)</f>
        <v>0</v>
      </c>
      <c r="G147" s="11">
        <f>IFERROR(VLOOKUP($A147,ImportDataWA!$A$12:$BB$200,10,FALSE),0)</f>
        <v>0</v>
      </c>
      <c r="H147" s="11">
        <f>IFERROR(VLOOKUP($A147,ImportDataWA!$A$12:$BB$200,14,FALSE),0)</f>
        <v>0</v>
      </c>
      <c r="I147" s="11">
        <f>IFERROR(VLOOKUP($A147,ImportDataWA!$A$12:$BB$200,18,FALSE),0)</f>
        <v>0</v>
      </c>
      <c r="J147" s="10">
        <f>IFERROR(VLOOKUP($A147,ImportDataWA!$A$12:$BB$200,5,FALSE),0)</f>
        <v>0</v>
      </c>
      <c r="K147" s="11">
        <f>IFERROR(VLOOKUP($A147,ImportDataWA!$A$12:$BB$200,7,FALSE),0)</f>
        <v>0</v>
      </c>
      <c r="L147" s="10">
        <f>IFERROR(VLOOKUP($A147,ImportDataWA!$A$12:$BB$200,3,FALSE),0)</f>
        <v>0</v>
      </c>
      <c r="M147" s="10">
        <f>IFERROR(VLOOKUP($A147,ImportDataWA!$A$12:$BB$200,4,FALSE),0)</f>
        <v>0</v>
      </c>
    </row>
    <row r="148" spans="1:13" x14ac:dyDescent="0.25">
      <c r="A148" s="186" t="s">
        <v>208</v>
      </c>
      <c r="B148" s="190" t="s">
        <v>278</v>
      </c>
      <c r="C148" s="32" t="s">
        <v>278</v>
      </c>
      <c r="D148" s="32" t="s">
        <v>212</v>
      </c>
      <c r="E148" s="32" t="s">
        <v>278</v>
      </c>
      <c r="F148" s="10">
        <f>IFERROR(VLOOKUP($A148,ImportDataWA!$A$14:$BB$200,9,FALSE),0)</f>
        <v>0</v>
      </c>
      <c r="G148" s="11">
        <f>IFERROR(VLOOKUP($A148,ImportDataWA!$A$12:$BB$200,10,FALSE),0)</f>
        <v>0</v>
      </c>
      <c r="H148" s="11">
        <f>IFERROR(VLOOKUP($A148,ImportDataWA!$A$12:$BB$200,14,FALSE),0)</f>
        <v>0</v>
      </c>
      <c r="I148" s="11">
        <f>IFERROR(VLOOKUP($A148,ImportDataWA!$A$12:$BB$200,18,FALSE),0)</f>
        <v>0</v>
      </c>
      <c r="J148" s="10">
        <f>IFERROR(VLOOKUP($A148,ImportDataWA!$A$12:$BB$200,5,FALSE),0)</f>
        <v>0</v>
      </c>
      <c r="K148" s="11">
        <f>IFERROR(VLOOKUP($A148,ImportDataWA!$A$12:$BB$200,7,FALSE),0)</f>
        <v>0</v>
      </c>
      <c r="L148" s="10">
        <f>IFERROR(VLOOKUP($A148,ImportDataWA!$A$12:$BB$200,3,FALSE),0)</f>
        <v>0</v>
      </c>
      <c r="M148" s="10">
        <f>IFERROR(VLOOKUP($A148,ImportDataWA!$A$12:$BB$200,4,FALSE),0)</f>
        <v>0</v>
      </c>
    </row>
    <row r="149" spans="1:13" x14ac:dyDescent="0.25">
      <c r="A149" s="186" t="s">
        <v>183</v>
      </c>
      <c r="B149" s="190" t="s">
        <v>278</v>
      </c>
      <c r="C149" s="32" t="s">
        <v>278</v>
      </c>
      <c r="D149" s="32" t="s">
        <v>212</v>
      </c>
      <c r="E149" s="32" t="s">
        <v>278</v>
      </c>
      <c r="F149" s="10">
        <f>IFERROR(VLOOKUP($A149,ImportDataWA!$A$14:$BB$200,9,FALSE),0)</f>
        <v>0</v>
      </c>
      <c r="G149" s="11">
        <f>IFERROR(VLOOKUP($A149,ImportDataWA!$A$12:$BB$200,10,FALSE),0)</f>
        <v>0</v>
      </c>
      <c r="H149" s="11">
        <f>IFERROR(VLOOKUP($A149,ImportDataWA!$A$12:$BB$200,14,FALSE),0)</f>
        <v>0</v>
      </c>
      <c r="I149" s="11">
        <f>IFERROR(VLOOKUP($A149,ImportDataWA!$A$12:$BB$200,18,FALSE),0)</f>
        <v>0</v>
      </c>
      <c r="J149" s="10">
        <f>IFERROR(VLOOKUP($A149,ImportDataWA!$A$12:$BB$200,5,FALSE),0)</f>
        <v>0</v>
      </c>
      <c r="K149" s="11">
        <f>IFERROR(VLOOKUP($A149,ImportDataWA!$A$12:$BB$200,7,FALSE),0)</f>
        <v>0</v>
      </c>
      <c r="L149" s="10">
        <f>IFERROR(VLOOKUP($A149,ImportDataWA!$A$12:$BB$200,3,FALSE),0)</f>
        <v>0</v>
      </c>
      <c r="M149" s="10">
        <f>IFERROR(VLOOKUP($A149,ImportDataWA!$A$12:$BB$200,4,FALSE),0)</f>
        <v>0</v>
      </c>
    </row>
    <row r="150" spans="1:13" x14ac:dyDescent="0.25">
      <c r="A150" s="186" t="s">
        <v>184</v>
      </c>
      <c r="B150" s="190" t="s">
        <v>278</v>
      </c>
      <c r="C150" s="32" t="s">
        <v>278</v>
      </c>
      <c r="D150" s="32" t="s">
        <v>212</v>
      </c>
      <c r="E150" s="32" t="s">
        <v>278</v>
      </c>
      <c r="F150" s="10">
        <f>IFERROR(VLOOKUP($A150,ImportDataWA!$A$14:$BB$200,9,FALSE),0)</f>
        <v>0</v>
      </c>
      <c r="G150" s="11">
        <f>IFERROR(VLOOKUP($A150,ImportDataWA!$A$12:$BB$200,10,FALSE),0)</f>
        <v>0</v>
      </c>
      <c r="H150" s="11">
        <f>IFERROR(VLOOKUP($A150,ImportDataWA!$A$12:$BB$200,14,FALSE),0)</f>
        <v>0</v>
      </c>
      <c r="I150" s="11">
        <f>IFERROR(VLOOKUP($A150,ImportDataWA!$A$12:$BB$200,18,FALSE),0)</f>
        <v>0</v>
      </c>
      <c r="J150" s="10">
        <f>IFERROR(VLOOKUP($A150,ImportDataWA!$A$12:$BB$200,5,FALSE),0)</f>
        <v>0</v>
      </c>
      <c r="K150" s="11">
        <f>IFERROR(VLOOKUP($A150,ImportDataWA!$A$12:$BB$200,7,FALSE),0)</f>
        <v>0</v>
      </c>
      <c r="L150" s="10">
        <f>IFERROR(VLOOKUP($A150,ImportDataWA!$A$12:$BB$200,3,FALSE),0)</f>
        <v>0</v>
      </c>
      <c r="M150" s="10">
        <f>IFERROR(VLOOKUP($A150,ImportDataWA!$A$12:$BB$200,4,FALSE),0)</f>
        <v>0</v>
      </c>
    </row>
    <row r="151" spans="1:13" x14ac:dyDescent="0.25">
      <c r="A151" s="186" t="s">
        <v>209</v>
      </c>
      <c r="B151" s="190" t="s">
        <v>278</v>
      </c>
      <c r="C151" s="32" t="s">
        <v>278</v>
      </c>
      <c r="D151" s="32" t="s">
        <v>212</v>
      </c>
      <c r="E151" s="32" t="s">
        <v>278</v>
      </c>
      <c r="F151" s="10">
        <f>IFERROR(VLOOKUP($A151,ImportDataWA!$A$14:$BB$200,9,FALSE),0)</f>
        <v>0</v>
      </c>
      <c r="G151" s="11">
        <f>IFERROR(VLOOKUP($A151,ImportDataWA!$A$12:$BB$200,10,FALSE),0)</f>
        <v>0</v>
      </c>
      <c r="H151" s="11">
        <f>IFERROR(VLOOKUP($A151,ImportDataWA!$A$12:$BB$200,14,FALSE),0)</f>
        <v>0</v>
      </c>
      <c r="I151" s="11">
        <f>IFERROR(VLOOKUP($A151,ImportDataWA!$A$12:$BB$200,18,FALSE),0)</f>
        <v>0</v>
      </c>
      <c r="J151" s="10">
        <f>IFERROR(VLOOKUP($A151,ImportDataWA!$A$12:$BB$200,5,FALSE),0)</f>
        <v>0</v>
      </c>
      <c r="K151" s="11">
        <f>IFERROR(VLOOKUP($A151,ImportDataWA!$A$12:$BB$200,7,FALSE),0)</f>
        <v>0</v>
      </c>
      <c r="L151" s="10">
        <f>IFERROR(VLOOKUP($A151,ImportDataWA!$A$12:$BB$200,3,FALSE),0)</f>
        <v>0</v>
      </c>
      <c r="M151" s="10">
        <f>IFERROR(VLOOKUP($A151,ImportDataWA!$A$12:$BB$200,4,FALSE),0)</f>
        <v>0</v>
      </c>
    </row>
    <row r="152" spans="1:13" x14ac:dyDescent="0.25">
      <c r="A152" s="185" t="s">
        <v>426</v>
      </c>
      <c r="B152" s="86" t="s">
        <v>219</v>
      </c>
      <c r="C152" s="9" t="s">
        <v>474</v>
      </c>
      <c r="D152" s="9" t="s">
        <v>159</v>
      </c>
      <c r="E152" s="9" t="s">
        <v>278</v>
      </c>
      <c r="F152" s="10">
        <f>IFERROR(VLOOKUP($A152,ImportDataWA!$A$14:$BB$200,9,FALSE),0)</f>
        <v>49</v>
      </c>
      <c r="G152" s="11">
        <f>IFERROR(VLOOKUP($A152,ImportDataWA!$A$12:$BB$200,10,FALSE),0)</f>
        <v>150108.14393939395</v>
      </c>
      <c r="H152" s="11">
        <f>IFERROR(VLOOKUP($A152,ImportDataWA!$A$12:$BB$200,14,FALSE),0)</f>
        <v>0</v>
      </c>
      <c r="I152" s="11">
        <f>IFERROR(VLOOKUP($A152,ImportDataWA!$A$12:$BB$200,18,FALSE),0)</f>
        <v>0</v>
      </c>
      <c r="J152" s="10">
        <f>IFERROR(VLOOKUP($A152,ImportDataWA!$A$12:$BB$200,5,FALSE),0)</f>
        <v>1</v>
      </c>
      <c r="K152" s="11">
        <f>IFERROR(VLOOKUP($A152,ImportDataWA!$A$12:$BB$200,7,FALSE),0)</f>
        <v>4090.909090909091</v>
      </c>
      <c r="L152" s="10">
        <f>IFERROR(VLOOKUP($A152,ImportDataWA!$A$12:$BB$200,3,FALSE),0)</f>
        <v>1</v>
      </c>
      <c r="M152" s="10">
        <f>IFERROR(VLOOKUP($A152,ImportDataWA!$A$12:$BB$200,4,FALSE),0)</f>
        <v>1</v>
      </c>
    </row>
    <row r="153" spans="1:13" x14ac:dyDescent="0.25">
      <c r="A153" s="9" t="s">
        <v>13</v>
      </c>
      <c r="B153" s="86" t="s">
        <v>219</v>
      </c>
      <c r="C153" s="9" t="s">
        <v>474</v>
      </c>
      <c r="D153" s="9" t="s">
        <v>159</v>
      </c>
      <c r="E153" s="9" t="s">
        <v>278</v>
      </c>
      <c r="F153" s="10">
        <f>IFERROR(VLOOKUP($A153,ImportDataWA!$A$14:$BB$200,9,FALSE),0)</f>
        <v>60</v>
      </c>
      <c r="G153" s="11">
        <f>IFERROR(VLOOKUP($A153,ImportDataWA!$A$12:$BB$200,10,FALSE),0)</f>
        <v>177440.5303030303</v>
      </c>
      <c r="H153" s="11">
        <f>IFERROR(VLOOKUP($A153,ImportDataWA!$A$12:$BB$200,14,FALSE),0)</f>
        <v>0</v>
      </c>
      <c r="I153" s="11">
        <f>IFERROR(VLOOKUP($A153,ImportDataWA!$A$12:$BB$200,18,FALSE),0)</f>
        <v>0</v>
      </c>
      <c r="J153" s="10">
        <f>IFERROR(VLOOKUP($A153,ImportDataWA!$A$12:$BB$200,5,FALSE),0)</f>
        <v>7</v>
      </c>
      <c r="K153" s="11">
        <f>IFERROR(VLOOKUP($A153,ImportDataWA!$A$12:$BB$200,7,FALSE),0)</f>
        <v>31969.696969696972</v>
      </c>
      <c r="L153" s="10">
        <f>IFERROR(VLOOKUP($A153,ImportDataWA!$A$12:$BB$200,3,FALSE),0)</f>
        <v>4</v>
      </c>
      <c r="M153" s="10">
        <f>IFERROR(VLOOKUP($A153,ImportDataWA!$A$12:$BB$200,4,FALSE),0)</f>
        <v>2</v>
      </c>
    </row>
    <row r="154" spans="1:13" x14ac:dyDescent="0.25">
      <c r="A154" s="185" t="s">
        <v>343</v>
      </c>
      <c r="B154" s="86" t="s">
        <v>219</v>
      </c>
      <c r="C154" s="9" t="s">
        <v>474</v>
      </c>
      <c r="D154" s="9" t="s">
        <v>159</v>
      </c>
      <c r="E154" s="9" t="s">
        <v>278</v>
      </c>
      <c r="F154" s="10">
        <f>IFERROR(VLOOKUP($A154,ImportDataWA!$A$14:$BB$200,9,FALSE),0)</f>
        <v>34</v>
      </c>
      <c r="G154" s="11">
        <f>IFERROR(VLOOKUP($A154,ImportDataWA!$A$12:$BB$200,10,FALSE),0)</f>
        <v>98458.522727272721</v>
      </c>
      <c r="H154" s="11">
        <f>IFERROR(VLOOKUP($A154,ImportDataWA!$A$12:$BB$200,14,FALSE),0)</f>
        <v>0</v>
      </c>
      <c r="I154" s="11">
        <f>IFERROR(VLOOKUP($A154,ImportDataWA!$A$12:$BB$200,18,FALSE),0)</f>
        <v>0</v>
      </c>
      <c r="J154" s="10">
        <f>IFERROR(VLOOKUP($A154,ImportDataWA!$A$12:$BB$200,5,FALSE),0)</f>
        <v>2</v>
      </c>
      <c r="K154" s="11">
        <f>IFERROR(VLOOKUP($A154,ImportDataWA!$A$12:$BB$200,7,FALSE),0)</f>
        <v>7424.242424242424</v>
      </c>
      <c r="L154" s="10">
        <f>IFERROR(VLOOKUP($A154,ImportDataWA!$A$12:$BB$200,3,FALSE),0)</f>
        <v>1</v>
      </c>
      <c r="M154" s="10">
        <f>IFERROR(VLOOKUP($A154,ImportDataWA!$A$12:$BB$200,4,FALSE),0)</f>
        <v>1</v>
      </c>
    </row>
    <row r="155" spans="1:13" x14ac:dyDescent="0.25">
      <c r="A155" s="192" t="s">
        <v>399</v>
      </c>
      <c r="B155" s="245" t="s">
        <v>278</v>
      </c>
      <c r="C155" s="189" t="s">
        <v>278</v>
      </c>
      <c r="D155" s="189" t="s">
        <v>159</v>
      </c>
      <c r="E155" s="189" t="s">
        <v>278</v>
      </c>
      <c r="F155" s="10">
        <f>IFERROR(VLOOKUP($A155,ImportDataWA!$A$14:$BB$200,9,FALSE),0)</f>
        <v>0</v>
      </c>
      <c r="G155" s="11">
        <f>IFERROR(VLOOKUP($A155,ImportDataWA!$A$12:$BB$200,10,FALSE),0)</f>
        <v>0</v>
      </c>
      <c r="H155" s="11">
        <f>IFERROR(VLOOKUP($A155,ImportDataWA!$A$12:$BB$200,14,FALSE),0)</f>
        <v>0</v>
      </c>
      <c r="I155" s="11">
        <f>IFERROR(VLOOKUP($A155,ImportDataWA!$A$12:$BB$200,18,FALSE),0)</f>
        <v>0</v>
      </c>
      <c r="J155" s="10">
        <f>IFERROR(VLOOKUP($A155,ImportDataWA!$A$12:$BB$200,5,FALSE),0)</f>
        <v>0</v>
      </c>
      <c r="K155" s="11">
        <f>IFERROR(VLOOKUP($A155,ImportDataWA!$A$12:$BB$200,7,FALSE),0)</f>
        <v>0</v>
      </c>
      <c r="L155" s="10">
        <f>IFERROR(VLOOKUP($A155,ImportDataWA!$A$12:$BB$200,3,FALSE),0)</f>
        <v>0</v>
      </c>
      <c r="M155" s="10">
        <f>IFERROR(VLOOKUP($A155,ImportDataWA!$A$12:$BB$200,4,FALSE),0)</f>
        <v>0</v>
      </c>
    </row>
    <row r="156" spans="1:13" x14ac:dyDescent="0.25">
      <c r="A156" s="9" t="s">
        <v>95</v>
      </c>
      <c r="B156" s="86" t="s">
        <v>219</v>
      </c>
      <c r="C156" s="9" t="s">
        <v>474</v>
      </c>
      <c r="D156" s="9" t="s">
        <v>159</v>
      </c>
      <c r="E156" s="9" t="s">
        <v>278</v>
      </c>
      <c r="F156" s="10">
        <f>IFERROR(VLOOKUP($A156,ImportDataWA!$A$14:$BB$200,9,FALSE),0)</f>
        <v>38</v>
      </c>
      <c r="G156" s="11">
        <f>IFERROR(VLOOKUP($A156,ImportDataWA!$A$12:$BB$200,10,FALSE),0)</f>
        <v>116908.33333333331</v>
      </c>
      <c r="H156" s="11">
        <f>IFERROR(VLOOKUP($A156,ImportDataWA!$A$12:$BB$200,14,FALSE),0)</f>
        <v>2590.151515151515</v>
      </c>
      <c r="I156" s="11">
        <f>IFERROR(VLOOKUP($A156,ImportDataWA!$A$12:$BB$200,18,FALSE),0)</f>
        <v>0</v>
      </c>
      <c r="J156" s="10">
        <f>IFERROR(VLOOKUP($A156,ImportDataWA!$A$12:$BB$200,5,FALSE),0)</f>
        <v>7</v>
      </c>
      <c r="K156" s="11">
        <f>IFERROR(VLOOKUP($A156,ImportDataWA!$A$12:$BB$200,7,FALSE),0)</f>
        <v>27272.727272727276</v>
      </c>
      <c r="L156" s="10">
        <f>IFERROR(VLOOKUP($A156,ImportDataWA!$A$12:$BB$200,3,FALSE),0)</f>
        <v>5</v>
      </c>
      <c r="M156" s="10">
        <f>IFERROR(VLOOKUP($A156,ImportDataWA!$A$12:$BB$200,4,FALSE),0)</f>
        <v>2</v>
      </c>
    </row>
    <row r="157" spans="1:13" x14ac:dyDescent="0.25">
      <c r="A157" s="232" t="s">
        <v>480</v>
      </c>
      <c r="B157" s="245" t="s">
        <v>278</v>
      </c>
      <c r="C157" s="245" t="s">
        <v>278</v>
      </c>
      <c r="D157" s="9" t="s">
        <v>159</v>
      </c>
      <c r="E157" s="245" t="s">
        <v>278</v>
      </c>
      <c r="F157" s="10">
        <f>IFERROR(VLOOKUP($A157,ImportDataWA!$A$14:$BB$200,9,FALSE),0)</f>
        <v>29</v>
      </c>
      <c r="G157" s="11">
        <f>IFERROR(VLOOKUP($A157,ImportDataWA!$A$12:$BB$200,10,FALSE),0)</f>
        <v>69899.431818181823</v>
      </c>
      <c r="H157" s="11">
        <f>IFERROR(VLOOKUP($A157,ImportDataWA!$A$12:$BB$200,14,FALSE),0)</f>
        <v>4376.893939393939</v>
      </c>
      <c r="I157" s="11">
        <f>IFERROR(VLOOKUP($A157,ImportDataWA!$A$12:$BB$200,18,FALSE),0)</f>
        <v>0</v>
      </c>
      <c r="J157" s="10">
        <f>IFERROR(VLOOKUP($A157,ImportDataWA!$A$12:$BB$200,5,FALSE),0)</f>
        <v>0</v>
      </c>
      <c r="K157" s="11">
        <f>IFERROR(VLOOKUP($A157,ImportDataWA!$A$12:$BB$200,7,FALSE),0)</f>
        <v>0</v>
      </c>
      <c r="L157" s="10">
        <f>IFERROR(VLOOKUP($A157,ImportDataWA!$A$12:$BB$200,3,FALSE),0)</f>
        <v>0</v>
      </c>
      <c r="M157" s="10">
        <f>IFERROR(VLOOKUP($A157,ImportDataWA!$A$12:$BB$200,4,FALSE),0)</f>
        <v>0</v>
      </c>
    </row>
    <row r="158" spans="1:13" x14ac:dyDescent="0.25">
      <c r="A158" s="192" t="s">
        <v>396</v>
      </c>
      <c r="B158" s="245" t="s">
        <v>278</v>
      </c>
      <c r="C158" s="189" t="s">
        <v>278</v>
      </c>
      <c r="D158" s="189" t="s">
        <v>164</v>
      </c>
      <c r="E158" s="189" t="s">
        <v>278</v>
      </c>
      <c r="F158" s="10">
        <f>IFERROR(VLOOKUP($A158,ImportDataWA!$A$14:$BB$200,9,FALSE),0)</f>
        <v>0</v>
      </c>
      <c r="G158" s="11">
        <f>IFERROR(VLOOKUP($A158,ImportDataWA!$A$12:$BB$200,10,FALSE),0)</f>
        <v>0</v>
      </c>
      <c r="H158" s="11">
        <f>IFERROR(VLOOKUP($A158,ImportDataWA!$A$12:$BB$200,14,FALSE),0)</f>
        <v>0</v>
      </c>
      <c r="I158" s="11">
        <f>IFERROR(VLOOKUP($A158,ImportDataWA!$A$12:$BB$200,18,FALSE),0)</f>
        <v>0</v>
      </c>
      <c r="J158" s="10">
        <f>IFERROR(VLOOKUP($A158,ImportDataWA!$A$12:$BB$200,5,FALSE),0)</f>
        <v>0</v>
      </c>
      <c r="K158" s="11">
        <f>IFERROR(VLOOKUP($A158,ImportDataWA!$A$12:$BB$200,7,FALSE),0)</f>
        <v>0</v>
      </c>
      <c r="L158" s="10">
        <f>IFERROR(VLOOKUP($A158,ImportDataWA!$A$12:$BB$200,3,FALSE),0)</f>
        <v>0</v>
      </c>
      <c r="M158" s="10">
        <f>IFERROR(VLOOKUP($A158,ImportDataWA!$A$12:$BB$200,4,FALSE),0)</f>
        <v>0</v>
      </c>
    </row>
    <row r="159" spans="1:13" x14ac:dyDescent="0.25">
      <c r="A159" s="232" t="s">
        <v>397</v>
      </c>
      <c r="B159" s="245" t="s">
        <v>278</v>
      </c>
      <c r="C159" s="189" t="s">
        <v>278</v>
      </c>
      <c r="D159" s="189" t="s">
        <v>164</v>
      </c>
      <c r="E159" s="189" t="s">
        <v>278</v>
      </c>
      <c r="F159" s="10">
        <f>IFERROR(VLOOKUP($A159,ImportDataWA!$A$14:$BB$200,9,FALSE),0)</f>
        <v>0</v>
      </c>
      <c r="G159" s="11">
        <f>IFERROR(VLOOKUP($A159,ImportDataWA!$A$12:$BB$200,10,FALSE),0)</f>
        <v>0</v>
      </c>
      <c r="H159" s="11">
        <f>IFERROR(VLOOKUP($A159,ImportDataWA!$A$12:$BB$200,14,FALSE),0)</f>
        <v>0</v>
      </c>
      <c r="I159" s="11">
        <f>IFERROR(VLOOKUP($A159,ImportDataWA!$A$12:$BB$200,18,FALSE),0)</f>
        <v>0</v>
      </c>
      <c r="J159" s="10">
        <f>IFERROR(VLOOKUP($A159,ImportDataWA!$A$12:$BB$200,5,FALSE),0)</f>
        <v>0</v>
      </c>
      <c r="K159" s="11">
        <f>IFERROR(VLOOKUP($A159,ImportDataWA!$A$12:$BB$200,7,FALSE),0)</f>
        <v>0</v>
      </c>
      <c r="L159" s="10">
        <f>IFERROR(VLOOKUP($A159,ImportDataWA!$A$12:$BB$200,3,FALSE),0)</f>
        <v>0</v>
      </c>
      <c r="M159" s="10">
        <f>IFERROR(VLOOKUP($A159,ImportDataWA!$A$12:$BB$200,4,FALSE),0)</f>
        <v>0</v>
      </c>
    </row>
    <row r="160" spans="1:13" x14ac:dyDescent="0.25">
      <c r="A160" s="192" t="s">
        <v>402</v>
      </c>
      <c r="B160" s="245" t="s">
        <v>278</v>
      </c>
      <c r="C160" s="189" t="s">
        <v>278</v>
      </c>
      <c r="D160" s="189" t="s">
        <v>164</v>
      </c>
      <c r="E160" s="189" t="s">
        <v>278</v>
      </c>
      <c r="F160" s="10">
        <f>IFERROR(VLOOKUP($A160,ImportDataWA!$A$14:$BB$200,9,FALSE),0)</f>
        <v>0</v>
      </c>
      <c r="G160" s="11">
        <f>IFERROR(VLOOKUP($A160,ImportDataWA!$A$12:$BB$200,10,FALSE),0)</f>
        <v>0</v>
      </c>
      <c r="H160" s="11">
        <f>IFERROR(VLOOKUP($A160,ImportDataWA!$A$12:$BB$200,14,FALSE),0)</f>
        <v>0</v>
      </c>
      <c r="I160" s="11">
        <f>IFERROR(VLOOKUP($A160,ImportDataWA!$A$12:$BB$200,18,FALSE),0)</f>
        <v>0</v>
      </c>
      <c r="J160" s="10">
        <f>IFERROR(VLOOKUP($A160,ImportDataWA!$A$12:$BB$200,5,FALSE),0)</f>
        <v>0</v>
      </c>
      <c r="K160" s="11">
        <f>IFERROR(VLOOKUP($A160,ImportDataWA!$A$12:$BB$200,7,FALSE),0)</f>
        <v>0</v>
      </c>
      <c r="L160" s="10">
        <f>IFERROR(VLOOKUP($A160,ImportDataWA!$A$12:$BB$200,3,FALSE),0)</f>
        <v>0</v>
      </c>
      <c r="M160" s="10">
        <f>IFERROR(VLOOKUP($A160,ImportDataWA!$A$12:$BB$200,4,FALSE),0)</f>
        <v>0</v>
      </c>
    </row>
    <row r="161" spans="1:13" x14ac:dyDescent="0.25">
      <c r="A161" s="185" t="s">
        <v>43</v>
      </c>
      <c r="B161" s="86" t="s">
        <v>219</v>
      </c>
      <c r="C161" s="9" t="s">
        <v>21</v>
      </c>
      <c r="D161" s="9" t="s">
        <v>164</v>
      </c>
      <c r="E161" s="9" t="s">
        <v>229</v>
      </c>
      <c r="F161" s="10">
        <f>IFERROR(VLOOKUP($A161,ImportDataWA!$A$14:$BB$200,9,FALSE),0)</f>
        <v>193</v>
      </c>
      <c r="G161" s="11">
        <f>IFERROR(VLOOKUP($A161,ImportDataWA!$A$12:$BB$200,10,FALSE),0)</f>
        <v>504313.54470163619</v>
      </c>
      <c r="H161" s="11">
        <f>IFERROR(VLOOKUP($A161,ImportDataWA!$A$12:$BB$200,14,FALSE),0)</f>
        <v>29917.53620649103</v>
      </c>
      <c r="I161" s="11">
        <f>IFERROR(VLOOKUP($A161,ImportDataWA!$A$12:$BB$200,18,FALSE),0)</f>
        <v>28863.099954545454</v>
      </c>
      <c r="J161" s="10">
        <f>IFERROR(VLOOKUP($A161,ImportDataWA!$A$12:$BB$200,5,FALSE),0)</f>
        <v>0</v>
      </c>
      <c r="K161" s="11">
        <f>IFERROR(VLOOKUP($A161,ImportDataWA!$A$12:$BB$200,7,FALSE),0)</f>
        <v>0</v>
      </c>
      <c r="L161" s="10">
        <f>IFERROR(VLOOKUP($A161,ImportDataWA!$A$12:$BB$200,3,FALSE),0)</f>
        <v>0</v>
      </c>
      <c r="M161" s="10">
        <f>IFERROR(VLOOKUP($A161,ImportDataWA!$A$12:$BB$200,4,FALSE),0)</f>
        <v>0</v>
      </c>
    </row>
    <row r="162" spans="1:13" x14ac:dyDescent="0.25">
      <c r="A162" s="185" t="s">
        <v>44</v>
      </c>
      <c r="B162" s="86" t="s">
        <v>383</v>
      </c>
      <c r="C162" s="9" t="s">
        <v>21</v>
      </c>
      <c r="D162" s="9" t="s">
        <v>164</v>
      </c>
      <c r="E162" s="9" t="s">
        <v>229</v>
      </c>
      <c r="F162" s="10">
        <f>IFERROR(VLOOKUP($A162,ImportDataWA!$A$14:$BB$200,9,FALSE),0)</f>
        <v>166</v>
      </c>
      <c r="G162" s="11">
        <f>IFERROR(VLOOKUP($A162,ImportDataWA!$A$12:$BB$200,10,FALSE),0)</f>
        <v>628551.17606801377</v>
      </c>
      <c r="H162" s="11">
        <f>IFERROR(VLOOKUP($A162,ImportDataWA!$A$12:$BB$200,14,FALSE),0)</f>
        <v>7305.0067499999996</v>
      </c>
      <c r="I162" s="11">
        <f>IFERROR(VLOOKUP($A162,ImportDataWA!$A$12:$BB$200,18,FALSE),0)</f>
        <v>24204.261159090911</v>
      </c>
      <c r="J162" s="10">
        <f>IFERROR(VLOOKUP($A162,ImportDataWA!$A$12:$BB$200,5,FALSE),0)</f>
        <v>12</v>
      </c>
      <c r="K162" s="11">
        <f>IFERROR(VLOOKUP($A162,ImportDataWA!$A$12:$BB$200,7,FALSE),0)</f>
        <v>59469.696969696961</v>
      </c>
      <c r="L162" s="10">
        <f>IFERROR(VLOOKUP($A162,ImportDataWA!$A$12:$BB$200,3,FALSE),0)</f>
        <v>0</v>
      </c>
      <c r="M162" s="10">
        <f>IFERROR(VLOOKUP($A162,ImportDataWA!$A$12:$BB$200,4,FALSE),0)</f>
        <v>9</v>
      </c>
    </row>
    <row r="163" spans="1:13" x14ac:dyDescent="0.25">
      <c r="A163" s="185" t="s">
        <v>47</v>
      </c>
      <c r="B163" s="86" t="s">
        <v>383</v>
      </c>
      <c r="C163" s="9" t="s">
        <v>143</v>
      </c>
      <c r="D163" s="9" t="s">
        <v>164</v>
      </c>
      <c r="E163" s="9" t="s">
        <v>229</v>
      </c>
      <c r="F163" s="10">
        <f>IFERROR(VLOOKUP($A163,ImportDataWA!$A$14:$BB$200,9,FALSE),0)</f>
        <v>228</v>
      </c>
      <c r="G163" s="11">
        <f>IFERROR(VLOOKUP($A163,ImportDataWA!$A$12:$BB$200,10,FALSE),0)</f>
        <v>824202.83918234368</v>
      </c>
      <c r="H163" s="11">
        <f>IFERROR(VLOOKUP($A163,ImportDataWA!$A$12:$BB$200,14,FALSE),0)</f>
        <v>30419.240545454541</v>
      </c>
      <c r="I163" s="11">
        <f>IFERROR(VLOOKUP($A163,ImportDataWA!$A$12:$BB$200,18,FALSE),0)</f>
        <v>21101.984990525132</v>
      </c>
      <c r="J163" s="10">
        <f>IFERROR(VLOOKUP($A163,ImportDataWA!$A$12:$BB$200,5,FALSE),0)</f>
        <v>7</v>
      </c>
      <c r="K163" s="11">
        <f>IFERROR(VLOOKUP($A163,ImportDataWA!$A$12:$BB$200,7,FALSE),0)</f>
        <v>51515.15151515152</v>
      </c>
      <c r="L163" s="10">
        <f>IFERROR(VLOOKUP($A163,ImportDataWA!$A$12:$BB$200,3,FALSE),0)</f>
        <v>0</v>
      </c>
      <c r="M163" s="10">
        <f>IFERROR(VLOOKUP($A163,ImportDataWA!$A$12:$BB$200,4,FALSE),0)</f>
        <v>6</v>
      </c>
    </row>
    <row r="164" spans="1:13" x14ac:dyDescent="0.25">
      <c r="A164" s="185" t="s">
        <v>225</v>
      </c>
      <c r="B164" s="86" t="s">
        <v>383</v>
      </c>
      <c r="C164" s="9" t="s">
        <v>21</v>
      </c>
      <c r="D164" s="9" t="s">
        <v>164</v>
      </c>
      <c r="E164" s="9" t="s">
        <v>229</v>
      </c>
      <c r="F164" s="10">
        <f>IFERROR(VLOOKUP($A164,ImportDataWA!$A$14:$BB$200,9,FALSE),0)</f>
        <v>208</v>
      </c>
      <c r="G164" s="11">
        <f>IFERROR(VLOOKUP($A164,ImportDataWA!$A$12:$BB$200,10,FALSE),0)</f>
        <v>845194.59965879668</v>
      </c>
      <c r="H164" s="11">
        <f>IFERROR(VLOOKUP($A164,ImportDataWA!$A$12:$BB$200,14,FALSE),0)</f>
        <v>41028.916651515159</v>
      </c>
      <c r="I164" s="11">
        <f>IFERROR(VLOOKUP($A164,ImportDataWA!$A$12:$BB$200,18,FALSE),0)</f>
        <v>25067.171810606058</v>
      </c>
      <c r="J164" s="10">
        <f>IFERROR(VLOOKUP($A164,ImportDataWA!$A$12:$BB$200,5,FALSE),0)</f>
        <v>12</v>
      </c>
      <c r="K164" s="11">
        <f>IFERROR(VLOOKUP($A164,ImportDataWA!$A$12:$BB$200,7,FALSE),0)</f>
        <v>65909.090909090912</v>
      </c>
      <c r="L164" s="10">
        <f>IFERROR(VLOOKUP($A164,ImportDataWA!$A$12:$BB$200,3,FALSE),0)</f>
        <v>0</v>
      </c>
      <c r="M164" s="10">
        <f>IFERROR(VLOOKUP($A164,ImportDataWA!$A$12:$BB$200,4,FALSE),0)</f>
        <v>7</v>
      </c>
    </row>
    <row r="165" spans="1:13" x14ac:dyDescent="0.25">
      <c r="A165" s="185" t="s">
        <v>55</v>
      </c>
      <c r="B165" s="86" t="s">
        <v>383</v>
      </c>
      <c r="C165" s="9" t="s">
        <v>21</v>
      </c>
      <c r="D165" s="9" t="s">
        <v>164</v>
      </c>
      <c r="E165" s="9" t="s">
        <v>229</v>
      </c>
      <c r="F165" s="10">
        <f>IFERROR(VLOOKUP($A165,ImportDataWA!$A$14:$BB$200,9,FALSE),0)</f>
        <v>183</v>
      </c>
      <c r="G165" s="11">
        <f>IFERROR(VLOOKUP($A165,ImportDataWA!$A$12:$BB$200,10,FALSE),0)</f>
        <v>691551.61456154822</v>
      </c>
      <c r="H165" s="11">
        <f>IFERROR(VLOOKUP($A165,ImportDataWA!$A$12:$BB$200,14,FALSE),0)</f>
        <v>21300.689083333338</v>
      </c>
      <c r="I165" s="11">
        <f>IFERROR(VLOOKUP($A165,ImportDataWA!$A$12:$BB$200,18,FALSE),0)</f>
        <v>22547.815068181815</v>
      </c>
      <c r="J165" s="10">
        <f>IFERROR(VLOOKUP($A165,ImportDataWA!$A$12:$BB$200,5,FALSE),0)</f>
        <v>2</v>
      </c>
      <c r="K165" s="11">
        <f>IFERROR(VLOOKUP($A165,ImportDataWA!$A$12:$BB$200,7,FALSE),0)</f>
        <v>20454.545454545456</v>
      </c>
      <c r="L165" s="10">
        <f>IFERROR(VLOOKUP($A165,ImportDataWA!$A$12:$BB$200,3,FALSE),0)</f>
        <v>0</v>
      </c>
      <c r="M165" s="10">
        <f>IFERROR(VLOOKUP($A165,ImportDataWA!$A$12:$BB$200,4,FALSE),0)</f>
        <v>1</v>
      </c>
    </row>
    <row r="166" spans="1:13" x14ac:dyDescent="0.25">
      <c r="A166" s="185" t="s">
        <v>59</v>
      </c>
      <c r="B166" s="86" t="s">
        <v>219</v>
      </c>
      <c r="C166" s="9" t="s">
        <v>143</v>
      </c>
      <c r="D166" s="9" t="s">
        <v>164</v>
      </c>
      <c r="E166" s="9" t="s">
        <v>229</v>
      </c>
      <c r="F166" s="10">
        <f>IFERROR(VLOOKUP($A166,ImportDataWA!$A$14:$BB$200,9,FALSE),0)</f>
        <v>187</v>
      </c>
      <c r="G166" s="11">
        <f>IFERROR(VLOOKUP($A166,ImportDataWA!$A$12:$BB$200,10,FALSE),0)</f>
        <v>789604.059323436</v>
      </c>
      <c r="H166" s="11">
        <f>IFERROR(VLOOKUP($A166,ImportDataWA!$A$12:$BB$200,14,FALSE),0)</f>
        <v>20478.450846991982</v>
      </c>
      <c r="I166" s="11">
        <f>IFERROR(VLOOKUP($A166,ImportDataWA!$A$12:$BB$200,18,FALSE),0)</f>
        <v>7617.5914772727274</v>
      </c>
      <c r="J166" s="10">
        <f>IFERROR(VLOOKUP($A166,ImportDataWA!$A$12:$BB$200,5,FALSE),0)</f>
        <v>10</v>
      </c>
      <c r="K166" s="11">
        <f>IFERROR(VLOOKUP($A166,ImportDataWA!$A$12:$BB$200,7,FALSE),0)</f>
        <v>74242.424242424255</v>
      </c>
      <c r="L166" s="10">
        <f>IFERROR(VLOOKUP($A166,ImportDataWA!$A$12:$BB$200,3,FALSE),0)</f>
        <v>1</v>
      </c>
      <c r="M166" s="10">
        <f>IFERROR(VLOOKUP($A166,ImportDataWA!$A$12:$BB$200,4,FALSE),0)</f>
        <v>4</v>
      </c>
    </row>
    <row r="167" spans="1:13" x14ac:dyDescent="0.25">
      <c r="A167" s="9" t="s">
        <v>67</v>
      </c>
      <c r="B167" s="86" t="s">
        <v>383</v>
      </c>
      <c r="C167" s="9" t="s">
        <v>143</v>
      </c>
      <c r="D167" s="9" t="s">
        <v>164</v>
      </c>
      <c r="E167" s="9" t="s">
        <v>229</v>
      </c>
      <c r="F167" s="10">
        <f>IFERROR(VLOOKUP($A167,ImportDataWA!$A$14:$BB$200,9,FALSE),0)</f>
        <v>114</v>
      </c>
      <c r="G167" s="11">
        <f>IFERROR(VLOOKUP($A167,ImportDataWA!$A$12:$BB$200,10,FALSE),0)</f>
        <v>741034.5637575757</v>
      </c>
      <c r="H167" s="11">
        <f>IFERROR(VLOOKUP($A167,ImportDataWA!$A$12:$BB$200,14,FALSE),0)</f>
        <v>28095.82340909091</v>
      </c>
      <c r="I167" s="11">
        <f>IFERROR(VLOOKUP($A167,ImportDataWA!$A$12:$BB$200,18,FALSE),0)</f>
        <v>21604.986431818179</v>
      </c>
      <c r="J167" s="10">
        <f>IFERROR(VLOOKUP($A167,ImportDataWA!$A$12:$BB$200,5,FALSE),0)</f>
        <v>3</v>
      </c>
      <c r="K167" s="11">
        <f>IFERROR(VLOOKUP($A167,ImportDataWA!$A$12:$BB$200,7,FALSE),0)</f>
        <v>23484.848484848488</v>
      </c>
      <c r="L167" s="10">
        <f>IFERROR(VLOOKUP($A167,ImportDataWA!$A$12:$BB$200,3,FALSE),0)</f>
        <v>1</v>
      </c>
      <c r="M167" s="10">
        <f>IFERROR(VLOOKUP($A167,ImportDataWA!$A$12:$BB$200,4,FALSE),0)</f>
        <v>1</v>
      </c>
    </row>
    <row r="168" spans="1:13" x14ac:dyDescent="0.25">
      <c r="A168" t="s">
        <v>72</v>
      </c>
      <c r="B168" s="86" t="s">
        <v>383</v>
      </c>
      <c r="C168" s="9" t="s">
        <v>143</v>
      </c>
      <c r="D168" s="9" t="s">
        <v>164</v>
      </c>
      <c r="E168" s="9" t="s">
        <v>229</v>
      </c>
      <c r="F168" s="10">
        <f>IFERROR(VLOOKUP($A168,ImportDataWA!$A$14:$BB$200,9,FALSE),0)</f>
        <v>199</v>
      </c>
      <c r="G168" s="11">
        <f>IFERROR(VLOOKUP($A168,ImportDataWA!$A$12:$BB$200,10,FALSE),0)</f>
        <v>756438.40926782566</v>
      </c>
      <c r="H168" s="11">
        <f>IFERROR(VLOOKUP($A168,ImportDataWA!$A$12:$BB$200,14,FALSE),0)</f>
        <v>22295.461765151515</v>
      </c>
      <c r="I168" s="11">
        <f>IFERROR(VLOOKUP($A168,ImportDataWA!$A$12:$BB$200,18,FALSE),0)</f>
        <v>19341.108651515151</v>
      </c>
      <c r="J168" s="10">
        <f>IFERROR(VLOOKUP($A168,ImportDataWA!$A$12:$BB$200,5,FALSE),0)</f>
        <v>12</v>
      </c>
      <c r="K168" s="11">
        <f>IFERROR(VLOOKUP($A168,ImportDataWA!$A$12:$BB$200,7,FALSE),0)</f>
        <v>56969.696969696983</v>
      </c>
      <c r="L168" s="10">
        <f>IFERROR(VLOOKUP($A168,ImportDataWA!$A$12:$BB$200,3,FALSE),0)</f>
        <v>2</v>
      </c>
      <c r="M168" s="10">
        <f>IFERROR(VLOOKUP($A168,ImportDataWA!$A$12:$BB$200,4,FALSE),0)</f>
        <v>8</v>
      </c>
    </row>
    <row r="169" spans="1:13" x14ac:dyDescent="0.25">
      <c r="A169" s="232" t="s">
        <v>411</v>
      </c>
      <c r="B169" s="245" t="s">
        <v>278</v>
      </c>
      <c r="C169" s="189" t="s">
        <v>278</v>
      </c>
      <c r="D169" s="189" t="s">
        <v>164</v>
      </c>
      <c r="E169" s="189" t="s">
        <v>278</v>
      </c>
      <c r="F169" s="10">
        <f>IFERROR(VLOOKUP($A169,ImportDataWA!$A$14:$BB$200,9,FALSE),0)</f>
        <v>0</v>
      </c>
      <c r="G169" s="11">
        <f>IFERROR(VLOOKUP($A169,ImportDataWA!$A$12:$BB$200,10,FALSE),0)</f>
        <v>0</v>
      </c>
      <c r="H169" s="11">
        <f>IFERROR(VLOOKUP($A169,ImportDataWA!$A$12:$BB$200,14,FALSE),0)</f>
        <v>0</v>
      </c>
      <c r="I169" s="11">
        <f>IFERROR(VLOOKUP($A169,ImportDataWA!$A$12:$BB$200,18,FALSE),0)</f>
        <v>0</v>
      </c>
      <c r="J169" s="10">
        <f>IFERROR(VLOOKUP($A169,ImportDataWA!$A$12:$BB$200,5,FALSE),0)</f>
        <v>0</v>
      </c>
      <c r="K169" s="11">
        <f>IFERROR(VLOOKUP($A169,ImportDataWA!$A$12:$BB$200,7,FALSE),0)</f>
        <v>0</v>
      </c>
      <c r="L169" s="10">
        <f>IFERROR(VLOOKUP($A169,ImportDataWA!$A$12:$BB$200,3,FALSE),0)</f>
        <v>0</v>
      </c>
      <c r="M169" s="10">
        <f>IFERROR(VLOOKUP($A169,ImportDataWA!$A$12:$BB$200,4,FALSE),0)</f>
        <v>0</v>
      </c>
    </row>
    <row r="170" spans="1:13" x14ac:dyDescent="0.25">
      <c r="A170" s="9" t="s">
        <v>108</v>
      </c>
      <c r="B170" s="86" t="s">
        <v>383</v>
      </c>
      <c r="C170" s="9" t="s">
        <v>21</v>
      </c>
      <c r="D170" s="9" t="s">
        <v>164</v>
      </c>
      <c r="E170" s="9" t="s">
        <v>229</v>
      </c>
      <c r="F170" s="10">
        <f>IFERROR(VLOOKUP($A170,ImportDataWA!$A$14:$BB$200,9,FALSE),0)</f>
        <v>105</v>
      </c>
      <c r="G170" s="11">
        <f>IFERROR(VLOOKUP($A170,ImportDataWA!$A$12:$BB$200,10,FALSE),0)</f>
        <v>503981.93949909427</v>
      </c>
      <c r="H170" s="11">
        <f>IFERROR(VLOOKUP($A170,ImportDataWA!$A$12:$BB$200,14,FALSE),0)</f>
        <v>6200.436303030303</v>
      </c>
      <c r="I170" s="11">
        <f>IFERROR(VLOOKUP($A170,ImportDataWA!$A$12:$BB$200,18,FALSE),0)</f>
        <v>37411.314257575759</v>
      </c>
      <c r="J170" s="10">
        <f>IFERROR(VLOOKUP($A170,ImportDataWA!$A$12:$BB$200,5,FALSE),0)</f>
        <v>9</v>
      </c>
      <c r="K170" s="11">
        <f>IFERROR(VLOOKUP($A170,ImportDataWA!$A$12:$BB$200,7,FALSE),0)</f>
        <v>61742.424242424247</v>
      </c>
      <c r="L170" s="10">
        <f>IFERROR(VLOOKUP($A170,ImportDataWA!$A$12:$BB$200,3,FALSE),0)</f>
        <v>2</v>
      </c>
      <c r="M170" s="10">
        <f>IFERROR(VLOOKUP($A170,ImportDataWA!$A$12:$BB$200,4,FALSE),0)</f>
        <v>5</v>
      </c>
    </row>
    <row r="171" spans="1:13" x14ac:dyDescent="0.25">
      <c r="A171" s="211" t="s">
        <v>433</v>
      </c>
      <c r="B171" s="86" t="s">
        <v>219</v>
      </c>
      <c r="C171" s="9" t="s">
        <v>276</v>
      </c>
      <c r="D171" s="9" t="s">
        <v>153</v>
      </c>
      <c r="E171" s="9" t="s">
        <v>227</v>
      </c>
      <c r="F171" s="10">
        <f>IFERROR(VLOOKUP($A171,ImportDataWA!$A$14:$BB$200,9,FALSE),0)</f>
        <v>123</v>
      </c>
      <c r="G171" s="11">
        <f>IFERROR(VLOOKUP($A171,ImportDataWA!$A$12:$BB$200,10,FALSE),0)</f>
        <v>463395.84175757592</v>
      </c>
      <c r="H171" s="11">
        <f>IFERROR(VLOOKUP($A171,ImportDataWA!$A$12:$BB$200,14,FALSE),0)</f>
        <v>9032.5792424242427</v>
      </c>
      <c r="I171" s="11">
        <f>IFERROR(VLOOKUP($A171,ImportDataWA!$A$12:$BB$200,18,FALSE),0)</f>
        <v>0</v>
      </c>
      <c r="J171" s="10">
        <f>IFERROR(VLOOKUP($A171,ImportDataWA!$A$12:$BB$200,5,FALSE),0)</f>
        <v>13</v>
      </c>
      <c r="K171" s="11">
        <f>IFERROR(VLOOKUP($A171,ImportDataWA!$A$12:$BB$200,7,FALSE),0)</f>
        <v>51515.15151515152</v>
      </c>
      <c r="L171" s="10">
        <f>IFERROR(VLOOKUP($A171,ImportDataWA!$A$12:$BB$200,3,FALSE),0)</f>
        <v>7</v>
      </c>
      <c r="M171" s="10">
        <f>IFERROR(VLOOKUP($A171,ImportDataWA!$A$12:$BB$200,4,FALSE),0)</f>
        <v>4</v>
      </c>
    </row>
    <row r="172" spans="1:13" x14ac:dyDescent="0.25">
      <c r="A172" s="211" t="s">
        <v>434</v>
      </c>
      <c r="B172" s="86" t="s">
        <v>219</v>
      </c>
      <c r="C172" s="9" t="s">
        <v>465</v>
      </c>
      <c r="D172" s="9" t="s">
        <v>153</v>
      </c>
      <c r="E172" s="9" t="s">
        <v>227</v>
      </c>
      <c r="F172" s="10">
        <f>IFERROR(VLOOKUP($A172,ImportDataWA!$A$14:$BB$200,9,FALSE),0)</f>
        <v>84</v>
      </c>
      <c r="G172" s="11">
        <f>IFERROR(VLOOKUP($A172,ImportDataWA!$A$12:$BB$200,10,FALSE),0)</f>
        <v>225234.3097512908</v>
      </c>
      <c r="H172" s="11">
        <f>IFERROR(VLOOKUP($A172,ImportDataWA!$A$12:$BB$200,14,FALSE),0)</f>
        <v>0</v>
      </c>
      <c r="I172" s="11">
        <f>IFERROR(VLOOKUP($A172,ImportDataWA!$A$12:$BB$200,18,FALSE),0)</f>
        <v>0</v>
      </c>
      <c r="J172" s="10">
        <f>IFERROR(VLOOKUP($A172,ImportDataWA!$A$12:$BB$200,5,FALSE),0)</f>
        <v>14</v>
      </c>
      <c r="K172" s="11">
        <f>IFERROR(VLOOKUP($A172,ImportDataWA!$A$12:$BB$200,7,FALSE),0)</f>
        <v>50757.575757575774</v>
      </c>
      <c r="L172" s="10">
        <f>IFERROR(VLOOKUP($A172,ImportDataWA!$A$12:$BB$200,3,FALSE),0)</f>
        <v>8</v>
      </c>
      <c r="M172" s="10">
        <f>IFERROR(VLOOKUP($A172,ImportDataWA!$A$12:$BB$200,4,FALSE),0)</f>
        <v>4</v>
      </c>
    </row>
    <row r="173" spans="1:13" x14ac:dyDescent="0.25">
      <c r="A173" s="211" t="s">
        <v>445</v>
      </c>
      <c r="B173" s="86" t="s">
        <v>219</v>
      </c>
      <c r="C173" s="9" t="s">
        <v>466</v>
      </c>
      <c r="D173" s="9" t="s">
        <v>158</v>
      </c>
      <c r="E173" s="9" t="s">
        <v>149</v>
      </c>
      <c r="F173" s="10">
        <f>IFERROR(VLOOKUP($A173,ImportDataWA!$A$14:$BB$200,9,FALSE),0)</f>
        <v>24</v>
      </c>
      <c r="G173" s="11">
        <f>IFERROR(VLOOKUP($A173,ImportDataWA!$A$12:$BB$200,10,FALSE),0)</f>
        <v>91008.882287878761</v>
      </c>
      <c r="H173" s="11">
        <f>IFERROR(VLOOKUP($A173,ImportDataWA!$A$12:$BB$200,14,FALSE),0)</f>
        <v>0</v>
      </c>
      <c r="I173" s="11">
        <f>IFERROR(VLOOKUP($A173,ImportDataWA!$A$12:$BB$200,18,FALSE),0)</f>
        <v>0</v>
      </c>
      <c r="J173" s="10">
        <f>IFERROR(VLOOKUP($A173,ImportDataWA!$A$12:$BB$200,5,FALSE),0)</f>
        <v>0</v>
      </c>
      <c r="K173" s="11">
        <f>IFERROR(VLOOKUP($A173,ImportDataWA!$A$12:$BB$200,7,FALSE),0)</f>
        <v>0</v>
      </c>
      <c r="L173" s="10">
        <f>IFERROR(VLOOKUP($A173,ImportDataWA!$A$12:$BB$200,3,FALSE),0)</f>
        <v>0</v>
      </c>
      <c r="M173" s="10">
        <f>IFERROR(VLOOKUP($A173,ImportDataWA!$A$12:$BB$200,4,FALSE),0)</f>
        <v>0</v>
      </c>
    </row>
    <row r="174" spans="1:13" x14ac:dyDescent="0.25">
      <c r="A174" s="211" t="s">
        <v>446</v>
      </c>
      <c r="B174" s="86" t="s">
        <v>219</v>
      </c>
      <c r="C174" s="9" t="s">
        <v>466</v>
      </c>
      <c r="D174" s="9" t="s">
        <v>158</v>
      </c>
      <c r="E174" s="9" t="s">
        <v>149</v>
      </c>
      <c r="F174" s="10">
        <f>IFERROR(VLOOKUP($A174,ImportDataWA!$A$14:$BB$200,9,FALSE),0)</f>
        <v>28</v>
      </c>
      <c r="G174" s="11">
        <f>IFERROR(VLOOKUP($A174,ImportDataWA!$A$12:$BB$200,10,FALSE),0)</f>
        <v>117391.75352272726</v>
      </c>
      <c r="H174" s="11">
        <f>IFERROR(VLOOKUP($A174,ImportDataWA!$A$12:$BB$200,14,FALSE),0)</f>
        <v>0</v>
      </c>
      <c r="I174" s="11">
        <f>IFERROR(VLOOKUP($A174,ImportDataWA!$A$12:$BB$200,18,FALSE),0)</f>
        <v>0</v>
      </c>
      <c r="J174" s="10">
        <f>IFERROR(VLOOKUP($A174,ImportDataWA!$A$12:$BB$200,5,FALSE),0)</f>
        <v>2</v>
      </c>
      <c r="K174" s="11">
        <f>IFERROR(VLOOKUP($A174,ImportDataWA!$A$12:$BB$200,7,FALSE),0)</f>
        <v>8333.3333333333321</v>
      </c>
      <c r="L174" s="10">
        <f>IFERROR(VLOOKUP($A174,ImportDataWA!$A$12:$BB$200,3,FALSE),0)</f>
        <v>0</v>
      </c>
      <c r="M174" s="10">
        <f>IFERROR(VLOOKUP($A174,ImportDataWA!$A$12:$BB$200,4,FALSE),0)</f>
        <v>0</v>
      </c>
    </row>
    <row r="175" spans="1:13" x14ac:dyDescent="0.25">
      <c r="A175" s="185" t="s">
        <v>437</v>
      </c>
      <c r="B175" s="86" t="s">
        <v>219</v>
      </c>
      <c r="C175" s="9" t="s">
        <v>466</v>
      </c>
      <c r="D175" s="9" t="s">
        <v>158</v>
      </c>
      <c r="E175" s="9" t="s">
        <v>149</v>
      </c>
      <c r="F175" s="10">
        <f>IFERROR(VLOOKUP($A175,ImportDataWA!$A$14:$BB$200,9,FALSE),0)</f>
        <v>24</v>
      </c>
      <c r="G175" s="11">
        <f>IFERROR(VLOOKUP($A175,ImportDataWA!$A$12:$BB$200,10,FALSE),0)</f>
        <v>87633.009075757567</v>
      </c>
      <c r="H175" s="11">
        <f>IFERROR(VLOOKUP($A175,ImportDataWA!$A$12:$BB$200,14,FALSE),0)</f>
        <v>0</v>
      </c>
      <c r="I175" s="11">
        <f>IFERROR(VLOOKUP($A175,ImportDataWA!$A$12:$BB$200,18,FALSE),0)</f>
        <v>0</v>
      </c>
      <c r="J175" s="10">
        <f>IFERROR(VLOOKUP($A175,ImportDataWA!$A$12:$BB$200,5,FALSE),0)</f>
        <v>4</v>
      </c>
      <c r="K175" s="11">
        <f>IFERROR(VLOOKUP($A175,ImportDataWA!$A$12:$BB$200,7,FALSE),0)</f>
        <v>17803.030303030304</v>
      </c>
      <c r="L175" s="10">
        <f>IFERROR(VLOOKUP($A175,ImportDataWA!$A$12:$BB$200,3,FALSE),0)</f>
        <v>1</v>
      </c>
      <c r="M175" s="10">
        <f>IFERROR(VLOOKUP($A175,ImportDataWA!$A$12:$BB$200,4,FALSE),0)</f>
        <v>0</v>
      </c>
    </row>
    <row r="176" spans="1:13" x14ac:dyDescent="0.25">
      <c r="A176" s="185" t="s">
        <v>438</v>
      </c>
      <c r="B176" s="86" t="s">
        <v>219</v>
      </c>
      <c r="C176" s="9" t="s">
        <v>466</v>
      </c>
      <c r="D176" s="9" t="s">
        <v>158</v>
      </c>
      <c r="E176" s="9" t="s">
        <v>149</v>
      </c>
      <c r="F176" s="10">
        <f>IFERROR(VLOOKUP($A176,ImportDataWA!$A$14:$BB$200,9,FALSE),0)</f>
        <v>17</v>
      </c>
      <c r="G176" s="11">
        <f>IFERROR(VLOOKUP($A176,ImportDataWA!$A$12:$BB$200,10,FALSE),0)</f>
        <v>62929.626886363643</v>
      </c>
      <c r="H176" s="11">
        <f>IFERROR(VLOOKUP($A176,ImportDataWA!$A$12:$BB$200,14,FALSE),0)</f>
        <v>0</v>
      </c>
      <c r="I176" s="11">
        <f>IFERROR(VLOOKUP($A176,ImportDataWA!$A$12:$BB$200,18,FALSE),0)</f>
        <v>0</v>
      </c>
      <c r="J176" s="10">
        <f>IFERROR(VLOOKUP($A176,ImportDataWA!$A$12:$BB$200,5,FALSE),0)</f>
        <v>6</v>
      </c>
      <c r="K176" s="11">
        <f>IFERROR(VLOOKUP($A176,ImportDataWA!$A$12:$BB$200,7,FALSE),0)</f>
        <v>21666.666666666664</v>
      </c>
      <c r="L176" s="10">
        <f>IFERROR(VLOOKUP($A176,ImportDataWA!$A$12:$BB$200,3,FALSE),0)</f>
        <v>4</v>
      </c>
      <c r="M176" s="10">
        <f>IFERROR(VLOOKUP($A176,ImportDataWA!$A$12:$BB$200,4,FALSE),0)</f>
        <v>1</v>
      </c>
    </row>
    <row r="177" spans="1:13" x14ac:dyDescent="0.25">
      <c r="A177" s="185" t="s">
        <v>439</v>
      </c>
      <c r="B177" s="86" t="s">
        <v>219</v>
      </c>
      <c r="C177" s="9" t="s">
        <v>467</v>
      </c>
      <c r="D177" s="9" t="s">
        <v>158</v>
      </c>
      <c r="E177" s="9" t="s">
        <v>149</v>
      </c>
      <c r="F177" s="10">
        <f>IFERROR(VLOOKUP($A177,ImportDataWA!$A$14:$BB$200,9,FALSE),0)</f>
        <v>14</v>
      </c>
      <c r="G177" s="11">
        <f>IFERROR(VLOOKUP($A177,ImportDataWA!$A$12:$BB$200,10,FALSE),0)</f>
        <v>52272.706022727274</v>
      </c>
      <c r="H177" s="11">
        <f>IFERROR(VLOOKUP($A177,ImportDataWA!$A$12:$BB$200,14,FALSE),0)</f>
        <v>0</v>
      </c>
      <c r="I177" s="11">
        <f>IFERROR(VLOOKUP($A177,ImportDataWA!$A$12:$BB$200,18,FALSE),0)</f>
        <v>0</v>
      </c>
      <c r="J177" s="10">
        <f>IFERROR(VLOOKUP($A177,ImportDataWA!$A$12:$BB$200,5,FALSE),0)</f>
        <v>2</v>
      </c>
      <c r="K177" s="11">
        <f>IFERROR(VLOOKUP($A177,ImportDataWA!$A$12:$BB$200,7,FALSE),0)</f>
        <v>7575.757575757576</v>
      </c>
      <c r="L177" s="10">
        <f>IFERROR(VLOOKUP($A177,ImportDataWA!$A$12:$BB$200,3,FALSE),0)</f>
        <v>1</v>
      </c>
      <c r="M177" s="10">
        <f>IFERROR(VLOOKUP($A177,ImportDataWA!$A$12:$BB$200,4,FALSE),0)</f>
        <v>0</v>
      </c>
    </row>
    <row r="178" spans="1:13" x14ac:dyDescent="0.25">
      <c r="A178" s="185" t="s">
        <v>440</v>
      </c>
      <c r="B178" s="86" t="s">
        <v>219</v>
      </c>
      <c r="C178" s="9" t="s">
        <v>471</v>
      </c>
      <c r="D178" s="9" t="s">
        <v>162</v>
      </c>
      <c r="E178" s="9" t="s">
        <v>278</v>
      </c>
      <c r="F178" s="10">
        <f>IFERROR(VLOOKUP($A178,ImportDataWA!$A$14:$BB$200,9,FALSE),0)</f>
        <v>36</v>
      </c>
      <c r="G178" s="11">
        <f>IFERROR(VLOOKUP($A178,ImportDataWA!$A$12:$BB$200,10,FALSE),0)</f>
        <v>139802.77065151514</v>
      </c>
      <c r="H178" s="11">
        <f>IFERROR(VLOOKUP($A178,ImportDataWA!$A$12:$BB$200,14,FALSE),0)</f>
        <v>0</v>
      </c>
      <c r="I178" s="11">
        <f>IFERROR(VLOOKUP($A178,ImportDataWA!$A$12:$BB$200,18,FALSE),0)</f>
        <v>2929.1729772727272</v>
      </c>
      <c r="J178" s="10">
        <f>IFERROR(VLOOKUP($A178,ImportDataWA!$A$12:$BB$200,5,FALSE),0)</f>
        <v>17</v>
      </c>
      <c r="K178" s="11">
        <f>IFERROR(VLOOKUP($A178,ImportDataWA!$A$12:$BB$200,7,FALSE),0)</f>
        <v>67727.272727272735</v>
      </c>
      <c r="L178" s="10">
        <f>IFERROR(VLOOKUP($A178,ImportDataWA!$A$12:$BB$200,3,FALSE),0)</f>
        <v>7</v>
      </c>
      <c r="M178" s="10">
        <f>IFERROR(VLOOKUP($A178,ImportDataWA!$A$12:$BB$200,4,FALSE),0)</f>
        <v>13</v>
      </c>
    </row>
    <row r="179" spans="1:13" x14ac:dyDescent="0.25">
      <c r="A179" s="185" t="s">
        <v>441</v>
      </c>
      <c r="B179" s="86" t="s">
        <v>219</v>
      </c>
      <c r="C179" s="9" t="s">
        <v>472</v>
      </c>
      <c r="D179" s="9" t="s">
        <v>162</v>
      </c>
      <c r="E179" s="9" t="s">
        <v>278</v>
      </c>
      <c r="F179" s="10">
        <f>IFERROR(VLOOKUP($A179,ImportDataWA!$A$14:$BB$200,9,FALSE),0)</f>
        <v>40</v>
      </c>
      <c r="G179" s="11">
        <f>IFERROR(VLOOKUP($A179,ImportDataWA!$A$12:$BB$200,10,FALSE),0)</f>
        <v>156013.16750757574</v>
      </c>
      <c r="H179" s="11">
        <f>IFERROR(VLOOKUP($A179,ImportDataWA!$A$12:$BB$200,14,FALSE),0)</f>
        <v>4401.4697348484851</v>
      </c>
      <c r="I179" s="11">
        <f>IFERROR(VLOOKUP($A179,ImportDataWA!$A$12:$BB$200,18,FALSE),0)</f>
        <v>2899.6318636363635</v>
      </c>
      <c r="J179" s="10">
        <f>IFERROR(VLOOKUP($A179,ImportDataWA!$A$12:$BB$200,5,FALSE),0)</f>
        <v>9</v>
      </c>
      <c r="K179" s="11">
        <f>IFERROR(VLOOKUP($A179,ImportDataWA!$A$12:$BB$200,7,FALSE),0)</f>
        <v>31818.18181818182</v>
      </c>
      <c r="L179" s="10">
        <f>IFERROR(VLOOKUP($A179,ImportDataWA!$A$12:$BB$200,3,FALSE),0)</f>
        <v>5</v>
      </c>
      <c r="M179" s="10">
        <f>IFERROR(VLOOKUP($A179,ImportDataWA!$A$12:$BB$200,4,FALSE),0)</f>
        <v>1</v>
      </c>
    </row>
    <row r="180" spans="1:13" x14ac:dyDescent="0.25">
      <c r="A180" s="185" t="s">
        <v>442</v>
      </c>
      <c r="B180" s="86" t="s">
        <v>219</v>
      </c>
      <c r="C180" s="9" t="s">
        <v>476</v>
      </c>
      <c r="D180" s="9" t="s">
        <v>160</v>
      </c>
      <c r="E180" s="9" t="s">
        <v>504</v>
      </c>
      <c r="F180" s="10">
        <f>IFERROR(VLOOKUP($A180,ImportDataWA!$A$14:$BB$200,9,FALSE),0)</f>
        <v>26</v>
      </c>
      <c r="G180" s="11">
        <f>IFERROR(VLOOKUP($A180,ImportDataWA!$A$12:$BB$200,10,FALSE),0)</f>
        <v>128127.21156818182</v>
      </c>
      <c r="H180" s="11">
        <f>IFERROR(VLOOKUP($A180,ImportDataWA!$A$12:$BB$200,14,FALSE),0)</f>
        <v>0</v>
      </c>
      <c r="I180" s="11">
        <f>IFERROR(VLOOKUP($A180,ImportDataWA!$A$12:$BB$200,18,FALSE),0)</f>
        <v>0</v>
      </c>
      <c r="J180" s="10">
        <f>IFERROR(VLOOKUP($A180,ImportDataWA!$A$12:$BB$200,5,FALSE),0)</f>
        <v>7</v>
      </c>
      <c r="K180" s="11">
        <f>IFERROR(VLOOKUP($A180,ImportDataWA!$A$12:$BB$200,7,FALSE),0)</f>
        <v>25000.000000000004</v>
      </c>
      <c r="L180" s="10">
        <f>IFERROR(VLOOKUP($A180,ImportDataWA!$A$12:$BB$200,3,FALSE),0)</f>
        <v>3</v>
      </c>
      <c r="M180" s="10">
        <f>IFERROR(VLOOKUP($A180,ImportDataWA!$A$12:$BB$200,4,FALSE),0)</f>
        <v>0</v>
      </c>
    </row>
    <row r="181" spans="1:13" x14ac:dyDescent="0.25">
      <c r="A181" s="211" t="s">
        <v>443</v>
      </c>
      <c r="B181" s="86" t="s">
        <v>219</v>
      </c>
      <c r="C181" s="9" t="s">
        <v>21</v>
      </c>
      <c r="D181" s="9" t="s">
        <v>164</v>
      </c>
      <c r="E181" s="9" t="s">
        <v>229</v>
      </c>
      <c r="F181" s="10">
        <f>IFERROR(VLOOKUP($A181,ImportDataWA!$A$14:$BB$200,9,FALSE),0)</f>
        <v>13</v>
      </c>
      <c r="G181" s="11">
        <f>IFERROR(VLOOKUP($A181,ImportDataWA!$A$12:$BB$200,10,FALSE),0)</f>
        <v>52626.290537878784</v>
      </c>
      <c r="H181" s="11">
        <f>IFERROR(VLOOKUP($A181,ImportDataWA!$A$12:$BB$200,14,FALSE),0)</f>
        <v>0</v>
      </c>
      <c r="I181" s="11">
        <f>IFERROR(VLOOKUP($A181,ImportDataWA!$A$12:$BB$200,18,FALSE),0)</f>
        <v>0</v>
      </c>
      <c r="J181" s="10">
        <f>IFERROR(VLOOKUP($A181,ImportDataWA!$A$12:$BB$200,5,FALSE),0)</f>
        <v>3</v>
      </c>
      <c r="K181" s="11">
        <f>IFERROR(VLOOKUP($A181,ImportDataWA!$A$12:$BB$200,7,FALSE),0)</f>
        <v>11363.636363636364</v>
      </c>
      <c r="L181" s="10">
        <f>IFERROR(VLOOKUP($A181,ImportDataWA!$A$12:$BB$200,3,FALSE),0)</f>
        <v>1</v>
      </c>
      <c r="M181" s="10">
        <f>IFERROR(VLOOKUP($A181,ImportDataWA!$A$12:$BB$200,4,FALSE),0)</f>
        <v>1</v>
      </c>
    </row>
    <row r="182" spans="1:13" x14ac:dyDescent="0.25">
      <c r="A182" s="211" t="s">
        <v>444</v>
      </c>
      <c r="B182" s="86" t="s">
        <v>219</v>
      </c>
      <c r="C182" s="9" t="s">
        <v>143</v>
      </c>
      <c r="D182" s="9" t="s">
        <v>164</v>
      </c>
      <c r="E182" s="9" t="s">
        <v>229</v>
      </c>
      <c r="F182" s="10">
        <f>IFERROR(VLOOKUP($A182,ImportDataWA!$A$14:$BB$200,9,FALSE),0)</f>
        <v>22</v>
      </c>
      <c r="G182" s="11">
        <f>IFERROR(VLOOKUP($A182,ImportDataWA!$A$12:$BB$200,10,FALSE),0)</f>
        <v>94221.270204545464</v>
      </c>
      <c r="H182" s="11">
        <f>IFERROR(VLOOKUP($A182,ImportDataWA!$A$12:$BB$200,14,FALSE),0)</f>
        <v>4545.454545454545</v>
      </c>
      <c r="I182" s="11">
        <f>IFERROR(VLOOKUP($A182,ImportDataWA!$A$12:$BB$200,18,FALSE),0)</f>
        <v>0</v>
      </c>
      <c r="J182" s="10">
        <f>IFERROR(VLOOKUP($A182,ImportDataWA!$A$12:$BB$200,5,FALSE),0)</f>
        <v>5</v>
      </c>
      <c r="K182" s="11">
        <f>IFERROR(VLOOKUP($A182,ImportDataWA!$A$12:$BB$200,7,FALSE),0)</f>
        <v>18181.81818181818</v>
      </c>
      <c r="L182" s="10">
        <f>IFERROR(VLOOKUP($A182,ImportDataWA!$A$12:$BB$200,3,FALSE),0)</f>
        <v>1</v>
      </c>
      <c r="M182" s="10">
        <f>IFERROR(VLOOKUP($A182,ImportDataWA!$A$12:$BB$200,4,FALSE),0)</f>
        <v>0</v>
      </c>
    </row>
    <row r="183" spans="1:13" x14ac:dyDescent="0.25">
      <c r="A183" s="270" t="s">
        <v>448</v>
      </c>
      <c r="B183" s="245" t="s">
        <v>278</v>
      </c>
      <c r="C183" s="189" t="s">
        <v>278</v>
      </c>
      <c r="D183" s="189" t="s">
        <v>157</v>
      </c>
      <c r="E183" s="189" t="s">
        <v>278</v>
      </c>
      <c r="F183" s="10">
        <f>IFERROR(VLOOKUP($A183,ImportDataWA!$A$14:$BB$200,9,FALSE),0)</f>
        <v>0</v>
      </c>
      <c r="G183" s="11">
        <f>IFERROR(VLOOKUP($A183,ImportDataWA!$A$12:$BB$200,10,FALSE),0)</f>
        <v>0</v>
      </c>
      <c r="H183" s="11">
        <f>IFERROR(VLOOKUP($A183,ImportDataWA!$A$12:$BB$200,14,FALSE),0)</f>
        <v>0</v>
      </c>
      <c r="I183" s="11">
        <f>IFERROR(VLOOKUP($A183,ImportDataWA!$A$12:$BB$200,18,FALSE),0)</f>
        <v>0</v>
      </c>
      <c r="J183" s="10">
        <f>IFERROR(VLOOKUP($A183,ImportDataWA!$A$12:$BB$200,5,FALSE),0)</f>
        <v>0</v>
      </c>
      <c r="K183" s="11">
        <f>IFERROR(VLOOKUP($A183,ImportDataWA!$A$12:$BB$200,7,FALSE),0)</f>
        <v>0</v>
      </c>
      <c r="L183" s="10">
        <f>IFERROR(VLOOKUP($A183,ImportDataWA!$A$12:$BB$200,3,FALSE),0)</f>
        <v>0</v>
      </c>
      <c r="M183" s="10">
        <f>IFERROR(VLOOKUP($A183,ImportDataWA!$A$12:$BB$200,4,FALSE),0)</f>
        <v>0</v>
      </c>
    </row>
    <row r="184" spans="1:13" x14ac:dyDescent="0.25">
      <c r="A184" s="9" t="s">
        <v>449</v>
      </c>
      <c r="B184" s="86" t="s">
        <v>219</v>
      </c>
      <c r="C184" s="9" t="s">
        <v>464</v>
      </c>
      <c r="D184" s="9" t="s">
        <v>157</v>
      </c>
      <c r="E184" s="9" t="s">
        <v>504</v>
      </c>
      <c r="F184" s="10">
        <f>IFERROR(VLOOKUP($A184,ImportDataWA!$A$14:$BB$200,9,FALSE),0)</f>
        <v>11</v>
      </c>
      <c r="G184" s="11">
        <f>IFERROR(VLOOKUP($A184,ImportDataWA!$A$12:$BB$200,10,FALSE),0)</f>
        <v>51966.342431818171</v>
      </c>
      <c r="H184" s="11">
        <f>IFERROR(VLOOKUP($A184,ImportDataWA!$A$12:$BB$200,14,FALSE),0)</f>
        <v>0</v>
      </c>
      <c r="I184" s="11">
        <f>IFERROR(VLOOKUP($A184,ImportDataWA!$A$12:$BB$200,18,FALSE),0)</f>
        <v>0</v>
      </c>
      <c r="J184" s="10">
        <f>IFERROR(VLOOKUP($A184,ImportDataWA!$A$12:$BB$200,5,FALSE),0)</f>
        <v>8</v>
      </c>
      <c r="K184" s="11">
        <f>IFERROR(VLOOKUP($A184,ImportDataWA!$A$12:$BB$200,7,FALSE),0)</f>
        <v>42424.242424242431</v>
      </c>
      <c r="L184" s="10">
        <f>IFERROR(VLOOKUP($A184,ImportDataWA!$A$12:$BB$200,3,FALSE),0)</f>
        <v>4</v>
      </c>
      <c r="M184" s="10">
        <f>IFERROR(VLOOKUP($A184,ImportDataWA!$A$12:$BB$200,4,FALSE),0)</f>
        <v>5</v>
      </c>
    </row>
    <row r="185" spans="1:13" x14ac:dyDescent="0.25">
      <c r="A185" s="269" t="s">
        <v>450</v>
      </c>
      <c r="B185" s="245" t="s">
        <v>278</v>
      </c>
      <c r="C185" s="189" t="s">
        <v>278</v>
      </c>
      <c r="D185" s="269" t="s">
        <v>237</v>
      </c>
      <c r="E185" s="189" t="s">
        <v>278</v>
      </c>
      <c r="F185" s="10">
        <f>IFERROR(VLOOKUP($A185,ImportDataWA!$A$14:$BB$200,9,FALSE),0)</f>
        <v>0</v>
      </c>
      <c r="G185" s="11">
        <f>IFERROR(VLOOKUP($A185,ImportDataWA!$A$12:$BB$200,10,FALSE),0)</f>
        <v>0</v>
      </c>
      <c r="H185" s="11">
        <f>IFERROR(VLOOKUP($A185,ImportDataWA!$A$12:$BB$200,14,FALSE),0)</f>
        <v>0</v>
      </c>
      <c r="I185" s="11">
        <f>IFERROR(VLOOKUP($A185,ImportDataWA!$A$12:$BB$200,18,FALSE),0)</f>
        <v>0</v>
      </c>
      <c r="J185" s="10">
        <f>IFERROR(VLOOKUP($A185,ImportDataWA!$A$12:$BB$200,5,FALSE),0)</f>
        <v>0</v>
      </c>
      <c r="K185" s="11">
        <f>IFERROR(VLOOKUP($A185,ImportDataWA!$A$12:$BB$200,7,FALSE),0)</f>
        <v>0</v>
      </c>
      <c r="L185" s="10">
        <f>IFERROR(VLOOKUP($A185,ImportDataWA!$A$12:$BB$200,3,FALSE),0)</f>
        <v>0</v>
      </c>
      <c r="M185" s="10">
        <f>IFERROR(VLOOKUP($A185,ImportDataWA!$A$12:$BB$200,4,FALSE),0)</f>
        <v>0</v>
      </c>
    </row>
    <row r="186" spans="1:13" x14ac:dyDescent="0.25">
      <c r="A186" s="211" t="s">
        <v>451</v>
      </c>
      <c r="B186" s="86" t="s">
        <v>219</v>
      </c>
      <c r="C186" s="9" t="s">
        <v>111</v>
      </c>
      <c r="D186" s="211" t="s">
        <v>237</v>
      </c>
      <c r="E186" s="9" t="s">
        <v>149</v>
      </c>
      <c r="F186" s="10">
        <f>IFERROR(VLOOKUP($A186,ImportDataWA!$A$14:$BB$200,9,FALSE),0)</f>
        <v>23</v>
      </c>
      <c r="G186" s="11">
        <f>IFERROR(VLOOKUP($A186,ImportDataWA!$A$12:$BB$200,10,FALSE),0)</f>
        <v>80252.528333333335</v>
      </c>
      <c r="H186" s="11">
        <f>IFERROR(VLOOKUP($A186,ImportDataWA!$A$12:$BB$200,14,FALSE),0)</f>
        <v>0</v>
      </c>
      <c r="I186" s="11">
        <f>IFERROR(VLOOKUP($A186,ImportDataWA!$A$12:$BB$200,18,FALSE),0)</f>
        <v>0</v>
      </c>
      <c r="J186" s="10">
        <f>IFERROR(VLOOKUP($A186,ImportDataWA!$A$12:$BB$200,5,FALSE),0)</f>
        <v>8</v>
      </c>
      <c r="K186" s="11">
        <f>IFERROR(VLOOKUP($A186,ImportDataWA!$A$12:$BB$200,7,FALSE),0)</f>
        <v>26515.151515151512</v>
      </c>
      <c r="L186" s="10">
        <f>IFERROR(VLOOKUP($A186,ImportDataWA!$A$12:$BB$200,3,FALSE),0)</f>
        <v>4</v>
      </c>
      <c r="M186" s="10">
        <f>IFERROR(VLOOKUP($A186,ImportDataWA!$A$12:$BB$200,4,FALSE),0)</f>
        <v>4</v>
      </c>
    </row>
    <row r="187" spans="1:13" x14ac:dyDescent="0.25">
      <c r="A187" s="211" t="s">
        <v>452</v>
      </c>
      <c r="B187" s="86" t="s">
        <v>219</v>
      </c>
      <c r="C187" s="9" t="s">
        <v>20</v>
      </c>
      <c r="D187" s="9" t="s">
        <v>156</v>
      </c>
      <c r="E187" s="9" t="s">
        <v>227</v>
      </c>
      <c r="F187" s="10">
        <f>IFERROR(VLOOKUP($A187,ImportDataWA!$A$14:$BB$200,9,FALSE),0)</f>
        <v>26</v>
      </c>
      <c r="G187" s="11">
        <f>IFERROR(VLOOKUP($A187,ImportDataWA!$A$12:$BB$200,10,FALSE),0)</f>
        <v>76587.000681818186</v>
      </c>
      <c r="H187" s="11">
        <f>IFERROR(VLOOKUP($A187,ImportDataWA!$A$12:$BB$200,14,FALSE),0)</f>
        <v>0</v>
      </c>
      <c r="I187" s="11">
        <f>IFERROR(VLOOKUP($A187,ImportDataWA!$A$12:$BB$200,18,FALSE),0)</f>
        <v>0</v>
      </c>
      <c r="J187" s="10">
        <f>IFERROR(VLOOKUP($A187,ImportDataWA!$A$12:$BB$200,5,FALSE),0)</f>
        <v>11</v>
      </c>
      <c r="K187" s="11">
        <f>IFERROR(VLOOKUP($A187,ImportDataWA!$A$12:$BB$200,7,FALSE),0)</f>
        <v>30303.030303030308</v>
      </c>
      <c r="L187" s="10">
        <f>IFERROR(VLOOKUP($A187,ImportDataWA!$A$12:$BB$200,3,FALSE),0)</f>
        <v>7</v>
      </c>
      <c r="M187" s="10">
        <f>IFERROR(VLOOKUP($A187,ImportDataWA!$A$12:$BB$200,4,FALSE),0)</f>
        <v>3</v>
      </c>
    </row>
    <row r="188" spans="1:13" x14ac:dyDescent="0.25">
      <c r="A188" s="298" t="s">
        <v>463</v>
      </c>
      <c r="B188" s="86" t="s">
        <v>219</v>
      </c>
      <c r="C188" s="9" t="s">
        <v>144</v>
      </c>
      <c r="D188" s="9" t="s">
        <v>156</v>
      </c>
      <c r="E188" s="9" t="s">
        <v>227</v>
      </c>
      <c r="F188" s="10">
        <f>IFERROR(VLOOKUP($A188,ImportDataWA!$A$14:$BB$200,9,FALSE),0)</f>
        <v>29</v>
      </c>
      <c r="G188" s="11">
        <f>IFERROR(VLOOKUP($A188,ImportDataWA!$A$12:$BB$200,10,FALSE),0)</f>
        <v>87481.069386363641</v>
      </c>
      <c r="H188" s="11">
        <f>IFERROR(VLOOKUP($A188,ImportDataWA!$A$12:$BB$200,14,FALSE),0)</f>
        <v>0</v>
      </c>
      <c r="I188" s="11">
        <f>IFERROR(VLOOKUP($A188,ImportDataWA!$A$12:$BB$200,18,FALSE),0)</f>
        <v>0</v>
      </c>
      <c r="J188" s="10">
        <f>IFERROR(VLOOKUP($A188,ImportDataWA!$A$12:$BB$200,5,FALSE),0)</f>
        <v>11</v>
      </c>
      <c r="K188" s="11">
        <f>IFERROR(VLOOKUP($A188,ImportDataWA!$A$12:$BB$200,7,FALSE),0)</f>
        <v>32954.545454545456</v>
      </c>
      <c r="L188" s="10">
        <f>IFERROR(VLOOKUP($A188,ImportDataWA!$A$12:$BB$200,3,FALSE),0)</f>
        <v>7</v>
      </c>
      <c r="M188" s="10">
        <f>IFERROR(VLOOKUP($A188,ImportDataWA!$A$12:$BB$200,4,FALSE),0)</f>
        <v>2</v>
      </c>
    </row>
  </sheetData>
  <autoFilter ref="A4:M188" xr:uid="{00000000-0009-0000-0000-000004000000}">
    <sortState xmlns:xlrd2="http://schemas.microsoft.com/office/spreadsheetml/2017/richdata2" ref="A5:M176">
      <sortCondition ref="D4:D176"/>
    </sortState>
  </autoFilter>
  <pageMargins left="0.7" right="0.7" top="0.75" bottom="0.75" header="0.3" footer="0.3"/>
  <pageSetup paperSize="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/>
    <pageSetUpPr autoPageBreaks="0"/>
  </sheetPr>
  <dimension ref="A1:AZ140"/>
  <sheetViews>
    <sheetView workbookViewId="0">
      <pane xSplit="1" ySplit="13" topLeftCell="B18" activePane="bottomRight" state="frozen"/>
      <selection pane="topRight" activeCell="B1" sqref="B1"/>
      <selection pane="bottomLeft" activeCell="A14" sqref="A14"/>
      <selection pane="bottomRight" activeCell="C14" sqref="C14"/>
    </sheetView>
  </sheetViews>
  <sheetFormatPr defaultColWidth="6.85546875" defaultRowHeight="12.75" customHeight="1" x14ac:dyDescent="0.25"/>
  <cols>
    <col min="1" max="1" width="40.7109375" style="39" bestFit="1" customWidth="1"/>
    <col min="2" max="2" width="12.28515625" style="39" bestFit="1" customWidth="1"/>
    <col min="3" max="3" width="25.5703125" style="39" bestFit="1" customWidth="1"/>
    <col min="4" max="4" width="18.7109375" style="39" bestFit="1" customWidth="1"/>
    <col min="5" max="5" width="11.28515625" style="39" bestFit="1" customWidth="1"/>
    <col min="6" max="6" width="13.140625" style="39" bestFit="1" customWidth="1"/>
    <col min="7" max="7" width="15.7109375" style="39" bestFit="1" customWidth="1"/>
    <col min="8" max="8" width="11.7109375" style="39" bestFit="1" customWidth="1"/>
    <col min="9" max="10" width="13.28515625" style="39" bestFit="1" customWidth="1"/>
    <col min="11" max="11" width="10.7109375" style="39" bestFit="1" customWidth="1"/>
    <col min="12" max="12" width="13.140625" style="39" bestFit="1" customWidth="1"/>
    <col min="13" max="13" width="14" style="39" bestFit="1" customWidth="1"/>
    <col min="14" max="14" width="16.28515625" style="39" bestFit="1" customWidth="1"/>
    <col min="15" max="15" width="12.7109375" style="39" bestFit="1" customWidth="1"/>
    <col min="16" max="16" width="9.5703125" style="39" bestFit="1" customWidth="1"/>
    <col min="17" max="17" width="14" style="39" bestFit="1" customWidth="1"/>
    <col min="18" max="18" width="16.28515625" style="39" bestFit="1" customWidth="1"/>
    <col min="19" max="19" width="12.7109375" style="39" bestFit="1" customWidth="1"/>
    <col min="20" max="20" width="9.28515625" style="39" bestFit="1" customWidth="1"/>
    <col min="21" max="21" width="13.140625" style="39" bestFit="1" customWidth="1"/>
    <col min="22" max="22" width="12" style="39" bestFit="1" customWidth="1"/>
    <col min="23" max="23" width="9.7109375" style="39" bestFit="1" customWidth="1"/>
    <col min="24" max="24" width="14.42578125" style="39" bestFit="1" customWidth="1"/>
    <col min="25" max="25" width="14" style="39" bestFit="1" customWidth="1"/>
    <col min="26" max="26" width="11.85546875" style="39" customWidth="1"/>
    <col min="27" max="27" width="12.28515625" style="39" bestFit="1" customWidth="1"/>
    <col min="28" max="28" width="11" style="39" bestFit="1" customWidth="1"/>
    <col min="29" max="29" width="10.28515625" style="39" customWidth="1"/>
    <col min="30" max="30" width="9.7109375" style="39" bestFit="1" customWidth="1"/>
    <col min="31" max="31" width="13.5703125" style="39" bestFit="1" customWidth="1"/>
    <col min="32" max="32" width="13.7109375" style="39" customWidth="1"/>
    <col min="33" max="33" width="11" style="39" bestFit="1" customWidth="1"/>
    <col min="34" max="256" width="6.85546875" style="39"/>
    <col min="257" max="257" width="31" style="39" bestFit="1" customWidth="1"/>
    <col min="258" max="258" width="19.85546875" style="39" bestFit="1" customWidth="1"/>
    <col min="259" max="259" width="34.7109375" style="39" bestFit="1" customWidth="1"/>
    <col min="260" max="260" width="20.140625" style="39" bestFit="1" customWidth="1"/>
    <col min="261" max="261" width="11.28515625" style="39" bestFit="1" customWidth="1"/>
    <col min="262" max="262" width="8.7109375" style="39" bestFit="1" customWidth="1"/>
    <col min="263" max="263" width="9.7109375" style="39" bestFit="1" customWidth="1"/>
    <col min="264" max="264" width="6.28515625" style="39" bestFit="1" customWidth="1"/>
    <col min="265" max="265" width="9.7109375" style="39" bestFit="1" customWidth="1"/>
    <col min="266" max="266" width="11.28515625" style="39" bestFit="1" customWidth="1"/>
    <col min="267" max="267" width="5.28515625" style="39" bestFit="1" customWidth="1"/>
    <col min="268" max="268" width="7.28515625" style="39" bestFit="1" customWidth="1"/>
    <col min="269" max="269" width="8.7109375" style="39" bestFit="1" customWidth="1"/>
    <col min="270" max="270" width="9.7109375" style="39" bestFit="1" customWidth="1"/>
    <col min="271" max="271" width="5.28515625" style="39" bestFit="1" customWidth="1"/>
    <col min="272" max="274" width="9.7109375" style="39" bestFit="1" customWidth="1"/>
    <col min="275" max="275" width="6.28515625" style="39" bestFit="1" customWidth="1"/>
    <col min="276" max="276" width="8.7109375" style="39" bestFit="1" customWidth="1"/>
    <col min="277" max="277" width="7.28515625" style="39" bestFit="1" customWidth="1"/>
    <col min="278" max="278" width="7.7109375" style="39" bestFit="1" customWidth="1"/>
    <col min="279" max="279" width="11.28515625" style="39" bestFit="1" customWidth="1"/>
    <col min="280" max="281" width="9.7109375" style="39" bestFit="1" customWidth="1"/>
    <col min="282" max="282" width="7.7109375" style="39" bestFit="1" customWidth="1"/>
    <col min="283" max="283" width="5.28515625" style="39" bestFit="1" customWidth="1"/>
    <col min="284" max="284" width="7.7109375" style="39" bestFit="1" customWidth="1"/>
    <col min="285" max="286" width="4.28515625" style="39" bestFit="1" customWidth="1"/>
    <col min="287" max="287" width="11.28515625" style="39" bestFit="1" customWidth="1"/>
    <col min="288" max="288" width="8.7109375" style="39" bestFit="1" customWidth="1"/>
    <col min="289" max="289" width="6.28515625" style="39" bestFit="1" customWidth="1"/>
    <col min="290" max="512" width="6.85546875" style="39"/>
    <col min="513" max="513" width="31" style="39" bestFit="1" customWidth="1"/>
    <col min="514" max="514" width="19.85546875" style="39" bestFit="1" customWidth="1"/>
    <col min="515" max="515" width="34.7109375" style="39" bestFit="1" customWidth="1"/>
    <col min="516" max="516" width="20.140625" style="39" bestFit="1" customWidth="1"/>
    <col min="517" max="517" width="11.28515625" style="39" bestFit="1" customWidth="1"/>
    <col min="518" max="518" width="8.7109375" style="39" bestFit="1" customWidth="1"/>
    <col min="519" max="519" width="9.7109375" style="39" bestFit="1" customWidth="1"/>
    <col min="520" max="520" width="6.28515625" style="39" bestFit="1" customWidth="1"/>
    <col min="521" max="521" width="9.7109375" style="39" bestFit="1" customWidth="1"/>
    <col min="522" max="522" width="11.28515625" style="39" bestFit="1" customWidth="1"/>
    <col min="523" max="523" width="5.28515625" style="39" bestFit="1" customWidth="1"/>
    <col min="524" max="524" width="7.28515625" style="39" bestFit="1" customWidth="1"/>
    <col min="525" max="525" width="8.7109375" style="39" bestFit="1" customWidth="1"/>
    <col min="526" max="526" width="9.7109375" style="39" bestFit="1" customWidth="1"/>
    <col min="527" max="527" width="5.28515625" style="39" bestFit="1" customWidth="1"/>
    <col min="528" max="530" width="9.7109375" style="39" bestFit="1" customWidth="1"/>
    <col min="531" max="531" width="6.28515625" style="39" bestFit="1" customWidth="1"/>
    <col min="532" max="532" width="8.7109375" style="39" bestFit="1" customWidth="1"/>
    <col min="533" max="533" width="7.28515625" style="39" bestFit="1" customWidth="1"/>
    <col min="534" max="534" width="7.7109375" style="39" bestFit="1" customWidth="1"/>
    <col min="535" max="535" width="11.28515625" style="39" bestFit="1" customWidth="1"/>
    <col min="536" max="537" width="9.7109375" style="39" bestFit="1" customWidth="1"/>
    <col min="538" max="538" width="7.7109375" style="39" bestFit="1" customWidth="1"/>
    <col min="539" max="539" width="5.28515625" style="39" bestFit="1" customWidth="1"/>
    <col min="540" max="540" width="7.7109375" style="39" bestFit="1" customWidth="1"/>
    <col min="541" max="542" width="4.28515625" style="39" bestFit="1" customWidth="1"/>
    <col min="543" max="543" width="11.28515625" style="39" bestFit="1" customWidth="1"/>
    <col min="544" max="544" width="8.7109375" style="39" bestFit="1" customWidth="1"/>
    <col min="545" max="545" width="6.28515625" style="39" bestFit="1" customWidth="1"/>
    <col min="546" max="768" width="6.85546875" style="39"/>
    <col min="769" max="769" width="31" style="39" bestFit="1" customWidth="1"/>
    <col min="770" max="770" width="19.85546875" style="39" bestFit="1" customWidth="1"/>
    <col min="771" max="771" width="34.7109375" style="39" bestFit="1" customWidth="1"/>
    <col min="772" max="772" width="20.140625" style="39" bestFit="1" customWidth="1"/>
    <col min="773" max="773" width="11.28515625" style="39" bestFit="1" customWidth="1"/>
    <col min="774" max="774" width="8.7109375" style="39" bestFit="1" customWidth="1"/>
    <col min="775" max="775" width="9.7109375" style="39" bestFit="1" customWidth="1"/>
    <col min="776" max="776" width="6.28515625" style="39" bestFit="1" customWidth="1"/>
    <col min="777" max="777" width="9.7109375" style="39" bestFit="1" customWidth="1"/>
    <col min="778" max="778" width="11.28515625" style="39" bestFit="1" customWidth="1"/>
    <col min="779" max="779" width="5.28515625" style="39" bestFit="1" customWidth="1"/>
    <col min="780" max="780" width="7.28515625" style="39" bestFit="1" customWidth="1"/>
    <col min="781" max="781" width="8.7109375" style="39" bestFit="1" customWidth="1"/>
    <col min="782" max="782" width="9.7109375" style="39" bestFit="1" customWidth="1"/>
    <col min="783" max="783" width="5.28515625" style="39" bestFit="1" customWidth="1"/>
    <col min="784" max="786" width="9.7109375" style="39" bestFit="1" customWidth="1"/>
    <col min="787" max="787" width="6.28515625" style="39" bestFit="1" customWidth="1"/>
    <col min="788" max="788" width="8.7109375" style="39" bestFit="1" customWidth="1"/>
    <col min="789" max="789" width="7.28515625" style="39" bestFit="1" customWidth="1"/>
    <col min="790" max="790" width="7.7109375" style="39" bestFit="1" customWidth="1"/>
    <col min="791" max="791" width="11.28515625" style="39" bestFit="1" customWidth="1"/>
    <col min="792" max="793" width="9.7109375" style="39" bestFit="1" customWidth="1"/>
    <col min="794" max="794" width="7.7109375" style="39" bestFit="1" customWidth="1"/>
    <col min="795" max="795" width="5.28515625" style="39" bestFit="1" customWidth="1"/>
    <col min="796" max="796" width="7.7109375" style="39" bestFit="1" customWidth="1"/>
    <col min="797" max="798" width="4.28515625" style="39" bestFit="1" customWidth="1"/>
    <col min="799" max="799" width="11.28515625" style="39" bestFit="1" customWidth="1"/>
    <col min="800" max="800" width="8.7109375" style="39" bestFit="1" customWidth="1"/>
    <col min="801" max="801" width="6.28515625" style="39" bestFit="1" customWidth="1"/>
    <col min="802" max="1024" width="6.85546875" style="39"/>
    <col min="1025" max="1025" width="31" style="39" bestFit="1" customWidth="1"/>
    <col min="1026" max="1026" width="19.85546875" style="39" bestFit="1" customWidth="1"/>
    <col min="1027" max="1027" width="34.7109375" style="39" bestFit="1" customWidth="1"/>
    <col min="1028" max="1028" width="20.140625" style="39" bestFit="1" customWidth="1"/>
    <col min="1029" max="1029" width="11.28515625" style="39" bestFit="1" customWidth="1"/>
    <col min="1030" max="1030" width="8.7109375" style="39" bestFit="1" customWidth="1"/>
    <col min="1031" max="1031" width="9.7109375" style="39" bestFit="1" customWidth="1"/>
    <col min="1032" max="1032" width="6.28515625" style="39" bestFit="1" customWidth="1"/>
    <col min="1033" max="1033" width="9.7109375" style="39" bestFit="1" customWidth="1"/>
    <col min="1034" max="1034" width="11.28515625" style="39" bestFit="1" customWidth="1"/>
    <col min="1035" max="1035" width="5.28515625" style="39" bestFit="1" customWidth="1"/>
    <col min="1036" max="1036" width="7.28515625" style="39" bestFit="1" customWidth="1"/>
    <col min="1037" max="1037" width="8.7109375" style="39" bestFit="1" customWidth="1"/>
    <col min="1038" max="1038" width="9.7109375" style="39" bestFit="1" customWidth="1"/>
    <col min="1039" max="1039" width="5.28515625" style="39" bestFit="1" customWidth="1"/>
    <col min="1040" max="1042" width="9.7109375" style="39" bestFit="1" customWidth="1"/>
    <col min="1043" max="1043" width="6.28515625" style="39" bestFit="1" customWidth="1"/>
    <col min="1044" max="1044" width="8.7109375" style="39" bestFit="1" customWidth="1"/>
    <col min="1045" max="1045" width="7.28515625" style="39" bestFit="1" customWidth="1"/>
    <col min="1046" max="1046" width="7.7109375" style="39" bestFit="1" customWidth="1"/>
    <col min="1047" max="1047" width="11.28515625" style="39" bestFit="1" customWidth="1"/>
    <col min="1048" max="1049" width="9.7109375" style="39" bestFit="1" customWidth="1"/>
    <col min="1050" max="1050" width="7.7109375" style="39" bestFit="1" customWidth="1"/>
    <col min="1051" max="1051" width="5.28515625" style="39" bestFit="1" customWidth="1"/>
    <col min="1052" max="1052" width="7.7109375" style="39" bestFit="1" customWidth="1"/>
    <col min="1053" max="1054" width="4.28515625" style="39" bestFit="1" customWidth="1"/>
    <col min="1055" max="1055" width="11.28515625" style="39" bestFit="1" customWidth="1"/>
    <col min="1056" max="1056" width="8.7109375" style="39" bestFit="1" customWidth="1"/>
    <col min="1057" max="1057" width="6.28515625" style="39" bestFit="1" customWidth="1"/>
    <col min="1058" max="1280" width="6.85546875" style="39"/>
    <col min="1281" max="1281" width="31" style="39" bestFit="1" customWidth="1"/>
    <col min="1282" max="1282" width="19.85546875" style="39" bestFit="1" customWidth="1"/>
    <col min="1283" max="1283" width="34.7109375" style="39" bestFit="1" customWidth="1"/>
    <col min="1284" max="1284" width="20.140625" style="39" bestFit="1" customWidth="1"/>
    <col min="1285" max="1285" width="11.28515625" style="39" bestFit="1" customWidth="1"/>
    <col min="1286" max="1286" width="8.7109375" style="39" bestFit="1" customWidth="1"/>
    <col min="1287" max="1287" width="9.7109375" style="39" bestFit="1" customWidth="1"/>
    <col min="1288" max="1288" width="6.28515625" style="39" bestFit="1" customWidth="1"/>
    <col min="1289" max="1289" width="9.7109375" style="39" bestFit="1" customWidth="1"/>
    <col min="1290" max="1290" width="11.28515625" style="39" bestFit="1" customWidth="1"/>
    <col min="1291" max="1291" width="5.28515625" style="39" bestFit="1" customWidth="1"/>
    <col min="1292" max="1292" width="7.28515625" style="39" bestFit="1" customWidth="1"/>
    <col min="1293" max="1293" width="8.7109375" style="39" bestFit="1" customWidth="1"/>
    <col min="1294" max="1294" width="9.7109375" style="39" bestFit="1" customWidth="1"/>
    <col min="1295" max="1295" width="5.28515625" style="39" bestFit="1" customWidth="1"/>
    <col min="1296" max="1298" width="9.7109375" style="39" bestFit="1" customWidth="1"/>
    <col min="1299" max="1299" width="6.28515625" style="39" bestFit="1" customWidth="1"/>
    <col min="1300" max="1300" width="8.7109375" style="39" bestFit="1" customWidth="1"/>
    <col min="1301" max="1301" width="7.28515625" style="39" bestFit="1" customWidth="1"/>
    <col min="1302" max="1302" width="7.7109375" style="39" bestFit="1" customWidth="1"/>
    <col min="1303" max="1303" width="11.28515625" style="39" bestFit="1" customWidth="1"/>
    <col min="1304" max="1305" width="9.7109375" style="39" bestFit="1" customWidth="1"/>
    <col min="1306" max="1306" width="7.7109375" style="39" bestFit="1" customWidth="1"/>
    <col min="1307" max="1307" width="5.28515625" style="39" bestFit="1" customWidth="1"/>
    <col min="1308" max="1308" width="7.7109375" style="39" bestFit="1" customWidth="1"/>
    <col min="1309" max="1310" width="4.28515625" style="39" bestFit="1" customWidth="1"/>
    <col min="1311" max="1311" width="11.28515625" style="39" bestFit="1" customWidth="1"/>
    <col min="1312" max="1312" width="8.7109375" style="39" bestFit="1" customWidth="1"/>
    <col min="1313" max="1313" width="6.28515625" style="39" bestFit="1" customWidth="1"/>
    <col min="1314" max="1536" width="6.85546875" style="39"/>
    <col min="1537" max="1537" width="31" style="39" bestFit="1" customWidth="1"/>
    <col min="1538" max="1538" width="19.85546875" style="39" bestFit="1" customWidth="1"/>
    <col min="1539" max="1539" width="34.7109375" style="39" bestFit="1" customWidth="1"/>
    <col min="1540" max="1540" width="20.140625" style="39" bestFit="1" customWidth="1"/>
    <col min="1541" max="1541" width="11.28515625" style="39" bestFit="1" customWidth="1"/>
    <col min="1542" max="1542" width="8.7109375" style="39" bestFit="1" customWidth="1"/>
    <col min="1543" max="1543" width="9.7109375" style="39" bestFit="1" customWidth="1"/>
    <col min="1544" max="1544" width="6.28515625" style="39" bestFit="1" customWidth="1"/>
    <col min="1545" max="1545" width="9.7109375" style="39" bestFit="1" customWidth="1"/>
    <col min="1546" max="1546" width="11.28515625" style="39" bestFit="1" customWidth="1"/>
    <col min="1547" max="1547" width="5.28515625" style="39" bestFit="1" customWidth="1"/>
    <col min="1548" max="1548" width="7.28515625" style="39" bestFit="1" customWidth="1"/>
    <col min="1549" max="1549" width="8.7109375" style="39" bestFit="1" customWidth="1"/>
    <col min="1550" max="1550" width="9.7109375" style="39" bestFit="1" customWidth="1"/>
    <col min="1551" max="1551" width="5.28515625" style="39" bestFit="1" customWidth="1"/>
    <col min="1552" max="1554" width="9.7109375" style="39" bestFit="1" customWidth="1"/>
    <col min="1555" max="1555" width="6.28515625" style="39" bestFit="1" customWidth="1"/>
    <col min="1556" max="1556" width="8.7109375" style="39" bestFit="1" customWidth="1"/>
    <col min="1557" max="1557" width="7.28515625" style="39" bestFit="1" customWidth="1"/>
    <col min="1558" max="1558" width="7.7109375" style="39" bestFit="1" customWidth="1"/>
    <col min="1559" max="1559" width="11.28515625" style="39" bestFit="1" customWidth="1"/>
    <col min="1560" max="1561" width="9.7109375" style="39" bestFit="1" customWidth="1"/>
    <col min="1562" max="1562" width="7.7109375" style="39" bestFit="1" customWidth="1"/>
    <col min="1563" max="1563" width="5.28515625" style="39" bestFit="1" customWidth="1"/>
    <col min="1564" max="1564" width="7.7109375" style="39" bestFit="1" customWidth="1"/>
    <col min="1565" max="1566" width="4.28515625" style="39" bestFit="1" customWidth="1"/>
    <col min="1567" max="1567" width="11.28515625" style="39" bestFit="1" customWidth="1"/>
    <col min="1568" max="1568" width="8.7109375" style="39" bestFit="1" customWidth="1"/>
    <col min="1569" max="1569" width="6.28515625" style="39" bestFit="1" customWidth="1"/>
    <col min="1570" max="1792" width="6.85546875" style="39"/>
    <col min="1793" max="1793" width="31" style="39" bestFit="1" customWidth="1"/>
    <col min="1794" max="1794" width="19.85546875" style="39" bestFit="1" customWidth="1"/>
    <col min="1795" max="1795" width="34.7109375" style="39" bestFit="1" customWidth="1"/>
    <col min="1796" max="1796" width="20.140625" style="39" bestFit="1" customWidth="1"/>
    <col min="1797" max="1797" width="11.28515625" style="39" bestFit="1" customWidth="1"/>
    <col min="1798" max="1798" width="8.7109375" style="39" bestFit="1" customWidth="1"/>
    <col min="1799" max="1799" width="9.7109375" style="39" bestFit="1" customWidth="1"/>
    <col min="1800" max="1800" width="6.28515625" style="39" bestFit="1" customWidth="1"/>
    <col min="1801" max="1801" width="9.7109375" style="39" bestFit="1" customWidth="1"/>
    <col min="1802" max="1802" width="11.28515625" style="39" bestFit="1" customWidth="1"/>
    <col min="1803" max="1803" width="5.28515625" style="39" bestFit="1" customWidth="1"/>
    <col min="1804" max="1804" width="7.28515625" style="39" bestFit="1" customWidth="1"/>
    <col min="1805" max="1805" width="8.7109375" style="39" bestFit="1" customWidth="1"/>
    <col min="1806" max="1806" width="9.7109375" style="39" bestFit="1" customWidth="1"/>
    <col min="1807" max="1807" width="5.28515625" style="39" bestFit="1" customWidth="1"/>
    <col min="1808" max="1810" width="9.7109375" style="39" bestFit="1" customWidth="1"/>
    <col min="1811" max="1811" width="6.28515625" style="39" bestFit="1" customWidth="1"/>
    <col min="1812" max="1812" width="8.7109375" style="39" bestFit="1" customWidth="1"/>
    <col min="1813" max="1813" width="7.28515625" style="39" bestFit="1" customWidth="1"/>
    <col min="1814" max="1814" width="7.7109375" style="39" bestFit="1" customWidth="1"/>
    <col min="1815" max="1815" width="11.28515625" style="39" bestFit="1" customWidth="1"/>
    <col min="1816" max="1817" width="9.7109375" style="39" bestFit="1" customWidth="1"/>
    <col min="1818" max="1818" width="7.7109375" style="39" bestFit="1" customWidth="1"/>
    <col min="1819" max="1819" width="5.28515625" style="39" bestFit="1" customWidth="1"/>
    <col min="1820" max="1820" width="7.7109375" style="39" bestFit="1" customWidth="1"/>
    <col min="1821" max="1822" width="4.28515625" style="39" bestFit="1" customWidth="1"/>
    <col min="1823" max="1823" width="11.28515625" style="39" bestFit="1" customWidth="1"/>
    <col min="1824" max="1824" width="8.7109375" style="39" bestFit="1" customWidth="1"/>
    <col min="1825" max="1825" width="6.28515625" style="39" bestFit="1" customWidth="1"/>
    <col min="1826" max="2048" width="6.85546875" style="39"/>
    <col min="2049" max="2049" width="31" style="39" bestFit="1" customWidth="1"/>
    <col min="2050" max="2050" width="19.85546875" style="39" bestFit="1" customWidth="1"/>
    <col min="2051" max="2051" width="34.7109375" style="39" bestFit="1" customWidth="1"/>
    <col min="2052" max="2052" width="20.140625" style="39" bestFit="1" customWidth="1"/>
    <col min="2053" max="2053" width="11.28515625" style="39" bestFit="1" customWidth="1"/>
    <col min="2054" max="2054" width="8.7109375" style="39" bestFit="1" customWidth="1"/>
    <col min="2055" max="2055" width="9.7109375" style="39" bestFit="1" customWidth="1"/>
    <col min="2056" max="2056" width="6.28515625" style="39" bestFit="1" customWidth="1"/>
    <col min="2057" max="2057" width="9.7109375" style="39" bestFit="1" customWidth="1"/>
    <col min="2058" max="2058" width="11.28515625" style="39" bestFit="1" customWidth="1"/>
    <col min="2059" max="2059" width="5.28515625" style="39" bestFit="1" customWidth="1"/>
    <col min="2060" max="2060" width="7.28515625" style="39" bestFit="1" customWidth="1"/>
    <col min="2061" max="2061" width="8.7109375" style="39" bestFit="1" customWidth="1"/>
    <col min="2062" max="2062" width="9.7109375" style="39" bestFit="1" customWidth="1"/>
    <col min="2063" max="2063" width="5.28515625" style="39" bestFit="1" customWidth="1"/>
    <col min="2064" max="2066" width="9.7109375" style="39" bestFit="1" customWidth="1"/>
    <col min="2067" max="2067" width="6.28515625" style="39" bestFit="1" customWidth="1"/>
    <col min="2068" max="2068" width="8.7109375" style="39" bestFit="1" customWidth="1"/>
    <col min="2069" max="2069" width="7.28515625" style="39" bestFit="1" customWidth="1"/>
    <col min="2070" max="2070" width="7.7109375" style="39" bestFit="1" customWidth="1"/>
    <col min="2071" max="2071" width="11.28515625" style="39" bestFit="1" customWidth="1"/>
    <col min="2072" max="2073" width="9.7109375" style="39" bestFit="1" customWidth="1"/>
    <col min="2074" max="2074" width="7.7109375" style="39" bestFit="1" customWidth="1"/>
    <col min="2075" max="2075" width="5.28515625" style="39" bestFit="1" customWidth="1"/>
    <col min="2076" max="2076" width="7.7109375" style="39" bestFit="1" customWidth="1"/>
    <col min="2077" max="2078" width="4.28515625" style="39" bestFit="1" customWidth="1"/>
    <col min="2079" max="2079" width="11.28515625" style="39" bestFit="1" customWidth="1"/>
    <col min="2080" max="2080" width="8.7109375" style="39" bestFit="1" customWidth="1"/>
    <col min="2081" max="2081" width="6.28515625" style="39" bestFit="1" customWidth="1"/>
    <col min="2082" max="2304" width="6.85546875" style="39"/>
    <col min="2305" max="2305" width="31" style="39" bestFit="1" customWidth="1"/>
    <col min="2306" max="2306" width="19.85546875" style="39" bestFit="1" customWidth="1"/>
    <col min="2307" max="2307" width="34.7109375" style="39" bestFit="1" customWidth="1"/>
    <col min="2308" max="2308" width="20.140625" style="39" bestFit="1" customWidth="1"/>
    <col min="2309" max="2309" width="11.28515625" style="39" bestFit="1" customWidth="1"/>
    <col min="2310" max="2310" width="8.7109375" style="39" bestFit="1" customWidth="1"/>
    <col min="2311" max="2311" width="9.7109375" style="39" bestFit="1" customWidth="1"/>
    <col min="2312" max="2312" width="6.28515625" style="39" bestFit="1" customWidth="1"/>
    <col min="2313" max="2313" width="9.7109375" style="39" bestFit="1" customWidth="1"/>
    <col min="2314" max="2314" width="11.28515625" style="39" bestFit="1" customWidth="1"/>
    <col min="2315" max="2315" width="5.28515625" style="39" bestFit="1" customWidth="1"/>
    <col min="2316" max="2316" width="7.28515625" style="39" bestFit="1" customWidth="1"/>
    <col min="2317" max="2317" width="8.7109375" style="39" bestFit="1" customWidth="1"/>
    <col min="2318" max="2318" width="9.7109375" style="39" bestFit="1" customWidth="1"/>
    <col min="2319" max="2319" width="5.28515625" style="39" bestFit="1" customWidth="1"/>
    <col min="2320" max="2322" width="9.7109375" style="39" bestFit="1" customWidth="1"/>
    <col min="2323" max="2323" width="6.28515625" style="39" bestFit="1" customWidth="1"/>
    <col min="2324" max="2324" width="8.7109375" style="39" bestFit="1" customWidth="1"/>
    <col min="2325" max="2325" width="7.28515625" style="39" bestFit="1" customWidth="1"/>
    <col min="2326" max="2326" width="7.7109375" style="39" bestFit="1" customWidth="1"/>
    <col min="2327" max="2327" width="11.28515625" style="39" bestFit="1" customWidth="1"/>
    <col min="2328" max="2329" width="9.7109375" style="39" bestFit="1" customWidth="1"/>
    <col min="2330" max="2330" width="7.7109375" style="39" bestFit="1" customWidth="1"/>
    <col min="2331" max="2331" width="5.28515625" style="39" bestFit="1" customWidth="1"/>
    <col min="2332" max="2332" width="7.7109375" style="39" bestFit="1" customWidth="1"/>
    <col min="2333" max="2334" width="4.28515625" style="39" bestFit="1" customWidth="1"/>
    <col min="2335" max="2335" width="11.28515625" style="39" bestFit="1" customWidth="1"/>
    <col min="2336" max="2336" width="8.7109375" style="39" bestFit="1" customWidth="1"/>
    <col min="2337" max="2337" width="6.28515625" style="39" bestFit="1" customWidth="1"/>
    <col min="2338" max="2560" width="6.85546875" style="39"/>
    <col min="2561" max="2561" width="31" style="39" bestFit="1" customWidth="1"/>
    <col min="2562" max="2562" width="19.85546875" style="39" bestFit="1" customWidth="1"/>
    <col min="2563" max="2563" width="34.7109375" style="39" bestFit="1" customWidth="1"/>
    <col min="2564" max="2564" width="20.140625" style="39" bestFit="1" customWidth="1"/>
    <col min="2565" max="2565" width="11.28515625" style="39" bestFit="1" customWidth="1"/>
    <col min="2566" max="2566" width="8.7109375" style="39" bestFit="1" customWidth="1"/>
    <col min="2567" max="2567" width="9.7109375" style="39" bestFit="1" customWidth="1"/>
    <col min="2568" max="2568" width="6.28515625" style="39" bestFit="1" customWidth="1"/>
    <col min="2569" max="2569" width="9.7109375" style="39" bestFit="1" customWidth="1"/>
    <col min="2570" max="2570" width="11.28515625" style="39" bestFit="1" customWidth="1"/>
    <col min="2571" max="2571" width="5.28515625" style="39" bestFit="1" customWidth="1"/>
    <col min="2572" max="2572" width="7.28515625" style="39" bestFit="1" customWidth="1"/>
    <col min="2573" max="2573" width="8.7109375" style="39" bestFit="1" customWidth="1"/>
    <col min="2574" max="2574" width="9.7109375" style="39" bestFit="1" customWidth="1"/>
    <col min="2575" max="2575" width="5.28515625" style="39" bestFit="1" customWidth="1"/>
    <col min="2576" max="2578" width="9.7109375" style="39" bestFit="1" customWidth="1"/>
    <col min="2579" max="2579" width="6.28515625" style="39" bestFit="1" customWidth="1"/>
    <col min="2580" max="2580" width="8.7109375" style="39" bestFit="1" customWidth="1"/>
    <col min="2581" max="2581" width="7.28515625" style="39" bestFit="1" customWidth="1"/>
    <col min="2582" max="2582" width="7.7109375" style="39" bestFit="1" customWidth="1"/>
    <col min="2583" max="2583" width="11.28515625" style="39" bestFit="1" customWidth="1"/>
    <col min="2584" max="2585" width="9.7109375" style="39" bestFit="1" customWidth="1"/>
    <col min="2586" max="2586" width="7.7109375" style="39" bestFit="1" customWidth="1"/>
    <col min="2587" max="2587" width="5.28515625" style="39" bestFit="1" customWidth="1"/>
    <col min="2588" max="2588" width="7.7109375" style="39" bestFit="1" customWidth="1"/>
    <col min="2589" max="2590" width="4.28515625" style="39" bestFit="1" customWidth="1"/>
    <col min="2591" max="2591" width="11.28515625" style="39" bestFit="1" customWidth="1"/>
    <col min="2592" max="2592" width="8.7109375" style="39" bestFit="1" customWidth="1"/>
    <col min="2593" max="2593" width="6.28515625" style="39" bestFit="1" customWidth="1"/>
    <col min="2594" max="2816" width="6.85546875" style="39"/>
    <col min="2817" max="2817" width="31" style="39" bestFit="1" customWidth="1"/>
    <col min="2818" max="2818" width="19.85546875" style="39" bestFit="1" customWidth="1"/>
    <col min="2819" max="2819" width="34.7109375" style="39" bestFit="1" customWidth="1"/>
    <col min="2820" max="2820" width="20.140625" style="39" bestFit="1" customWidth="1"/>
    <col min="2821" max="2821" width="11.28515625" style="39" bestFit="1" customWidth="1"/>
    <col min="2822" max="2822" width="8.7109375" style="39" bestFit="1" customWidth="1"/>
    <col min="2823" max="2823" width="9.7109375" style="39" bestFit="1" customWidth="1"/>
    <col min="2824" max="2824" width="6.28515625" style="39" bestFit="1" customWidth="1"/>
    <col min="2825" max="2825" width="9.7109375" style="39" bestFit="1" customWidth="1"/>
    <col min="2826" max="2826" width="11.28515625" style="39" bestFit="1" customWidth="1"/>
    <col min="2827" max="2827" width="5.28515625" style="39" bestFit="1" customWidth="1"/>
    <col min="2828" max="2828" width="7.28515625" style="39" bestFit="1" customWidth="1"/>
    <col min="2829" max="2829" width="8.7109375" style="39" bestFit="1" customWidth="1"/>
    <col min="2830" max="2830" width="9.7109375" style="39" bestFit="1" customWidth="1"/>
    <col min="2831" max="2831" width="5.28515625" style="39" bestFit="1" customWidth="1"/>
    <col min="2832" max="2834" width="9.7109375" style="39" bestFit="1" customWidth="1"/>
    <col min="2835" max="2835" width="6.28515625" style="39" bestFit="1" customWidth="1"/>
    <col min="2836" max="2836" width="8.7109375" style="39" bestFit="1" customWidth="1"/>
    <col min="2837" max="2837" width="7.28515625" style="39" bestFit="1" customWidth="1"/>
    <col min="2838" max="2838" width="7.7109375" style="39" bestFit="1" customWidth="1"/>
    <col min="2839" max="2839" width="11.28515625" style="39" bestFit="1" customWidth="1"/>
    <col min="2840" max="2841" width="9.7109375" style="39" bestFit="1" customWidth="1"/>
    <col min="2842" max="2842" width="7.7109375" style="39" bestFit="1" customWidth="1"/>
    <col min="2843" max="2843" width="5.28515625" style="39" bestFit="1" customWidth="1"/>
    <col min="2844" max="2844" width="7.7109375" style="39" bestFit="1" customWidth="1"/>
    <col min="2845" max="2846" width="4.28515625" style="39" bestFit="1" customWidth="1"/>
    <col min="2847" max="2847" width="11.28515625" style="39" bestFit="1" customWidth="1"/>
    <col min="2848" max="2848" width="8.7109375" style="39" bestFit="1" customWidth="1"/>
    <col min="2849" max="2849" width="6.28515625" style="39" bestFit="1" customWidth="1"/>
    <col min="2850" max="3072" width="6.85546875" style="39"/>
    <col min="3073" max="3073" width="31" style="39" bestFit="1" customWidth="1"/>
    <col min="3074" max="3074" width="19.85546875" style="39" bestFit="1" customWidth="1"/>
    <col min="3075" max="3075" width="34.7109375" style="39" bestFit="1" customWidth="1"/>
    <col min="3076" max="3076" width="20.140625" style="39" bestFit="1" customWidth="1"/>
    <col min="3077" max="3077" width="11.28515625" style="39" bestFit="1" customWidth="1"/>
    <col min="3078" max="3078" width="8.7109375" style="39" bestFit="1" customWidth="1"/>
    <col min="3079" max="3079" width="9.7109375" style="39" bestFit="1" customWidth="1"/>
    <col min="3080" max="3080" width="6.28515625" style="39" bestFit="1" customWidth="1"/>
    <col min="3081" max="3081" width="9.7109375" style="39" bestFit="1" customWidth="1"/>
    <col min="3082" max="3082" width="11.28515625" style="39" bestFit="1" customWidth="1"/>
    <col min="3083" max="3083" width="5.28515625" style="39" bestFit="1" customWidth="1"/>
    <col min="3084" max="3084" width="7.28515625" style="39" bestFit="1" customWidth="1"/>
    <col min="3085" max="3085" width="8.7109375" style="39" bestFit="1" customWidth="1"/>
    <col min="3086" max="3086" width="9.7109375" style="39" bestFit="1" customWidth="1"/>
    <col min="3087" max="3087" width="5.28515625" style="39" bestFit="1" customWidth="1"/>
    <col min="3088" max="3090" width="9.7109375" style="39" bestFit="1" customWidth="1"/>
    <col min="3091" max="3091" width="6.28515625" style="39" bestFit="1" customWidth="1"/>
    <col min="3092" max="3092" width="8.7109375" style="39" bestFit="1" customWidth="1"/>
    <col min="3093" max="3093" width="7.28515625" style="39" bestFit="1" customWidth="1"/>
    <col min="3094" max="3094" width="7.7109375" style="39" bestFit="1" customWidth="1"/>
    <col min="3095" max="3095" width="11.28515625" style="39" bestFit="1" customWidth="1"/>
    <col min="3096" max="3097" width="9.7109375" style="39" bestFit="1" customWidth="1"/>
    <col min="3098" max="3098" width="7.7109375" style="39" bestFit="1" customWidth="1"/>
    <col min="3099" max="3099" width="5.28515625" style="39" bestFit="1" customWidth="1"/>
    <col min="3100" max="3100" width="7.7109375" style="39" bestFit="1" customWidth="1"/>
    <col min="3101" max="3102" width="4.28515625" style="39" bestFit="1" customWidth="1"/>
    <col min="3103" max="3103" width="11.28515625" style="39" bestFit="1" customWidth="1"/>
    <col min="3104" max="3104" width="8.7109375" style="39" bestFit="1" customWidth="1"/>
    <col min="3105" max="3105" width="6.28515625" style="39" bestFit="1" customWidth="1"/>
    <col min="3106" max="3328" width="6.85546875" style="39"/>
    <col min="3329" max="3329" width="31" style="39" bestFit="1" customWidth="1"/>
    <col min="3330" max="3330" width="19.85546875" style="39" bestFit="1" customWidth="1"/>
    <col min="3331" max="3331" width="34.7109375" style="39" bestFit="1" customWidth="1"/>
    <col min="3332" max="3332" width="20.140625" style="39" bestFit="1" customWidth="1"/>
    <col min="3333" max="3333" width="11.28515625" style="39" bestFit="1" customWidth="1"/>
    <col min="3334" max="3334" width="8.7109375" style="39" bestFit="1" customWidth="1"/>
    <col min="3335" max="3335" width="9.7109375" style="39" bestFit="1" customWidth="1"/>
    <col min="3336" max="3336" width="6.28515625" style="39" bestFit="1" customWidth="1"/>
    <col min="3337" max="3337" width="9.7109375" style="39" bestFit="1" customWidth="1"/>
    <col min="3338" max="3338" width="11.28515625" style="39" bestFit="1" customWidth="1"/>
    <col min="3339" max="3339" width="5.28515625" style="39" bestFit="1" customWidth="1"/>
    <col min="3340" max="3340" width="7.28515625" style="39" bestFit="1" customWidth="1"/>
    <col min="3341" max="3341" width="8.7109375" style="39" bestFit="1" customWidth="1"/>
    <col min="3342" max="3342" width="9.7109375" style="39" bestFit="1" customWidth="1"/>
    <col min="3343" max="3343" width="5.28515625" style="39" bestFit="1" customWidth="1"/>
    <col min="3344" max="3346" width="9.7109375" style="39" bestFit="1" customWidth="1"/>
    <col min="3347" max="3347" width="6.28515625" style="39" bestFit="1" customWidth="1"/>
    <col min="3348" max="3348" width="8.7109375" style="39" bestFit="1" customWidth="1"/>
    <col min="3349" max="3349" width="7.28515625" style="39" bestFit="1" customWidth="1"/>
    <col min="3350" max="3350" width="7.7109375" style="39" bestFit="1" customWidth="1"/>
    <col min="3351" max="3351" width="11.28515625" style="39" bestFit="1" customWidth="1"/>
    <col min="3352" max="3353" width="9.7109375" style="39" bestFit="1" customWidth="1"/>
    <col min="3354" max="3354" width="7.7109375" style="39" bestFit="1" customWidth="1"/>
    <col min="3355" max="3355" width="5.28515625" style="39" bestFit="1" customWidth="1"/>
    <col min="3356" max="3356" width="7.7109375" style="39" bestFit="1" customWidth="1"/>
    <col min="3357" max="3358" width="4.28515625" style="39" bestFit="1" customWidth="1"/>
    <col min="3359" max="3359" width="11.28515625" style="39" bestFit="1" customWidth="1"/>
    <col min="3360" max="3360" width="8.7109375" style="39" bestFit="1" customWidth="1"/>
    <col min="3361" max="3361" width="6.28515625" style="39" bestFit="1" customWidth="1"/>
    <col min="3362" max="3584" width="6.85546875" style="39"/>
    <col min="3585" max="3585" width="31" style="39" bestFit="1" customWidth="1"/>
    <col min="3586" max="3586" width="19.85546875" style="39" bestFit="1" customWidth="1"/>
    <col min="3587" max="3587" width="34.7109375" style="39" bestFit="1" customWidth="1"/>
    <col min="3588" max="3588" width="20.140625" style="39" bestFit="1" customWidth="1"/>
    <col min="3589" max="3589" width="11.28515625" style="39" bestFit="1" customWidth="1"/>
    <col min="3590" max="3590" width="8.7109375" style="39" bestFit="1" customWidth="1"/>
    <col min="3591" max="3591" width="9.7109375" style="39" bestFit="1" customWidth="1"/>
    <col min="3592" max="3592" width="6.28515625" style="39" bestFit="1" customWidth="1"/>
    <col min="3593" max="3593" width="9.7109375" style="39" bestFit="1" customWidth="1"/>
    <col min="3594" max="3594" width="11.28515625" style="39" bestFit="1" customWidth="1"/>
    <col min="3595" max="3595" width="5.28515625" style="39" bestFit="1" customWidth="1"/>
    <col min="3596" max="3596" width="7.28515625" style="39" bestFit="1" customWidth="1"/>
    <col min="3597" max="3597" width="8.7109375" style="39" bestFit="1" customWidth="1"/>
    <col min="3598" max="3598" width="9.7109375" style="39" bestFit="1" customWidth="1"/>
    <col min="3599" max="3599" width="5.28515625" style="39" bestFit="1" customWidth="1"/>
    <col min="3600" max="3602" width="9.7109375" style="39" bestFit="1" customWidth="1"/>
    <col min="3603" max="3603" width="6.28515625" style="39" bestFit="1" customWidth="1"/>
    <col min="3604" max="3604" width="8.7109375" style="39" bestFit="1" customWidth="1"/>
    <col min="3605" max="3605" width="7.28515625" style="39" bestFit="1" customWidth="1"/>
    <col min="3606" max="3606" width="7.7109375" style="39" bestFit="1" customWidth="1"/>
    <col min="3607" max="3607" width="11.28515625" style="39" bestFit="1" customWidth="1"/>
    <col min="3608" max="3609" width="9.7109375" style="39" bestFit="1" customWidth="1"/>
    <col min="3610" max="3610" width="7.7109375" style="39" bestFit="1" customWidth="1"/>
    <col min="3611" max="3611" width="5.28515625" style="39" bestFit="1" customWidth="1"/>
    <col min="3612" max="3612" width="7.7109375" style="39" bestFit="1" customWidth="1"/>
    <col min="3613" max="3614" width="4.28515625" style="39" bestFit="1" customWidth="1"/>
    <col min="3615" max="3615" width="11.28515625" style="39" bestFit="1" customWidth="1"/>
    <col min="3616" max="3616" width="8.7109375" style="39" bestFit="1" customWidth="1"/>
    <col min="3617" max="3617" width="6.28515625" style="39" bestFit="1" customWidth="1"/>
    <col min="3618" max="3840" width="6.85546875" style="39"/>
    <col min="3841" max="3841" width="31" style="39" bestFit="1" customWidth="1"/>
    <col min="3842" max="3842" width="19.85546875" style="39" bestFit="1" customWidth="1"/>
    <col min="3843" max="3843" width="34.7109375" style="39" bestFit="1" customWidth="1"/>
    <col min="3844" max="3844" width="20.140625" style="39" bestFit="1" customWidth="1"/>
    <col min="3845" max="3845" width="11.28515625" style="39" bestFit="1" customWidth="1"/>
    <col min="3846" max="3846" width="8.7109375" style="39" bestFit="1" customWidth="1"/>
    <col min="3847" max="3847" width="9.7109375" style="39" bestFit="1" customWidth="1"/>
    <col min="3848" max="3848" width="6.28515625" style="39" bestFit="1" customWidth="1"/>
    <col min="3849" max="3849" width="9.7109375" style="39" bestFit="1" customWidth="1"/>
    <col min="3850" max="3850" width="11.28515625" style="39" bestFit="1" customWidth="1"/>
    <col min="3851" max="3851" width="5.28515625" style="39" bestFit="1" customWidth="1"/>
    <col min="3852" max="3852" width="7.28515625" style="39" bestFit="1" customWidth="1"/>
    <col min="3853" max="3853" width="8.7109375" style="39" bestFit="1" customWidth="1"/>
    <col min="3854" max="3854" width="9.7109375" style="39" bestFit="1" customWidth="1"/>
    <col min="3855" max="3855" width="5.28515625" style="39" bestFit="1" customWidth="1"/>
    <col min="3856" max="3858" width="9.7109375" style="39" bestFit="1" customWidth="1"/>
    <col min="3859" max="3859" width="6.28515625" style="39" bestFit="1" customWidth="1"/>
    <col min="3860" max="3860" width="8.7109375" style="39" bestFit="1" customWidth="1"/>
    <col min="3861" max="3861" width="7.28515625" style="39" bestFit="1" customWidth="1"/>
    <col min="3862" max="3862" width="7.7109375" style="39" bestFit="1" customWidth="1"/>
    <col min="3863" max="3863" width="11.28515625" style="39" bestFit="1" customWidth="1"/>
    <col min="3864" max="3865" width="9.7109375" style="39" bestFit="1" customWidth="1"/>
    <col min="3866" max="3866" width="7.7109375" style="39" bestFit="1" customWidth="1"/>
    <col min="3867" max="3867" width="5.28515625" style="39" bestFit="1" customWidth="1"/>
    <col min="3868" max="3868" width="7.7109375" style="39" bestFit="1" customWidth="1"/>
    <col min="3869" max="3870" width="4.28515625" style="39" bestFit="1" customWidth="1"/>
    <col min="3871" max="3871" width="11.28515625" style="39" bestFit="1" customWidth="1"/>
    <col min="3872" max="3872" width="8.7109375" style="39" bestFit="1" customWidth="1"/>
    <col min="3873" max="3873" width="6.28515625" style="39" bestFit="1" customWidth="1"/>
    <col min="3874" max="4096" width="6.85546875" style="39"/>
    <col min="4097" max="4097" width="31" style="39" bestFit="1" customWidth="1"/>
    <col min="4098" max="4098" width="19.85546875" style="39" bestFit="1" customWidth="1"/>
    <col min="4099" max="4099" width="34.7109375" style="39" bestFit="1" customWidth="1"/>
    <col min="4100" max="4100" width="20.140625" style="39" bestFit="1" customWidth="1"/>
    <col min="4101" max="4101" width="11.28515625" style="39" bestFit="1" customWidth="1"/>
    <col min="4102" max="4102" width="8.7109375" style="39" bestFit="1" customWidth="1"/>
    <col min="4103" max="4103" width="9.7109375" style="39" bestFit="1" customWidth="1"/>
    <col min="4104" max="4104" width="6.28515625" style="39" bestFit="1" customWidth="1"/>
    <col min="4105" max="4105" width="9.7109375" style="39" bestFit="1" customWidth="1"/>
    <col min="4106" max="4106" width="11.28515625" style="39" bestFit="1" customWidth="1"/>
    <col min="4107" max="4107" width="5.28515625" style="39" bestFit="1" customWidth="1"/>
    <col min="4108" max="4108" width="7.28515625" style="39" bestFit="1" customWidth="1"/>
    <col min="4109" max="4109" width="8.7109375" style="39" bestFit="1" customWidth="1"/>
    <col min="4110" max="4110" width="9.7109375" style="39" bestFit="1" customWidth="1"/>
    <col min="4111" max="4111" width="5.28515625" style="39" bestFit="1" customWidth="1"/>
    <col min="4112" max="4114" width="9.7109375" style="39" bestFit="1" customWidth="1"/>
    <col min="4115" max="4115" width="6.28515625" style="39" bestFit="1" customWidth="1"/>
    <col min="4116" max="4116" width="8.7109375" style="39" bestFit="1" customWidth="1"/>
    <col min="4117" max="4117" width="7.28515625" style="39" bestFit="1" customWidth="1"/>
    <col min="4118" max="4118" width="7.7109375" style="39" bestFit="1" customWidth="1"/>
    <col min="4119" max="4119" width="11.28515625" style="39" bestFit="1" customWidth="1"/>
    <col min="4120" max="4121" width="9.7109375" style="39" bestFit="1" customWidth="1"/>
    <col min="4122" max="4122" width="7.7109375" style="39" bestFit="1" customWidth="1"/>
    <col min="4123" max="4123" width="5.28515625" style="39" bestFit="1" customWidth="1"/>
    <col min="4124" max="4124" width="7.7109375" style="39" bestFit="1" customWidth="1"/>
    <col min="4125" max="4126" width="4.28515625" style="39" bestFit="1" customWidth="1"/>
    <col min="4127" max="4127" width="11.28515625" style="39" bestFit="1" customWidth="1"/>
    <col min="4128" max="4128" width="8.7109375" style="39" bestFit="1" customWidth="1"/>
    <col min="4129" max="4129" width="6.28515625" style="39" bestFit="1" customWidth="1"/>
    <col min="4130" max="4352" width="6.85546875" style="39"/>
    <col min="4353" max="4353" width="31" style="39" bestFit="1" customWidth="1"/>
    <col min="4354" max="4354" width="19.85546875" style="39" bestFit="1" customWidth="1"/>
    <col min="4355" max="4355" width="34.7109375" style="39" bestFit="1" customWidth="1"/>
    <col min="4356" max="4356" width="20.140625" style="39" bestFit="1" customWidth="1"/>
    <col min="4357" max="4357" width="11.28515625" style="39" bestFit="1" customWidth="1"/>
    <col min="4358" max="4358" width="8.7109375" style="39" bestFit="1" customWidth="1"/>
    <col min="4359" max="4359" width="9.7109375" style="39" bestFit="1" customWidth="1"/>
    <col min="4360" max="4360" width="6.28515625" style="39" bestFit="1" customWidth="1"/>
    <col min="4361" max="4361" width="9.7109375" style="39" bestFit="1" customWidth="1"/>
    <col min="4362" max="4362" width="11.28515625" style="39" bestFit="1" customWidth="1"/>
    <col min="4363" max="4363" width="5.28515625" style="39" bestFit="1" customWidth="1"/>
    <col min="4364" max="4364" width="7.28515625" style="39" bestFit="1" customWidth="1"/>
    <col min="4365" max="4365" width="8.7109375" style="39" bestFit="1" customWidth="1"/>
    <col min="4366" max="4366" width="9.7109375" style="39" bestFit="1" customWidth="1"/>
    <col min="4367" max="4367" width="5.28515625" style="39" bestFit="1" customWidth="1"/>
    <col min="4368" max="4370" width="9.7109375" style="39" bestFit="1" customWidth="1"/>
    <col min="4371" max="4371" width="6.28515625" style="39" bestFit="1" customWidth="1"/>
    <col min="4372" max="4372" width="8.7109375" style="39" bestFit="1" customWidth="1"/>
    <col min="4373" max="4373" width="7.28515625" style="39" bestFit="1" customWidth="1"/>
    <col min="4374" max="4374" width="7.7109375" style="39" bestFit="1" customWidth="1"/>
    <col min="4375" max="4375" width="11.28515625" style="39" bestFit="1" customWidth="1"/>
    <col min="4376" max="4377" width="9.7109375" style="39" bestFit="1" customWidth="1"/>
    <col min="4378" max="4378" width="7.7109375" style="39" bestFit="1" customWidth="1"/>
    <col min="4379" max="4379" width="5.28515625" style="39" bestFit="1" customWidth="1"/>
    <col min="4380" max="4380" width="7.7109375" style="39" bestFit="1" customWidth="1"/>
    <col min="4381" max="4382" width="4.28515625" style="39" bestFit="1" customWidth="1"/>
    <col min="4383" max="4383" width="11.28515625" style="39" bestFit="1" customWidth="1"/>
    <col min="4384" max="4384" width="8.7109375" style="39" bestFit="1" customWidth="1"/>
    <col min="4385" max="4385" width="6.28515625" style="39" bestFit="1" customWidth="1"/>
    <col min="4386" max="4608" width="6.85546875" style="39"/>
    <col min="4609" max="4609" width="31" style="39" bestFit="1" customWidth="1"/>
    <col min="4610" max="4610" width="19.85546875" style="39" bestFit="1" customWidth="1"/>
    <col min="4611" max="4611" width="34.7109375" style="39" bestFit="1" customWidth="1"/>
    <col min="4612" max="4612" width="20.140625" style="39" bestFit="1" customWidth="1"/>
    <col min="4613" max="4613" width="11.28515625" style="39" bestFit="1" customWidth="1"/>
    <col min="4614" max="4614" width="8.7109375" style="39" bestFit="1" customWidth="1"/>
    <col min="4615" max="4615" width="9.7109375" style="39" bestFit="1" customWidth="1"/>
    <col min="4616" max="4616" width="6.28515625" style="39" bestFit="1" customWidth="1"/>
    <col min="4617" max="4617" width="9.7109375" style="39" bestFit="1" customWidth="1"/>
    <col min="4618" max="4618" width="11.28515625" style="39" bestFit="1" customWidth="1"/>
    <col min="4619" max="4619" width="5.28515625" style="39" bestFit="1" customWidth="1"/>
    <col min="4620" max="4620" width="7.28515625" style="39" bestFit="1" customWidth="1"/>
    <col min="4621" max="4621" width="8.7109375" style="39" bestFit="1" customWidth="1"/>
    <col min="4622" max="4622" width="9.7109375" style="39" bestFit="1" customWidth="1"/>
    <col min="4623" max="4623" width="5.28515625" style="39" bestFit="1" customWidth="1"/>
    <col min="4624" max="4626" width="9.7109375" style="39" bestFit="1" customWidth="1"/>
    <col min="4627" max="4627" width="6.28515625" style="39" bestFit="1" customWidth="1"/>
    <col min="4628" max="4628" width="8.7109375" style="39" bestFit="1" customWidth="1"/>
    <col min="4629" max="4629" width="7.28515625" style="39" bestFit="1" customWidth="1"/>
    <col min="4630" max="4630" width="7.7109375" style="39" bestFit="1" customWidth="1"/>
    <col min="4631" max="4631" width="11.28515625" style="39" bestFit="1" customWidth="1"/>
    <col min="4632" max="4633" width="9.7109375" style="39" bestFit="1" customWidth="1"/>
    <col min="4634" max="4634" width="7.7109375" style="39" bestFit="1" customWidth="1"/>
    <col min="4635" max="4635" width="5.28515625" style="39" bestFit="1" customWidth="1"/>
    <col min="4636" max="4636" width="7.7109375" style="39" bestFit="1" customWidth="1"/>
    <col min="4637" max="4638" width="4.28515625" style="39" bestFit="1" customWidth="1"/>
    <col min="4639" max="4639" width="11.28515625" style="39" bestFit="1" customWidth="1"/>
    <col min="4640" max="4640" width="8.7109375" style="39" bestFit="1" customWidth="1"/>
    <col min="4641" max="4641" width="6.28515625" style="39" bestFit="1" customWidth="1"/>
    <col min="4642" max="4864" width="6.85546875" style="39"/>
    <col min="4865" max="4865" width="31" style="39" bestFit="1" customWidth="1"/>
    <col min="4866" max="4866" width="19.85546875" style="39" bestFit="1" customWidth="1"/>
    <col min="4867" max="4867" width="34.7109375" style="39" bestFit="1" customWidth="1"/>
    <col min="4868" max="4868" width="20.140625" style="39" bestFit="1" customWidth="1"/>
    <col min="4869" max="4869" width="11.28515625" style="39" bestFit="1" customWidth="1"/>
    <col min="4870" max="4870" width="8.7109375" style="39" bestFit="1" customWidth="1"/>
    <col min="4871" max="4871" width="9.7109375" style="39" bestFit="1" customWidth="1"/>
    <col min="4872" max="4872" width="6.28515625" style="39" bestFit="1" customWidth="1"/>
    <col min="4873" max="4873" width="9.7109375" style="39" bestFit="1" customWidth="1"/>
    <col min="4874" max="4874" width="11.28515625" style="39" bestFit="1" customWidth="1"/>
    <col min="4875" max="4875" width="5.28515625" style="39" bestFit="1" customWidth="1"/>
    <col min="4876" max="4876" width="7.28515625" style="39" bestFit="1" customWidth="1"/>
    <col min="4877" max="4877" width="8.7109375" style="39" bestFit="1" customWidth="1"/>
    <col min="4878" max="4878" width="9.7109375" style="39" bestFit="1" customWidth="1"/>
    <col min="4879" max="4879" width="5.28515625" style="39" bestFit="1" customWidth="1"/>
    <col min="4880" max="4882" width="9.7109375" style="39" bestFit="1" customWidth="1"/>
    <col min="4883" max="4883" width="6.28515625" style="39" bestFit="1" customWidth="1"/>
    <col min="4884" max="4884" width="8.7109375" style="39" bestFit="1" customWidth="1"/>
    <col min="4885" max="4885" width="7.28515625" style="39" bestFit="1" customWidth="1"/>
    <col min="4886" max="4886" width="7.7109375" style="39" bestFit="1" customWidth="1"/>
    <col min="4887" max="4887" width="11.28515625" style="39" bestFit="1" customWidth="1"/>
    <col min="4888" max="4889" width="9.7109375" style="39" bestFit="1" customWidth="1"/>
    <col min="4890" max="4890" width="7.7109375" style="39" bestFit="1" customWidth="1"/>
    <col min="4891" max="4891" width="5.28515625" style="39" bestFit="1" customWidth="1"/>
    <col min="4892" max="4892" width="7.7109375" style="39" bestFit="1" customWidth="1"/>
    <col min="4893" max="4894" width="4.28515625" style="39" bestFit="1" customWidth="1"/>
    <col min="4895" max="4895" width="11.28515625" style="39" bestFit="1" customWidth="1"/>
    <col min="4896" max="4896" width="8.7109375" style="39" bestFit="1" customWidth="1"/>
    <col min="4897" max="4897" width="6.28515625" style="39" bestFit="1" customWidth="1"/>
    <col min="4898" max="5120" width="6.85546875" style="39"/>
    <col min="5121" max="5121" width="31" style="39" bestFit="1" customWidth="1"/>
    <col min="5122" max="5122" width="19.85546875" style="39" bestFit="1" customWidth="1"/>
    <col min="5123" max="5123" width="34.7109375" style="39" bestFit="1" customWidth="1"/>
    <col min="5124" max="5124" width="20.140625" style="39" bestFit="1" customWidth="1"/>
    <col min="5125" max="5125" width="11.28515625" style="39" bestFit="1" customWidth="1"/>
    <col min="5126" max="5126" width="8.7109375" style="39" bestFit="1" customWidth="1"/>
    <col min="5127" max="5127" width="9.7109375" style="39" bestFit="1" customWidth="1"/>
    <col min="5128" max="5128" width="6.28515625" style="39" bestFit="1" customWidth="1"/>
    <col min="5129" max="5129" width="9.7109375" style="39" bestFit="1" customWidth="1"/>
    <col min="5130" max="5130" width="11.28515625" style="39" bestFit="1" customWidth="1"/>
    <col min="5131" max="5131" width="5.28515625" style="39" bestFit="1" customWidth="1"/>
    <col min="5132" max="5132" width="7.28515625" style="39" bestFit="1" customWidth="1"/>
    <col min="5133" max="5133" width="8.7109375" style="39" bestFit="1" customWidth="1"/>
    <col min="5134" max="5134" width="9.7109375" style="39" bestFit="1" customWidth="1"/>
    <col min="5135" max="5135" width="5.28515625" style="39" bestFit="1" customWidth="1"/>
    <col min="5136" max="5138" width="9.7109375" style="39" bestFit="1" customWidth="1"/>
    <col min="5139" max="5139" width="6.28515625" style="39" bestFit="1" customWidth="1"/>
    <col min="5140" max="5140" width="8.7109375" style="39" bestFit="1" customWidth="1"/>
    <col min="5141" max="5141" width="7.28515625" style="39" bestFit="1" customWidth="1"/>
    <col min="5142" max="5142" width="7.7109375" style="39" bestFit="1" customWidth="1"/>
    <col min="5143" max="5143" width="11.28515625" style="39" bestFit="1" customWidth="1"/>
    <col min="5144" max="5145" width="9.7109375" style="39" bestFit="1" customWidth="1"/>
    <col min="5146" max="5146" width="7.7109375" style="39" bestFit="1" customWidth="1"/>
    <col min="5147" max="5147" width="5.28515625" style="39" bestFit="1" customWidth="1"/>
    <col min="5148" max="5148" width="7.7109375" style="39" bestFit="1" customWidth="1"/>
    <col min="5149" max="5150" width="4.28515625" style="39" bestFit="1" customWidth="1"/>
    <col min="5151" max="5151" width="11.28515625" style="39" bestFit="1" customWidth="1"/>
    <col min="5152" max="5152" width="8.7109375" style="39" bestFit="1" customWidth="1"/>
    <col min="5153" max="5153" width="6.28515625" style="39" bestFit="1" customWidth="1"/>
    <col min="5154" max="5376" width="6.85546875" style="39"/>
    <col min="5377" max="5377" width="31" style="39" bestFit="1" customWidth="1"/>
    <col min="5378" max="5378" width="19.85546875" style="39" bestFit="1" customWidth="1"/>
    <col min="5379" max="5379" width="34.7109375" style="39" bestFit="1" customWidth="1"/>
    <col min="5380" max="5380" width="20.140625" style="39" bestFit="1" customWidth="1"/>
    <col min="5381" max="5381" width="11.28515625" style="39" bestFit="1" customWidth="1"/>
    <col min="5382" max="5382" width="8.7109375" style="39" bestFit="1" customWidth="1"/>
    <col min="5383" max="5383" width="9.7109375" style="39" bestFit="1" customWidth="1"/>
    <col min="5384" max="5384" width="6.28515625" style="39" bestFit="1" customWidth="1"/>
    <col min="5385" max="5385" width="9.7109375" style="39" bestFit="1" customWidth="1"/>
    <col min="5386" max="5386" width="11.28515625" style="39" bestFit="1" customWidth="1"/>
    <col min="5387" max="5387" width="5.28515625" style="39" bestFit="1" customWidth="1"/>
    <col min="5388" max="5388" width="7.28515625" style="39" bestFit="1" customWidth="1"/>
    <col min="5389" max="5389" width="8.7109375" style="39" bestFit="1" customWidth="1"/>
    <col min="5390" max="5390" width="9.7109375" style="39" bestFit="1" customWidth="1"/>
    <col min="5391" max="5391" width="5.28515625" style="39" bestFit="1" customWidth="1"/>
    <col min="5392" max="5394" width="9.7109375" style="39" bestFit="1" customWidth="1"/>
    <col min="5395" max="5395" width="6.28515625" style="39" bestFit="1" customWidth="1"/>
    <col min="5396" max="5396" width="8.7109375" style="39" bestFit="1" customWidth="1"/>
    <col min="5397" max="5397" width="7.28515625" style="39" bestFit="1" customWidth="1"/>
    <col min="5398" max="5398" width="7.7109375" style="39" bestFit="1" customWidth="1"/>
    <col min="5399" max="5399" width="11.28515625" style="39" bestFit="1" customWidth="1"/>
    <col min="5400" max="5401" width="9.7109375" style="39" bestFit="1" customWidth="1"/>
    <col min="5402" max="5402" width="7.7109375" style="39" bestFit="1" customWidth="1"/>
    <col min="5403" max="5403" width="5.28515625" style="39" bestFit="1" customWidth="1"/>
    <col min="5404" max="5404" width="7.7109375" style="39" bestFit="1" customWidth="1"/>
    <col min="5405" max="5406" width="4.28515625" style="39" bestFit="1" customWidth="1"/>
    <col min="5407" max="5407" width="11.28515625" style="39" bestFit="1" customWidth="1"/>
    <col min="5408" max="5408" width="8.7109375" style="39" bestFit="1" customWidth="1"/>
    <col min="5409" max="5409" width="6.28515625" style="39" bestFit="1" customWidth="1"/>
    <col min="5410" max="5632" width="6.85546875" style="39"/>
    <col min="5633" max="5633" width="31" style="39" bestFit="1" customWidth="1"/>
    <col min="5634" max="5634" width="19.85546875" style="39" bestFit="1" customWidth="1"/>
    <col min="5635" max="5635" width="34.7109375" style="39" bestFit="1" customWidth="1"/>
    <col min="5636" max="5636" width="20.140625" style="39" bestFit="1" customWidth="1"/>
    <col min="5637" max="5637" width="11.28515625" style="39" bestFit="1" customWidth="1"/>
    <col min="5638" max="5638" width="8.7109375" style="39" bestFit="1" customWidth="1"/>
    <col min="5639" max="5639" width="9.7109375" style="39" bestFit="1" customWidth="1"/>
    <col min="5640" max="5640" width="6.28515625" style="39" bestFit="1" customWidth="1"/>
    <col min="5641" max="5641" width="9.7109375" style="39" bestFit="1" customWidth="1"/>
    <col min="5642" max="5642" width="11.28515625" style="39" bestFit="1" customWidth="1"/>
    <col min="5643" max="5643" width="5.28515625" style="39" bestFit="1" customWidth="1"/>
    <col min="5644" max="5644" width="7.28515625" style="39" bestFit="1" customWidth="1"/>
    <col min="5645" max="5645" width="8.7109375" style="39" bestFit="1" customWidth="1"/>
    <col min="5646" max="5646" width="9.7109375" style="39" bestFit="1" customWidth="1"/>
    <col min="5647" max="5647" width="5.28515625" style="39" bestFit="1" customWidth="1"/>
    <col min="5648" max="5650" width="9.7109375" style="39" bestFit="1" customWidth="1"/>
    <col min="5651" max="5651" width="6.28515625" style="39" bestFit="1" customWidth="1"/>
    <col min="5652" max="5652" width="8.7109375" style="39" bestFit="1" customWidth="1"/>
    <col min="5653" max="5653" width="7.28515625" style="39" bestFit="1" customWidth="1"/>
    <col min="5654" max="5654" width="7.7109375" style="39" bestFit="1" customWidth="1"/>
    <col min="5655" max="5655" width="11.28515625" style="39" bestFit="1" customWidth="1"/>
    <col min="5656" max="5657" width="9.7109375" style="39" bestFit="1" customWidth="1"/>
    <col min="5658" max="5658" width="7.7109375" style="39" bestFit="1" customWidth="1"/>
    <col min="5659" max="5659" width="5.28515625" style="39" bestFit="1" customWidth="1"/>
    <col min="5660" max="5660" width="7.7109375" style="39" bestFit="1" customWidth="1"/>
    <col min="5661" max="5662" width="4.28515625" style="39" bestFit="1" customWidth="1"/>
    <col min="5663" max="5663" width="11.28515625" style="39" bestFit="1" customWidth="1"/>
    <col min="5664" max="5664" width="8.7109375" style="39" bestFit="1" customWidth="1"/>
    <col min="5665" max="5665" width="6.28515625" style="39" bestFit="1" customWidth="1"/>
    <col min="5666" max="5888" width="6.85546875" style="39"/>
    <col min="5889" max="5889" width="31" style="39" bestFit="1" customWidth="1"/>
    <col min="5890" max="5890" width="19.85546875" style="39" bestFit="1" customWidth="1"/>
    <col min="5891" max="5891" width="34.7109375" style="39" bestFit="1" customWidth="1"/>
    <col min="5892" max="5892" width="20.140625" style="39" bestFit="1" customWidth="1"/>
    <col min="5893" max="5893" width="11.28515625" style="39" bestFit="1" customWidth="1"/>
    <col min="5894" max="5894" width="8.7109375" style="39" bestFit="1" customWidth="1"/>
    <col min="5895" max="5895" width="9.7109375" style="39" bestFit="1" customWidth="1"/>
    <col min="5896" max="5896" width="6.28515625" style="39" bestFit="1" customWidth="1"/>
    <col min="5897" max="5897" width="9.7109375" style="39" bestFit="1" customWidth="1"/>
    <col min="5898" max="5898" width="11.28515625" style="39" bestFit="1" customWidth="1"/>
    <col min="5899" max="5899" width="5.28515625" style="39" bestFit="1" customWidth="1"/>
    <col min="5900" max="5900" width="7.28515625" style="39" bestFit="1" customWidth="1"/>
    <col min="5901" max="5901" width="8.7109375" style="39" bestFit="1" customWidth="1"/>
    <col min="5902" max="5902" width="9.7109375" style="39" bestFit="1" customWidth="1"/>
    <col min="5903" max="5903" width="5.28515625" style="39" bestFit="1" customWidth="1"/>
    <col min="5904" max="5906" width="9.7109375" style="39" bestFit="1" customWidth="1"/>
    <col min="5907" max="5907" width="6.28515625" style="39" bestFit="1" customWidth="1"/>
    <col min="5908" max="5908" width="8.7109375" style="39" bestFit="1" customWidth="1"/>
    <col min="5909" max="5909" width="7.28515625" style="39" bestFit="1" customWidth="1"/>
    <col min="5910" max="5910" width="7.7109375" style="39" bestFit="1" customWidth="1"/>
    <col min="5911" max="5911" width="11.28515625" style="39" bestFit="1" customWidth="1"/>
    <col min="5912" max="5913" width="9.7109375" style="39" bestFit="1" customWidth="1"/>
    <col min="5914" max="5914" width="7.7109375" style="39" bestFit="1" customWidth="1"/>
    <col min="5915" max="5915" width="5.28515625" style="39" bestFit="1" customWidth="1"/>
    <col min="5916" max="5916" width="7.7109375" style="39" bestFit="1" customWidth="1"/>
    <col min="5917" max="5918" width="4.28515625" style="39" bestFit="1" customWidth="1"/>
    <col min="5919" max="5919" width="11.28515625" style="39" bestFit="1" customWidth="1"/>
    <col min="5920" max="5920" width="8.7109375" style="39" bestFit="1" customWidth="1"/>
    <col min="5921" max="5921" width="6.28515625" style="39" bestFit="1" customWidth="1"/>
    <col min="5922" max="6144" width="6.85546875" style="39"/>
    <col min="6145" max="6145" width="31" style="39" bestFit="1" customWidth="1"/>
    <col min="6146" max="6146" width="19.85546875" style="39" bestFit="1" customWidth="1"/>
    <col min="6147" max="6147" width="34.7109375" style="39" bestFit="1" customWidth="1"/>
    <col min="6148" max="6148" width="20.140625" style="39" bestFit="1" customWidth="1"/>
    <col min="6149" max="6149" width="11.28515625" style="39" bestFit="1" customWidth="1"/>
    <col min="6150" max="6150" width="8.7109375" style="39" bestFit="1" customWidth="1"/>
    <col min="6151" max="6151" width="9.7109375" style="39" bestFit="1" customWidth="1"/>
    <col min="6152" max="6152" width="6.28515625" style="39" bestFit="1" customWidth="1"/>
    <col min="6153" max="6153" width="9.7109375" style="39" bestFit="1" customWidth="1"/>
    <col min="6154" max="6154" width="11.28515625" style="39" bestFit="1" customWidth="1"/>
    <col min="6155" max="6155" width="5.28515625" style="39" bestFit="1" customWidth="1"/>
    <col min="6156" max="6156" width="7.28515625" style="39" bestFit="1" customWidth="1"/>
    <col min="6157" max="6157" width="8.7109375" style="39" bestFit="1" customWidth="1"/>
    <col min="6158" max="6158" width="9.7109375" style="39" bestFit="1" customWidth="1"/>
    <col min="6159" max="6159" width="5.28515625" style="39" bestFit="1" customWidth="1"/>
    <col min="6160" max="6162" width="9.7109375" style="39" bestFit="1" customWidth="1"/>
    <col min="6163" max="6163" width="6.28515625" style="39" bestFit="1" customWidth="1"/>
    <col min="6164" max="6164" width="8.7109375" style="39" bestFit="1" customWidth="1"/>
    <col min="6165" max="6165" width="7.28515625" style="39" bestFit="1" customWidth="1"/>
    <col min="6166" max="6166" width="7.7109375" style="39" bestFit="1" customWidth="1"/>
    <col min="6167" max="6167" width="11.28515625" style="39" bestFit="1" customWidth="1"/>
    <col min="6168" max="6169" width="9.7109375" style="39" bestFit="1" customWidth="1"/>
    <col min="6170" max="6170" width="7.7109375" style="39" bestFit="1" customWidth="1"/>
    <col min="6171" max="6171" width="5.28515625" style="39" bestFit="1" customWidth="1"/>
    <col min="6172" max="6172" width="7.7109375" style="39" bestFit="1" customWidth="1"/>
    <col min="6173" max="6174" width="4.28515625" style="39" bestFit="1" customWidth="1"/>
    <col min="6175" max="6175" width="11.28515625" style="39" bestFit="1" customWidth="1"/>
    <col min="6176" max="6176" width="8.7109375" style="39" bestFit="1" customWidth="1"/>
    <col min="6177" max="6177" width="6.28515625" style="39" bestFit="1" customWidth="1"/>
    <col min="6178" max="6400" width="6.85546875" style="39"/>
    <col min="6401" max="6401" width="31" style="39" bestFit="1" customWidth="1"/>
    <col min="6402" max="6402" width="19.85546875" style="39" bestFit="1" customWidth="1"/>
    <col min="6403" max="6403" width="34.7109375" style="39" bestFit="1" customWidth="1"/>
    <col min="6404" max="6404" width="20.140625" style="39" bestFit="1" customWidth="1"/>
    <col min="6405" max="6405" width="11.28515625" style="39" bestFit="1" customWidth="1"/>
    <col min="6406" max="6406" width="8.7109375" style="39" bestFit="1" customWidth="1"/>
    <col min="6407" max="6407" width="9.7109375" style="39" bestFit="1" customWidth="1"/>
    <col min="6408" max="6408" width="6.28515625" style="39" bestFit="1" customWidth="1"/>
    <col min="6409" max="6409" width="9.7109375" style="39" bestFit="1" customWidth="1"/>
    <col min="6410" max="6410" width="11.28515625" style="39" bestFit="1" customWidth="1"/>
    <col min="6411" max="6411" width="5.28515625" style="39" bestFit="1" customWidth="1"/>
    <col min="6412" max="6412" width="7.28515625" style="39" bestFit="1" customWidth="1"/>
    <col min="6413" max="6413" width="8.7109375" style="39" bestFit="1" customWidth="1"/>
    <col min="6414" max="6414" width="9.7109375" style="39" bestFit="1" customWidth="1"/>
    <col min="6415" max="6415" width="5.28515625" style="39" bestFit="1" customWidth="1"/>
    <col min="6416" max="6418" width="9.7109375" style="39" bestFit="1" customWidth="1"/>
    <col min="6419" max="6419" width="6.28515625" style="39" bestFit="1" customWidth="1"/>
    <col min="6420" max="6420" width="8.7109375" style="39" bestFit="1" customWidth="1"/>
    <col min="6421" max="6421" width="7.28515625" style="39" bestFit="1" customWidth="1"/>
    <col min="6422" max="6422" width="7.7109375" style="39" bestFit="1" customWidth="1"/>
    <col min="6423" max="6423" width="11.28515625" style="39" bestFit="1" customWidth="1"/>
    <col min="6424" max="6425" width="9.7109375" style="39" bestFit="1" customWidth="1"/>
    <col min="6426" max="6426" width="7.7109375" style="39" bestFit="1" customWidth="1"/>
    <col min="6427" max="6427" width="5.28515625" style="39" bestFit="1" customWidth="1"/>
    <col min="6428" max="6428" width="7.7109375" style="39" bestFit="1" customWidth="1"/>
    <col min="6429" max="6430" width="4.28515625" style="39" bestFit="1" customWidth="1"/>
    <col min="6431" max="6431" width="11.28515625" style="39" bestFit="1" customWidth="1"/>
    <col min="6432" max="6432" width="8.7109375" style="39" bestFit="1" customWidth="1"/>
    <col min="6433" max="6433" width="6.28515625" style="39" bestFit="1" customWidth="1"/>
    <col min="6434" max="6656" width="6.85546875" style="39"/>
    <col min="6657" max="6657" width="31" style="39" bestFit="1" customWidth="1"/>
    <col min="6658" max="6658" width="19.85546875" style="39" bestFit="1" customWidth="1"/>
    <col min="6659" max="6659" width="34.7109375" style="39" bestFit="1" customWidth="1"/>
    <col min="6660" max="6660" width="20.140625" style="39" bestFit="1" customWidth="1"/>
    <col min="6661" max="6661" width="11.28515625" style="39" bestFit="1" customWidth="1"/>
    <col min="6662" max="6662" width="8.7109375" style="39" bestFit="1" customWidth="1"/>
    <col min="6663" max="6663" width="9.7109375" style="39" bestFit="1" customWidth="1"/>
    <col min="6664" max="6664" width="6.28515625" style="39" bestFit="1" customWidth="1"/>
    <col min="6665" max="6665" width="9.7109375" style="39" bestFit="1" customWidth="1"/>
    <col min="6666" max="6666" width="11.28515625" style="39" bestFit="1" customWidth="1"/>
    <col min="6667" max="6667" width="5.28515625" style="39" bestFit="1" customWidth="1"/>
    <col min="6668" max="6668" width="7.28515625" style="39" bestFit="1" customWidth="1"/>
    <col min="6669" max="6669" width="8.7109375" style="39" bestFit="1" customWidth="1"/>
    <col min="6670" max="6670" width="9.7109375" style="39" bestFit="1" customWidth="1"/>
    <col min="6671" max="6671" width="5.28515625" style="39" bestFit="1" customWidth="1"/>
    <col min="6672" max="6674" width="9.7109375" style="39" bestFit="1" customWidth="1"/>
    <col min="6675" max="6675" width="6.28515625" style="39" bestFit="1" customWidth="1"/>
    <col min="6676" max="6676" width="8.7109375" style="39" bestFit="1" customWidth="1"/>
    <col min="6677" max="6677" width="7.28515625" style="39" bestFit="1" customWidth="1"/>
    <col min="6678" max="6678" width="7.7109375" style="39" bestFit="1" customWidth="1"/>
    <col min="6679" max="6679" width="11.28515625" style="39" bestFit="1" customWidth="1"/>
    <col min="6680" max="6681" width="9.7109375" style="39" bestFit="1" customWidth="1"/>
    <col min="6682" max="6682" width="7.7109375" style="39" bestFit="1" customWidth="1"/>
    <col min="6683" max="6683" width="5.28515625" style="39" bestFit="1" customWidth="1"/>
    <col min="6684" max="6684" width="7.7109375" style="39" bestFit="1" customWidth="1"/>
    <col min="6685" max="6686" width="4.28515625" style="39" bestFit="1" customWidth="1"/>
    <col min="6687" max="6687" width="11.28515625" style="39" bestFit="1" customWidth="1"/>
    <col min="6688" max="6688" width="8.7109375" style="39" bestFit="1" customWidth="1"/>
    <col min="6689" max="6689" width="6.28515625" style="39" bestFit="1" customWidth="1"/>
    <col min="6690" max="6912" width="6.85546875" style="39"/>
    <col min="6913" max="6913" width="31" style="39" bestFit="1" customWidth="1"/>
    <col min="6914" max="6914" width="19.85546875" style="39" bestFit="1" customWidth="1"/>
    <col min="6915" max="6915" width="34.7109375" style="39" bestFit="1" customWidth="1"/>
    <col min="6916" max="6916" width="20.140625" style="39" bestFit="1" customWidth="1"/>
    <col min="6917" max="6917" width="11.28515625" style="39" bestFit="1" customWidth="1"/>
    <col min="6918" max="6918" width="8.7109375" style="39" bestFit="1" customWidth="1"/>
    <col min="6919" max="6919" width="9.7109375" style="39" bestFit="1" customWidth="1"/>
    <col min="6920" max="6920" width="6.28515625" style="39" bestFit="1" customWidth="1"/>
    <col min="6921" max="6921" width="9.7109375" style="39" bestFit="1" customWidth="1"/>
    <col min="6922" max="6922" width="11.28515625" style="39" bestFit="1" customWidth="1"/>
    <col min="6923" max="6923" width="5.28515625" style="39" bestFit="1" customWidth="1"/>
    <col min="6924" max="6924" width="7.28515625" style="39" bestFit="1" customWidth="1"/>
    <col min="6925" max="6925" width="8.7109375" style="39" bestFit="1" customWidth="1"/>
    <col min="6926" max="6926" width="9.7109375" style="39" bestFit="1" customWidth="1"/>
    <col min="6927" max="6927" width="5.28515625" style="39" bestFit="1" customWidth="1"/>
    <col min="6928" max="6930" width="9.7109375" style="39" bestFit="1" customWidth="1"/>
    <col min="6931" max="6931" width="6.28515625" style="39" bestFit="1" customWidth="1"/>
    <col min="6932" max="6932" width="8.7109375" style="39" bestFit="1" customWidth="1"/>
    <col min="6933" max="6933" width="7.28515625" style="39" bestFit="1" customWidth="1"/>
    <col min="6934" max="6934" width="7.7109375" style="39" bestFit="1" customWidth="1"/>
    <col min="6935" max="6935" width="11.28515625" style="39" bestFit="1" customWidth="1"/>
    <col min="6936" max="6937" width="9.7109375" style="39" bestFit="1" customWidth="1"/>
    <col min="6938" max="6938" width="7.7109375" style="39" bestFit="1" customWidth="1"/>
    <col min="6939" max="6939" width="5.28515625" style="39" bestFit="1" customWidth="1"/>
    <col min="6940" max="6940" width="7.7109375" style="39" bestFit="1" customWidth="1"/>
    <col min="6941" max="6942" width="4.28515625" style="39" bestFit="1" customWidth="1"/>
    <col min="6943" max="6943" width="11.28515625" style="39" bestFit="1" customWidth="1"/>
    <col min="6944" max="6944" width="8.7109375" style="39" bestFit="1" customWidth="1"/>
    <col min="6945" max="6945" width="6.28515625" style="39" bestFit="1" customWidth="1"/>
    <col min="6946" max="7168" width="6.85546875" style="39"/>
    <col min="7169" max="7169" width="31" style="39" bestFit="1" customWidth="1"/>
    <col min="7170" max="7170" width="19.85546875" style="39" bestFit="1" customWidth="1"/>
    <col min="7171" max="7171" width="34.7109375" style="39" bestFit="1" customWidth="1"/>
    <col min="7172" max="7172" width="20.140625" style="39" bestFit="1" customWidth="1"/>
    <col min="7173" max="7173" width="11.28515625" style="39" bestFit="1" customWidth="1"/>
    <col min="7174" max="7174" width="8.7109375" style="39" bestFit="1" customWidth="1"/>
    <col min="7175" max="7175" width="9.7109375" style="39" bestFit="1" customWidth="1"/>
    <col min="7176" max="7176" width="6.28515625" style="39" bestFit="1" customWidth="1"/>
    <col min="7177" max="7177" width="9.7109375" style="39" bestFit="1" customWidth="1"/>
    <col min="7178" max="7178" width="11.28515625" style="39" bestFit="1" customWidth="1"/>
    <col min="7179" max="7179" width="5.28515625" style="39" bestFit="1" customWidth="1"/>
    <col min="7180" max="7180" width="7.28515625" style="39" bestFit="1" customWidth="1"/>
    <col min="7181" max="7181" width="8.7109375" style="39" bestFit="1" customWidth="1"/>
    <col min="7182" max="7182" width="9.7109375" style="39" bestFit="1" customWidth="1"/>
    <col min="7183" max="7183" width="5.28515625" style="39" bestFit="1" customWidth="1"/>
    <col min="7184" max="7186" width="9.7109375" style="39" bestFit="1" customWidth="1"/>
    <col min="7187" max="7187" width="6.28515625" style="39" bestFit="1" customWidth="1"/>
    <col min="7188" max="7188" width="8.7109375" style="39" bestFit="1" customWidth="1"/>
    <col min="7189" max="7189" width="7.28515625" style="39" bestFit="1" customWidth="1"/>
    <col min="7190" max="7190" width="7.7109375" style="39" bestFit="1" customWidth="1"/>
    <col min="7191" max="7191" width="11.28515625" style="39" bestFit="1" customWidth="1"/>
    <col min="7192" max="7193" width="9.7109375" style="39" bestFit="1" customWidth="1"/>
    <col min="7194" max="7194" width="7.7109375" style="39" bestFit="1" customWidth="1"/>
    <col min="7195" max="7195" width="5.28515625" style="39" bestFit="1" customWidth="1"/>
    <col min="7196" max="7196" width="7.7109375" style="39" bestFit="1" customWidth="1"/>
    <col min="7197" max="7198" width="4.28515625" style="39" bestFit="1" customWidth="1"/>
    <col min="7199" max="7199" width="11.28515625" style="39" bestFit="1" customWidth="1"/>
    <col min="7200" max="7200" width="8.7109375" style="39" bestFit="1" customWidth="1"/>
    <col min="7201" max="7201" width="6.28515625" style="39" bestFit="1" customWidth="1"/>
    <col min="7202" max="7424" width="6.85546875" style="39"/>
    <col min="7425" max="7425" width="31" style="39" bestFit="1" customWidth="1"/>
    <col min="7426" max="7426" width="19.85546875" style="39" bestFit="1" customWidth="1"/>
    <col min="7427" max="7427" width="34.7109375" style="39" bestFit="1" customWidth="1"/>
    <col min="7428" max="7428" width="20.140625" style="39" bestFit="1" customWidth="1"/>
    <col min="7429" max="7429" width="11.28515625" style="39" bestFit="1" customWidth="1"/>
    <col min="7430" max="7430" width="8.7109375" style="39" bestFit="1" customWidth="1"/>
    <col min="7431" max="7431" width="9.7109375" style="39" bestFit="1" customWidth="1"/>
    <col min="7432" max="7432" width="6.28515625" style="39" bestFit="1" customWidth="1"/>
    <col min="7433" max="7433" width="9.7109375" style="39" bestFit="1" customWidth="1"/>
    <col min="7434" max="7434" width="11.28515625" style="39" bestFit="1" customWidth="1"/>
    <col min="7435" max="7435" width="5.28515625" style="39" bestFit="1" customWidth="1"/>
    <col min="7436" max="7436" width="7.28515625" style="39" bestFit="1" customWidth="1"/>
    <col min="7437" max="7437" width="8.7109375" style="39" bestFit="1" customWidth="1"/>
    <col min="7438" max="7438" width="9.7109375" style="39" bestFit="1" customWidth="1"/>
    <col min="7439" max="7439" width="5.28515625" style="39" bestFit="1" customWidth="1"/>
    <col min="7440" max="7442" width="9.7109375" style="39" bestFit="1" customWidth="1"/>
    <col min="7443" max="7443" width="6.28515625" style="39" bestFit="1" customWidth="1"/>
    <col min="7444" max="7444" width="8.7109375" style="39" bestFit="1" customWidth="1"/>
    <col min="7445" max="7445" width="7.28515625" style="39" bestFit="1" customWidth="1"/>
    <col min="7446" max="7446" width="7.7109375" style="39" bestFit="1" customWidth="1"/>
    <col min="7447" max="7447" width="11.28515625" style="39" bestFit="1" customWidth="1"/>
    <col min="7448" max="7449" width="9.7109375" style="39" bestFit="1" customWidth="1"/>
    <col min="7450" max="7450" width="7.7109375" style="39" bestFit="1" customWidth="1"/>
    <col min="7451" max="7451" width="5.28515625" style="39" bestFit="1" customWidth="1"/>
    <col min="7452" max="7452" width="7.7109375" style="39" bestFit="1" customWidth="1"/>
    <col min="7453" max="7454" width="4.28515625" style="39" bestFit="1" customWidth="1"/>
    <col min="7455" max="7455" width="11.28515625" style="39" bestFit="1" customWidth="1"/>
    <col min="7456" max="7456" width="8.7109375" style="39" bestFit="1" customWidth="1"/>
    <col min="7457" max="7457" width="6.28515625" style="39" bestFit="1" customWidth="1"/>
    <col min="7458" max="7680" width="6.85546875" style="39"/>
    <col min="7681" max="7681" width="31" style="39" bestFit="1" customWidth="1"/>
    <col min="7682" max="7682" width="19.85546875" style="39" bestFit="1" customWidth="1"/>
    <col min="7683" max="7683" width="34.7109375" style="39" bestFit="1" customWidth="1"/>
    <col min="7684" max="7684" width="20.140625" style="39" bestFit="1" customWidth="1"/>
    <col min="7685" max="7685" width="11.28515625" style="39" bestFit="1" customWidth="1"/>
    <col min="7686" max="7686" width="8.7109375" style="39" bestFit="1" customWidth="1"/>
    <col min="7687" max="7687" width="9.7109375" style="39" bestFit="1" customWidth="1"/>
    <col min="7688" max="7688" width="6.28515625" style="39" bestFit="1" customWidth="1"/>
    <col min="7689" max="7689" width="9.7109375" style="39" bestFit="1" customWidth="1"/>
    <col min="7690" max="7690" width="11.28515625" style="39" bestFit="1" customWidth="1"/>
    <col min="7691" max="7691" width="5.28515625" style="39" bestFit="1" customWidth="1"/>
    <col min="7692" max="7692" width="7.28515625" style="39" bestFit="1" customWidth="1"/>
    <col min="7693" max="7693" width="8.7109375" style="39" bestFit="1" customWidth="1"/>
    <col min="7694" max="7694" width="9.7109375" style="39" bestFit="1" customWidth="1"/>
    <col min="7695" max="7695" width="5.28515625" style="39" bestFit="1" customWidth="1"/>
    <col min="7696" max="7698" width="9.7109375" style="39" bestFit="1" customWidth="1"/>
    <col min="7699" max="7699" width="6.28515625" style="39" bestFit="1" customWidth="1"/>
    <col min="7700" max="7700" width="8.7109375" style="39" bestFit="1" customWidth="1"/>
    <col min="7701" max="7701" width="7.28515625" style="39" bestFit="1" customWidth="1"/>
    <col min="7702" max="7702" width="7.7109375" style="39" bestFit="1" customWidth="1"/>
    <col min="7703" max="7703" width="11.28515625" style="39" bestFit="1" customWidth="1"/>
    <col min="7704" max="7705" width="9.7109375" style="39" bestFit="1" customWidth="1"/>
    <col min="7706" max="7706" width="7.7109375" style="39" bestFit="1" customWidth="1"/>
    <col min="7707" max="7707" width="5.28515625" style="39" bestFit="1" customWidth="1"/>
    <col min="7708" max="7708" width="7.7109375" style="39" bestFit="1" customWidth="1"/>
    <col min="7709" max="7710" width="4.28515625" style="39" bestFit="1" customWidth="1"/>
    <col min="7711" max="7711" width="11.28515625" style="39" bestFit="1" customWidth="1"/>
    <col min="7712" max="7712" width="8.7109375" style="39" bestFit="1" customWidth="1"/>
    <col min="7713" max="7713" width="6.28515625" style="39" bestFit="1" customWidth="1"/>
    <col min="7714" max="7936" width="6.85546875" style="39"/>
    <col min="7937" max="7937" width="31" style="39" bestFit="1" customWidth="1"/>
    <col min="7938" max="7938" width="19.85546875" style="39" bestFit="1" customWidth="1"/>
    <col min="7939" max="7939" width="34.7109375" style="39" bestFit="1" customWidth="1"/>
    <col min="7940" max="7940" width="20.140625" style="39" bestFit="1" customWidth="1"/>
    <col min="7941" max="7941" width="11.28515625" style="39" bestFit="1" customWidth="1"/>
    <col min="7942" max="7942" width="8.7109375" style="39" bestFit="1" customWidth="1"/>
    <col min="7943" max="7943" width="9.7109375" style="39" bestFit="1" customWidth="1"/>
    <col min="7944" max="7944" width="6.28515625" style="39" bestFit="1" customWidth="1"/>
    <col min="7945" max="7945" width="9.7109375" style="39" bestFit="1" customWidth="1"/>
    <col min="7946" max="7946" width="11.28515625" style="39" bestFit="1" customWidth="1"/>
    <col min="7947" max="7947" width="5.28515625" style="39" bestFit="1" customWidth="1"/>
    <col min="7948" max="7948" width="7.28515625" style="39" bestFit="1" customWidth="1"/>
    <col min="7949" max="7949" width="8.7109375" style="39" bestFit="1" customWidth="1"/>
    <col min="7950" max="7950" width="9.7109375" style="39" bestFit="1" customWidth="1"/>
    <col min="7951" max="7951" width="5.28515625" style="39" bestFit="1" customWidth="1"/>
    <col min="7952" max="7954" width="9.7109375" style="39" bestFit="1" customWidth="1"/>
    <col min="7955" max="7955" width="6.28515625" style="39" bestFit="1" customWidth="1"/>
    <col min="7956" max="7956" width="8.7109375" style="39" bestFit="1" customWidth="1"/>
    <col min="7957" max="7957" width="7.28515625" style="39" bestFit="1" customWidth="1"/>
    <col min="7958" max="7958" width="7.7109375" style="39" bestFit="1" customWidth="1"/>
    <col min="7959" max="7959" width="11.28515625" style="39" bestFit="1" customWidth="1"/>
    <col min="7960" max="7961" width="9.7109375" style="39" bestFit="1" customWidth="1"/>
    <col min="7962" max="7962" width="7.7109375" style="39" bestFit="1" customWidth="1"/>
    <col min="7963" max="7963" width="5.28515625" style="39" bestFit="1" customWidth="1"/>
    <col min="7964" max="7964" width="7.7109375" style="39" bestFit="1" customWidth="1"/>
    <col min="7965" max="7966" width="4.28515625" style="39" bestFit="1" customWidth="1"/>
    <col min="7967" max="7967" width="11.28515625" style="39" bestFit="1" customWidth="1"/>
    <col min="7968" max="7968" width="8.7109375" style="39" bestFit="1" customWidth="1"/>
    <col min="7969" max="7969" width="6.28515625" style="39" bestFit="1" customWidth="1"/>
    <col min="7970" max="8192" width="6.85546875" style="39"/>
    <col min="8193" max="8193" width="31" style="39" bestFit="1" customWidth="1"/>
    <col min="8194" max="8194" width="19.85546875" style="39" bestFit="1" customWidth="1"/>
    <col min="8195" max="8195" width="34.7109375" style="39" bestFit="1" customWidth="1"/>
    <col min="8196" max="8196" width="20.140625" style="39" bestFit="1" customWidth="1"/>
    <col min="8197" max="8197" width="11.28515625" style="39" bestFit="1" customWidth="1"/>
    <col min="8198" max="8198" width="8.7109375" style="39" bestFit="1" customWidth="1"/>
    <col min="8199" max="8199" width="9.7109375" style="39" bestFit="1" customWidth="1"/>
    <col min="8200" max="8200" width="6.28515625" style="39" bestFit="1" customWidth="1"/>
    <col min="8201" max="8201" width="9.7109375" style="39" bestFit="1" customWidth="1"/>
    <col min="8202" max="8202" width="11.28515625" style="39" bestFit="1" customWidth="1"/>
    <col min="8203" max="8203" width="5.28515625" style="39" bestFit="1" customWidth="1"/>
    <col min="8204" max="8204" width="7.28515625" style="39" bestFit="1" customWidth="1"/>
    <col min="8205" max="8205" width="8.7109375" style="39" bestFit="1" customWidth="1"/>
    <col min="8206" max="8206" width="9.7109375" style="39" bestFit="1" customWidth="1"/>
    <col min="8207" max="8207" width="5.28515625" style="39" bestFit="1" customWidth="1"/>
    <col min="8208" max="8210" width="9.7109375" style="39" bestFit="1" customWidth="1"/>
    <col min="8211" max="8211" width="6.28515625" style="39" bestFit="1" customWidth="1"/>
    <col min="8212" max="8212" width="8.7109375" style="39" bestFit="1" customWidth="1"/>
    <col min="8213" max="8213" width="7.28515625" style="39" bestFit="1" customWidth="1"/>
    <col min="8214" max="8214" width="7.7109375" style="39" bestFit="1" customWidth="1"/>
    <col min="8215" max="8215" width="11.28515625" style="39" bestFit="1" customWidth="1"/>
    <col min="8216" max="8217" width="9.7109375" style="39" bestFit="1" customWidth="1"/>
    <col min="8218" max="8218" width="7.7109375" style="39" bestFit="1" customWidth="1"/>
    <col min="8219" max="8219" width="5.28515625" style="39" bestFit="1" customWidth="1"/>
    <col min="8220" max="8220" width="7.7109375" style="39" bestFit="1" customWidth="1"/>
    <col min="8221" max="8222" width="4.28515625" style="39" bestFit="1" customWidth="1"/>
    <col min="8223" max="8223" width="11.28515625" style="39" bestFit="1" customWidth="1"/>
    <col min="8224" max="8224" width="8.7109375" style="39" bestFit="1" customWidth="1"/>
    <col min="8225" max="8225" width="6.28515625" style="39" bestFit="1" customWidth="1"/>
    <col min="8226" max="8448" width="6.85546875" style="39"/>
    <col min="8449" max="8449" width="31" style="39" bestFit="1" customWidth="1"/>
    <col min="8450" max="8450" width="19.85546875" style="39" bestFit="1" customWidth="1"/>
    <col min="8451" max="8451" width="34.7109375" style="39" bestFit="1" customWidth="1"/>
    <col min="8452" max="8452" width="20.140625" style="39" bestFit="1" customWidth="1"/>
    <col min="8453" max="8453" width="11.28515625" style="39" bestFit="1" customWidth="1"/>
    <col min="8454" max="8454" width="8.7109375" style="39" bestFit="1" customWidth="1"/>
    <col min="8455" max="8455" width="9.7109375" style="39" bestFit="1" customWidth="1"/>
    <col min="8456" max="8456" width="6.28515625" style="39" bestFit="1" customWidth="1"/>
    <col min="8457" max="8457" width="9.7109375" style="39" bestFit="1" customWidth="1"/>
    <col min="8458" max="8458" width="11.28515625" style="39" bestFit="1" customWidth="1"/>
    <col min="8459" max="8459" width="5.28515625" style="39" bestFit="1" customWidth="1"/>
    <col min="8460" max="8460" width="7.28515625" style="39" bestFit="1" customWidth="1"/>
    <col min="8461" max="8461" width="8.7109375" style="39" bestFit="1" customWidth="1"/>
    <col min="8462" max="8462" width="9.7109375" style="39" bestFit="1" customWidth="1"/>
    <col min="8463" max="8463" width="5.28515625" style="39" bestFit="1" customWidth="1"/>
    <col min="8464" max="8466" width="9.7109375" style="39" bestFit="1" customWidth="1"/>
    <col min="8467" max="8467" width="6.28515625" style="39" bestFit="1" customWidth="1"/>
    <col min="8468" max="8468" width="8.7109375" style="39" bestFit="1" customWidth="1"/>
    <col min="8469" max="8469" width="7.28515625" style="39" bestFit="1" customWidth="1"/>
    <col min="8470" max="8470" width="7.7109375" style="39" bestFit="1" customWidth="1"/>
    <col min="8471" max="8471" width="11.28515625" style="39" bestFit="1" customWidth="1"/>
    <col min="8472" max="8473" width="9.7109375" style="39" bestFit="1" customWidth="1"/>
    <col min="8474" max="8474" width="7.7109375" style="39" bestFit="1" customWidth="1"/>
    <col min="8475" max="8475" width="5.28515625" style="39" bestFit="1" customWidth="1"/>
    <col min="8476" max="8476" width="7.7109375" style="39" bestFit="1" customWidth="1"/>
    <col min="8477" max="8478" width="4.28515625" style="39" bestFit="1" customWidth="1"/>
    <col min="8479" max="8479" width="11.28515625" style="39" bestFit="1" customWidth="1"/>
    <col min="8480" max="8480" width="8.7109375" style="39" bestFit="1" customWidth="1"/>
    <col min="8481" max="8481" width="6.28515625" style="39" bestFit="1" customWidth="1"/>
    <col min="8482" max="8704" width="6.85546875" style="39"/>
    <col min="8705" max="8705" width="31" style="39" bestFit="1" customWidth="1"/>
    <col min="8706" max="8706" width="19.85546875" style="39" bestFit="1" customWidth="1"/>
    <col min="8707" max="8707" width="34.7109375" style="39" bestFit="1" customWidth="1"/>
    <col min="8708" max="8708" width="20.140625" style="39" bestFit="1" customWidth="1"/>
    <col min="8709" max="8709" width="11.28515625" style="39" bestFit="1" customWidth="1"/>
    <col min="8710" max="8710" width="8.7109375" style="39" bestFit="1" customWidth="1"/>
    <col min="8711" max="8711" width="9.7109375" style="39" bestFit="1" customWidth="1"/>
    <col min="8712" max="8712" width="6.28515625" style="39" bestFit="1" customWidth="1"/>
    <col min="8713" max="8713" width="9.7109375" style="39" bestFit="1" customWidth="1"/>
    <col min="8714" max="8714" width="11.28515625" style="39" bestFit="1" customWidth="1"/>
    <col min="8715" max="8715" width="5.28515625" style="39" bestFit="1" customWidth="1"/>
    <col min="8716" max="8716" width="7.28515625" style="39" bestFit="1" customWidth="1"/>
    <col min="8717" max="8717" width="8.7109375" style="39" bestFit="1" customWidth="1"/>
    <col min="8718" max="8718" width="9.7109375" style="39" bestFit="1" customWidth="1"/>
    <col min="8719" max="8719" width="5.28515625" style="39" bestFit="1" customWidth="1"/>
    <col min="8720" max="8722" width="9.7109375" style="39" bestFit="1" customWidth="1"/>
    <col min="8723" max="8723" width="6.28515625" style="39" bestFit="1" customWidth="1"/>
    <col min="8724" max="8724" width="8.7109375" style="39" bestFit="1" customWidth="1"/>
    <col min="8725" max="8725" width="7.28515625" style="39" bestFit="1" customWidth="1"/>
    <col min="8726" max="8726" width="7.7109375" style="39" bestFit="1" customWidth="1"/>
    <col min="8727" max="8727" width="11.28515625" style="39" bestFit="1" customWidth="1"/>
    <col min="8728" max="8729" width="9.7109375" style="39" bestFit="1" customWidth="1"/>
    <col min="8730" max="8730" width="7.7109375" style="39" bestFit="1" customWidth="1"/>
    <col min="8731" max="8731" width="5.28515625" style="39" bestFit="1" customWidth="1"/>
    <col min="8732" max="8732" width="7.7109375" style="39" bestFit="1" customWidth="1"/>
    <col min="8733" max="8734" width="4.28515625" style="39" bestFit="1" customWidth="1"/>
    <col min="8735" max="8735" width="11.28515625" style="39" bestFit="1" customWidth="1"/>
    <col min="8736" max="8736" width="8.7109375" style="39" bestFit="1" customWidth="1"/>
    <col min="8737" max="8737" width="6.28515625" style="39" bestFit="1" customWidth="1"/>
    <col min="8738" max="8960" width="6.85546875" style="39"/>
    <col min="8961" max="8961" width="31" style="39" bestFit="1" customWidth="1"/>
    <col min="8962" max="8962" width="19.85546875" style="39" bestFit="1" customWidth="1"/>
    <col min="8963" max="8963" width="34.7109375" style="39" bestFit="1" customWidth="1"/>
    <col min="8964" max="8964" width="20.140625" style="39" bestFit="1" customWidth="1"/>
    <col min="8965" max="8965" width="11.28515625" style="39" bestFit="1" customWidth="1"/>
    <col min="8966" max="8966" width="8.7109375" style="39" bestFit="1" customWidth="1"/>
    <col min="8967" max="8967" width="9.7109375" style="39" bestFit="1" customWidth="1"/>
    <col min="8968" max="8968" width="6.28515625" style="39" bestFit="1" customWidth="1"/>
    <col min="8969" max="8969" width="9.7109375" style="39" bestFit="1" customWidth="1"/>
    <col min="8970" max="8970" width="11.28515625" style="39" bestFit="1" customWidth="1"/>
    <col min="8971" max="8971" width="5.28515625" style="39" bestFit="1" customWidth="1"/>
    <col min="8972" max="8972" width="7.28515625" style="39" bestFit="1" customWidth="1"/>
    <col min="8973" max="8973" width="8.7109375" style="39" bestFit="1" customWidth="1"/>
    <col min="8974" max="8974" width="9.7109375" style="39" bestFit="1" customWidth="1"/>
    <col min="8975" max="8975" width="5.28515625" style="39" bestFit="1" customWidth="1"/>
    <col min="8976" max="8978" width="9.7109375" style="39" bestFit="1" customWidth="1"/>
    <col min="8979" max="8979" width="6.28515625" style="39" bestFit="1" customWidth="1"/>
    <col min="8980" max="8980" width="8.7109375" style="39" bestFit="1" customWidth="1"/>
    <col min="8981" max="8981" width="7.28515625" style="39" bestFit="1" customWidth="1"/>
    <col min="8982" max="8982" width="7.7109375" style="39" bestFit="1" customWidth="1"/>
    <col min="8983" max="8983" width="11.28515625" style="39" bestFit="1" customWidth="1"/>
    <col min="8984" max="8985" width="9.7109375" style="39" bestFit="1" customWidth="1"/>
    <col min="8986" max="8986" width="7.7109375" style="39" bestFit="1" customWidth="1"/>
    <col min="8987" max="8987" width="5.28515625" style="39" bestFit="1" customWidth="1"/>
    <col min="8988" max="8988" width="7.7109375" style="39" bestFit="1" customWidth="1"/>
    <col min="8989" max="8990" width="4.28515625" style="39" bestFit="1" customWidth="1"/>
    <col min="8991" max="8991" width="11.28515625" style="39" bestFit="1" customWidth="1"/>
    <col min="8992" max="8992" width="8.7109375" style="39" bestFit="1" customWidth="1"/>
    <col min="8993" max="8993" width="6.28515625" style="39" bestFit="1" customWidth="1"/>
    <col min="8994" max="9216" width="6.85546875" style="39"/>
    <col min="9217" max="9217" width="31" style="39" bestFit="1" customWidth="1"/>
    <col min="9218" max="9218" width="19.85546875" style="39" bestFit="1" customWidth="1"/>
    <col min="9219" max="9219" width="34.7109375" style="39" bestFit="1" customWidth="1"/>
    <col min="9220" max="9220" width="20.140625" style="39" bestFit="1" customWidth="1"/>
    <col min="9221" max="9221" width="11.28515625" style="39" bestFit="1" customWidth="1"/>
    <col min="9222" max="9222" width="8.7109375" style="39" bestFit="1" customWidth="1"/>
    <col min="9223" max="9223" width="9.7109375" style="39" bestFit="1" customWidth="1"/>
    <col min="9224" max="9224" width="6.28515625" style="39" bestFit="1" customWidth="1"/>
    <col min="9225" max="9225" width="9.7109375" style="39" bestFit="1" customWidth="1"/>
    <col min="9226" max="9226" width="11.28515625" style="39" bestFit="1" customWidth="1"/>
    <col min="9227" max="9227" width="5.28515625" style="39" bestFit="1" customWidth="1"/>
    <col min="9228" max="9228" width="7.28515625" style="39" bestFit="1" customWidth="1"/>
    <col min="9229" max="9229" width="8.7109375" style="39" bestFit="1" customWidth="1"/>
    <col min="9230" max="9230" width="9.7109375" style="39" bestFit="1" customWidth="1"/>
    <col min="9231" max="9231" width="5.28515625" style="39" bestFit="1" customWidth="1"/>
    <col min="9232" max="9234" width="9.7109375" style="39" bestFit="1" customWidth="1"/>
    <col min="9235" max="9235" width="6.28515625" style="39" bestFit="1" customWidth="1"/>
    <col min="9236" max="9236" width="8.7109375" style="39" bestFit="1" customWidth="1"/>
    <col min="9237" max="9237" width="7.28515625" style="39" bestFit="1" customWidth="1"/>
    <col min="9238" max="9238" width="7.7109375" style="39" bestFit="1" customWidth="1"/>
    <col min="9239" max="9239" width="11.28515625" style="39" bestFit="1" customWidth="1"/>
    <col min="9240" max="9241" width="9.7109375" style="39" bestFit="1" customWidth="1"/>
    <col min="9242" max="9242" width="7.7109375" style="39" bestFit="1" customWidth="1"/>
    <col min="9243" max="9243" width="5.28515625" style="39" bestFit="1" customWidth="1"/>
    <col min="9244" max="9244" width="7.7109375" style="39" bestFit="1" customWidth="1"/>
    <col min="9245" max="9246" width="4.28515625" style="39" bestFit="1" customWidth="1"/>
    <col min="9247" max="9247" width="11.28515625" style="39" bestFit="1" customWidth="1"/>
    <col min="9248" max="9248" width="8.7109375" style="39" bestFit="1" customWidth="1"/>
    <col min="9249" max="9249" width="6.28515625" style="39" bestFit="1" customWidth="1"/>
    <col min="9250" max="9472" width="6.85546875" style="39"/>
    <col min="9473" max="9473" width="31" style="39" bestFit="1" customWidth="1"/>
    <col min="9474" max="9474" width="19.85546875" style="39" bestFit="1" customWidth="1"/>
    <col min="9475" max="9475" width="34.7109375" style="39" bestFit="1" customWidth="1"/>
    <col min="9476" max="9476" width="20.140625" style="39" bestFit="1" customWidth="1"/>
    <col min="9477" max="9477" width="11.28515625" style="39" bestFit="1" customWidth="1"/>
    <col min="9478" max="9478" width="8.7109375" style="39" bestFit="1" customWidth="1"/>
    <col min="9479" max="9479" width="9.7109375" style="39" bestFit="1" customWidth="1"/>
    <col min="9480" max="9480" width="6.28515625" style="39" bestFit="1" customWidth="1"/>
    <col min="9481" max="9481" width="9.7109375" style="39" bestFit="1" customWidth="1"/>
    <col min="9482" max="9482" width="11.28515625" style="39" bestFit="1" customWidth="1"/>
    <col min="9483" max="9483" width="5.28515625" style="39" bestFit="1" customWidth="1"/>
    <col min="9484" max="9484" width="7.28515625" style="39" bestFit="1" customWidth="1"/>
    <col min="9485" max="9485" width="8.7109375" style="39" bestFit="1" customWidth="1"/>
    <col min="9486" max="9486" width="9.7109375" style="39" bestFit="1" customWidth="1"/>
    <col min="9487" max="9487" width="5.28515625" style="39" bestFit="1" customWidth="1"/>
    <col min="9488" max="9490" width="9.7109375" style="39" bestFit="1" customWidth="1"/>
    <col min="9491" max="9491" width="6.28515625" style="39" bestFit="1" customWidth="1"/>
    <col min="9492" max="9492" width="8.7109375" style="39" bestFit="1" customWidth="1"/>
    <col min="9493" max="9493" width="7.28515625" style="39" bestFit="1" customWidth="1"/>
    <col min="9494" max="9494" width="7.7109375" style="39" bestFit="1" customWidth="1"/>
    <col min="9495" max="9495" width="11.28515625" style="39" bestFit="1" customWidth="1"/>
    <col min="9496" max="9497" width="9.7109375" style="39" bestFit="1" customWidth="1"/>
    <col min="9498" max="9498" width="7.7109375" style="39" bestFit="1" customWidth="1"/>
    <col min="9499" max="9499" width="5.28515625" style="39" bestFit="1" customWidth="1"/>
    <col min="9500" max="9500" width="7.7109375" style="39" bestFit="1" customWidth="1"/>
    <col min="9501" max="9502" width="4.28515625" style="39" bestFit="1" customWidth="1"/>
    <col min="9503" max="9503" width="11.28515625" style="39" bestFit="1" customWidth="1"/>
    <col min="9504" max="9504" width="8.7109375" style="39" bestFit="1" customWidth="1"/>
    <col min="9505" max="9505" width="6.28515625" style="39" bestFit="1" customWidth="1"/>
    <col min="9506" max="9728" width="6.85546875" style="39"/>
    <col min="9729" max="9729" width="31" style="39" bestFit="1" customWidth="1"/>
    <col min="9730" max="9730" width="19.85546875" style="39" bestFit="1" customWidth="1"/>
    <col min="9731" max="9731" width="34.7109375" style="39" bestFit="1" customWidth="1"/>
    <col min="9732" max="9732" width="20.140625" style="39" bestFit="1" customWidth="1"/>
    <col min="9733" max="9733" width="11.28515625" style="39" bestFit="1" customWidth="1"/>
    <col min="9734" max="9734" width="8.7109375" style="39" bestFit="1" customWidth="1"/>
    <col min="9735" max="9735" width="9.7109375" style="39" bestFit="1" customWidth="1"/>
    <col min="9736" max="9736" width="6.28515625" style="39" bestFit="1" customWidth="1"/>
    <col min="9737" max="9737" width="9.7109375" style="39" bestFit="1" customWidth="1"/>
    <col min="9738" max="9738" width="11.28515625" style="39" bestFit="1" customWidth="1"/>
    <col min="9739" max="9739" width="5.28515625" style="39" bestFit="1" customWidth="1"/>
    <col min="9740" max="9740" width="7.28515625" style="39" bestFit="1" customWidth="1"/>
    <col min="9741" max="9741" width="8.7109375" style="39" bestFit="1" customWidth="1"/>
    <col min="9742" max="9742" width="9.7109375" style="39" bestFit="1" customWidth="1"/>
    <col min="9743" max="9743" width="5.28515625" style="39" bestFit="1" customWidth="1"/>
    <col min="9744" max="9746" width="9.7109375" style="39" bestFit="1" customWidth="1"/>
    <col min="9747" max="9747" width="6.28515625" style="39" bestFit="1" customWidth="1"/>
    <col min="9748" max="9748" width="8.7109375" style="39" bestFit="1" customWidth="1"/>
    <col min="9749" max="9749" width="7.28515625" style="39" bestFit="1" customWidth="1"/>
    <col min="9750" max="9750" width="7.7109375" style="39" bestFit="1" customWidth="1"/>
    <col min="9751" max="9751" width="11.28515625" style="39" bestFit="1" customWidth="1"/>
    <col min="9752" max="9753" width="9.7109375" style="39" bestFit="1" customWidth="1"/>
    <col min="9754" max="9754" width="7.7109375" style="39" bestFit="1" customWidth="1"/>
    <col min="9755" max="9755" width="5.28515625" style="39" bestFit="1" customWidth="1"/>
    <col min="9756" max="9756" width="7.7109375" style="39" bestFit="1" customWidth="1"/>
    <col min="9757" max="9758" width="4.28515625" style="39" bestFit="1" customWidth="1"/>
    <col min="9759" max="9759" width="11.28515625" style="39" bestFit="1" customWidth="1"/>
    <col min="9760" max="9760" width="8.7109375" style="39" bestFit="1" customWidth="1"/>
    <col min="9761" max="9761" width="6.28515625" style="39" bestFit="1" customWidth="1"/>
    <col min="9762" max="9984" width="6.85546875" style="39"/>
    <col min="9985" max="9985" width="31" style="39" bestFit="1" customWidth="1"/>
    <col min="9986" max="9986" width="19.85546875" style="39" bestFit="1" customWidth="1"/>
    <col min="9987" max="9987" width="34.7109375" style="39" bestFit="1" customWidth="1"/>
    <col min="9988" max="9988" width="20.140625" style="39" bestFit="1" customWidth="1"/>
    <col min="9989" max="9989" width="11.28515625" style="39" bestFit="1" customWidth="1"/>
    <col min="9990" max="9990" width="8.7109375" style="39" bestFit="1" customWidth="1"/>
    <col min="9991" max="9991" width="9.7109375" style="39" bestFit="1" customWidth="1"/>
    <col min="9992" max="9992" width="6.28515625" style="39" bestFit="1" customWidth="1"/>
    <col min="9993" max="9993" width="9.7109375" style="39" bestFit="1" customWidth="1"/>
    <col min="9994" max="9994" width="11.28515625" style="39" bestFit="1" customWidth="1"/>
    <col min="9995" max="9995" width="5.28515625" style="39" bestFit="1" customWidth="1"/>
    <col min="9996" max="9996" width="7.28515625" style="39" bestFit="1" customWidth="1"/>
    <col min="9997" max="9997" width="8.7109375" style="39" bestFit="1" customWidth="1"/>
    <col min="9998" max="9998" width="9.7109375" style="39" bestFit="1" customWidth="1"/>
    <col min="9999" max="9999" width="5.28515625" style="39" bestFit="1" customWidth="1"/>
    <col min="10000" max="10002" width="9.7109375" style="39" bestFit="1" customWidth="1"/>
    <col min="10003" max="10003" width="6.28515625" style="39" bestFit="1" customWidth="1"/>
    <col min="10004" max="10004" width="8.7109375" style="39" bestFit="1" customWidth="1"/>
    <col min="10005" max="10005" width="7.28515625" style="39" bestFit="1" customWidth="1"/>
    <col min="10006" max="10006" width="7.7109375" style="39" bestFit="1" customWidth="1"/>
    <col min="10007" max="10007" width="11.28515625" style="39" bestFit="1" customWidth="1"/>
    <col min="10008" max="10009" width="9.7109375" style="39" bestFit="1" customWidth="1"/>
    <col min="10010" max="10010" width="7.7109375" style="39" bestFit="1" customWidth="1"/>
    <col min="10011" max="10011" width="5.28515625" style="39" bestFit="1" customWidth="1"/>
    <col min="10012" max="10012" width="7.7109375" style="39" bestFit="1" customWidth="1"/>
    <col min="10013" max="10014" width="4.28515625" style="39" bestFit="1" customWidth="1"/>
    <col min="10015" max="10015" width="11.28515625" style="39" bestFit="1" customWidth="1"/>
    <col min="10016" max="10016" width="8.7109375" style="39" bestFit="1" customWidth="1"/>
    <col min="10017" max="10017" width="6.28515625" style="39" bestFit="1" customWidth="1"/>
    <col min="10018" max="10240" width="6.85546875" style="39"/>
    <col min="10241" max="10241" width="31" style="39" bestFit="1" customWidth="1"/>
    <col min="10242" max="10242" width="19.85546875" style="39" bestFit="1" customWidth="1"/>
    <col min="10243" max="10243" width="34.7109375" style="39" bestFit="1" customWidth="1"/>
    <col min="10244" max="10244" width="20.140625" style="39" bestFit="1" customWidth="1"/>
    <col min="10245" max="10245" width="11.28515625" style="39" bestFit="1" customWidth="1"/>
    <col min="10246" max="10246" width="8.7109375" style="39" bestFit="1" customWidth="1"/>
    <col min="10247" max="10247" width="9.7109375" style="39" bestFit="1" customWidth="1"/>
    <col min="10248" max="10248" width="6.28515625" style="39" bestFit="1" customWidth="1"/>
    <col min="10249" max="10249" width="9.7109375" style="39" bestFit="1" customWidth="1"/>
    <col min="10250" max="10250" width="11.28515625" style="39" bestFit="1" customWidth="1"/>
    <col min="10251" max="10251" width="5.28515625" style="39" bestFit="1" customWidth="1"/>
    <col min="10252" max="10252" width="7.28515625" style="39" bestFit="1" customWidth="1"/>
    <col min="10253" max="10253" width="8.7109375" style="39" bestFit="1" customWidth="1"/>
    <col min="10254" max="10254" width="9.7109375" style="39" bestFit="1" customWidth="1"/>
    <col min="10255" max="10255" width="5.28515625" style="39" bestFit="1" customWidth="1"/>
    <col min="10256" max="10258" width="9.7109375" style="39" bestFit="1" customWidth="1"/>
    <col min="10259" max="10259" width="6.28515625" style="39" bestFit="1" customWidth="1"/>
    <col min="10260" max="10260" width="8.7109375" style="39" bestFit="1" customWidth="1"/>
    <col min="10261" max="10261" width="7.28515625" style="39" bestFit="1" customWidth="1"/>
    <col min="10262" max="10262" width="7.7109375" style="39" bestFit="1" customWidth="1"/>
    <col min="10263" max="10263" width="11.28515625" style="39" bestFit="1" customWidth="1"/>
    <col min="10264" max="10265" width="9.7109375" style="39" bestFit="1" customWidth="1"/>
    <col min="10266" max="10266" width="7.7109375" style="39" bestFit="1" customWidth="1"/>
    <col min="10267" max="10267" width="5.28515625" style="39" bestFit="1" customWidth="1"/>
    <col min="10268" max="10268" width="7.7109375" style="39" bestFit="1" customWidth="1"/>
    <col min="10269" max="10270" width="4.28515625" style="39" bestFit="1" customWidth="1"/>
    <col min="10271" max="10271" width="11.28515625" style="39" bestFit="1" customWidth="1"/>
    <col min="10272" max="10272" width="8.7109375" style="39" bestFit="1" customWidth="1"/>
    <col min="10273" max="10273" width="6.28515625" style="39" bestFit="1" customWidth="1"/>
    <col min="10274" max="10496" width="6.85546875" style="39"/>
    <col min="10497" max="10497" width="31" style="39" bestFit="1" customWidth="1"/>
    <col min="10498" max="10498" width="19.85546875" style="39" bestFit="1" customWidth="1"/>
    <col min="10499" max="10499" width="34.7109375" style="39" bestFit="1" customWidth="1"/>
    <col min="10500" max="10500" width="20.140625" style="39" bestFit="1" customWidth="1"/>
    <col min="10501" max="10501" width="11.28515625" style="39" bestFit="1" customWidth="1"/>
    <col min="10502" max="10502" width="8.7109375" style="39" bestFit="1" customWidth="1"/>
    <col min="10503" max="10503" width="9.7109375" style="39" bestFit="1" customWidth="1"/>
    <col min="10504" max="10504" width="6.28515625" style="39" bestFit="1" customWidth="1"/>
    <col min="10505" max="10505" width="9.7109375" style="39" bestFit="1" customWidth="1"/>
    <col min="10506" max="10506" width="11.28515625" style="39" bestFit="1" customWidth="1"/>
    <col min="10507" max="10507" width="5.28515625" style="39" bestFit="1" customWidth="1"/>
    <col min="10508" max="10508" width="7.28515625" style="39" bestFit="1" customWidth="1"/>
    <col min="10509" max="10509" width="8.7109375" style="39" bestFit="1" customWidth="1"/>
    <col min="10510" max="10510" width="9.7109375" style="39" bestFit="1" customWidth="1"/>
    <col min="10511" max="10511" width="5.28515625" style="39" bestFit="1" customWidth="1"/>
    <col min="10512" max="10514" width="9.7109375" style="39" bestFit="1" customWidth="1"/>
    <col min="10515" max="10515" width="6.28515625" style="39" bestFit="1" customWidth="1"/>
    <col min="10516" max="10516" width="8.7109375" style="39" bestFit="1" customWidth="1"/>
    <col min="10517" max="10517" width="7.28515625" style="39" bestFit="1" customWidth="1"/>
    <col min="10518" max="10518" width="7.7109375" style="39" bestFit="1" customWidth="1"/>
    <col min="10519" max="10519" width="11.28515625" style="39" bestFit="1" customWidth="1"/>
    <col min="10520" max="10521" width="9.7109375" style="39" bestFit="1" customWidth="1"/>
    <col min="10522" max="10522" width="7.7109375" style="39" bestFit="1" customWidth="1"/>
    <col min="10523" max="10523" width="5.28515625" style="39" bestFit="1" customWidth="1"/>
    <col min="10524" max="10524" width="7.7109375" style="39" bestFit="1" customWidth="1"/>
    <col min="10525" max="10526" width="4.28515625" style="39" bestFit="1" customWidth="1"/>
    <col min="10527" max="10527" width="11.28515625" style="39" bestFit="1" customWidth="1"/>
    <col min="10528" max="10528" width="8.7109375" style="39" bestFit="1" customWidth="1"/>
    <col min="10529" max="10529" width="6.28515625" style="39" bestFit="1" customWidth="1"/>
    <col min="10530" max="10752" width="6.85546875" style="39"/>
    <col min="10753" max="10753" width="31" style="39" bestFit="1" customWidth="1"/>
    <col min="10754" max="10754" width="19.85546875" style="39" bestFit="1" customWidth="1"/>
    <col min="10755" max="10755" width="34.7109375" style="39" bestFit="1" customWidth="1"/>
    <col min="10756" max="10756" width="20.140625" style="39" bestFit="1" customWidth="1"/>
    <col min="10757" max="10757" width="11.28515625" style="39" bestFit="1" customWidth="1"/>
    <col min="10758" max="10758" width="8.7109375" style="39" bestFit="1" customWidth="1"/>
    <col min="10759" max="10759" width="9.7109375" style="39" bestFit="1" customWidth="1"/>
    <col min="10760" max="10760" width="6.28515625" style="39" bestFit="1" customWidth="1"/>
    <col min="10761" max="10761" width="9.7109375" style="39" bestFit="1" customWidth="1"/>
    <col min="10762" max="10762" width="11.28515625" style="39" bestFit="1" customWidth="1"/>
    <col min="10763" max="10763" width="5.28515625" style="39" bestFit="1" customWidth="1"/>
    <col min="10764" max="10764" width="7.28515625" style="39" bestFit="1" customWidth="1"/>
    <col min="10765" max="10765" width="8.7109375" style="39" bestFit="1" customWidth="1"/>
    <col min="10766" max="10766" width="9.7109375" style="39" bestFit="1" customWidth="1"/>
    <col min="10767" max="10767" width="5.28515625" style="39" bestFit="1" customWidth="1"/>
    <col min="10768" max="10770" width="9.7109375" style="39" bestFit="1" customWidth="1"/>
    <col min="10771" max="10771" width="6.28515625" style="39" bestFit="1" customWidth="1"/>
    <col min="10772" max="10772" width="8.7109375" style="39" bestFit="1" customWidth="1"/>
    <col min="10773" max="10773" width="7.28515625" style="39" bestFit="1" customWidth="1"/>
    <col min="10774" max="10774" width="7.7109375" style="39" bestFit="1" customWidth="1"/>
    <col min="10775" max="10775" width="11.28515625" style="39" bestFit="1" customWidth="1"/>
    <col min="10776" max="10777" width="9.7109375" style="39" bestFit="1" customWidth="1"/>
    <col min="10778" max="10778" width="7.7109375" style="39" bestFit="1" customWidth="1"/>
    <col min="10779" max="10779" width="5.28515625" style="39" bestFit="1" customWidth="1"/>
    <col min="10780" max="10780" width="7.7109375" style="39" bestFit="1" customWidth="1"/>
    <col min="10781" max="10782" width="4.28515625" style="39" bestFit="1" customWidth="1"/>
    <col min="10783" max="10783" width="11.28515625" style="39" bestFit="1" customWidth="1"/>
    <col min="10784" max="10784" width="8.7109375" style="39" bestFit="1" customWidth="1"/>
    <col min="10785" max="10785" width="6.28515625" style="39" bestFit="1" customWidth="1"/>
    <col min="10786" max="11008" width="6.85546875" style="39"/>
    <col min="11009" max="11009" width="31" style="39" bestFit="1" customWidth="1"/>
    <col min="11010" max="11010" width="19.85546875" style="39" bestFit="1" customWidth="1"/>
    <col min="11011" max="11011" width="34.7109375" style="39" bestFit="1" customWidth="1"/>
    <col min="11012" max="11012" width="20.140625" style="39" bestFit="1" customWidth="1"/>
    <col min="11013" max="11013" width="11.28515625" style="39" bestFit="1" customWidth="1"/>
    <col min="11014" max="11014" width="8.7109375" style="39" bestFit="1" customWidth="1"/>
    <col min="11015" max="11015" width="9.7109375" style="39" bestFit="1" customWidth="1"/>
    <col min="11016" max="11016" width="6.28515625" style="39" bestFit="1" customWidth="1"/>
    <col min="11017" max="11017" width="9.7109375" style="39" bestFit="1" customWidth="1"/>
    <col min="11018" max="11018" width="11.28515625" style="39" bestFit="1" customWidth="1"/>
    <col min="11019" max="11019" width="5.28515625" style="39" bestFit="1" customWidth="1"/>
    <col min="11020" max="11020" width="7.28515625" style="39" bestFit="1" customWidth="1"/>
    <col min="11021" max="11021" width="8.7109375" style="39" bestFit="1" customWidth="1"/>
    <col min="11022" max="11022" width="9.7109375" style="39" bestFit="1" customWidth="1"/>
    <col min="11023" max="11023" width="5.28515625" style="39" bestFit="1" customWidth="1"/>
    <col min="11024" max="11026" width="9.7109375" style="39" bestFit="1" customWidth="1"/>
    <col min="11027" max="11027" width="6.28515625" style="39" bestFit="1" customWidth="1"/>
    <col min="11028" max="11028" width="8.7109375" style="39" bestFit="1" customWidth="1"/>
    <col min="11029" max="11029" width="7.28515625" style="39" bestFit="1" customWidth="1"/>
    <col min="11030" max="11030" width="7.7109375" style="39" bestFit="1" customWidth="1"/>
    <col min="11031" max="11031" width="11.28515625" style="39" bestFit="1" customWidth="1"/>
    <col min="11032" max="11033" width="9.7109375" style="39" bestFit="1" customWidth="1"/>
    <col min="11034" max="11034" width="7.7109375" style="39" bestFit="1" customWidth="1"/>
    <col min="11035" max="11035" width="5.28515625" style="39" bestFit="1" customWidth="1"/>
    <col min="11036" max="11036" width="7.7109375" style="39" bestFit="1" customWidth="1"/>
    <col min="11037" max="11038" width="4.28515625" style="39" bestFit="1" customWidth="1"/>
    <col min="11039" max="11039" width="11.28515625" style="39" bestFit="1" customWidth="1"/>
    <col min="11040" max="11040" width="8.7109375" style="39" bestFit="1" customWidth="1"/>
    <col min="11041" max="11041" width="6.28515625" style="39" bestFit="1" customWidth="1"/>
    <col min="11042" max="11264" width="6.85546875" style="39"/>
    <col min="11265" max="11265" width="31" style="39" bestFit="1" customWidth="1"/>
    <col min="11266" max="11266" width="19.85546875" style="39" bestFit="1" customWidth="1"/>
    <col min="11267" max="11267" width="34.7109375" style="39" bestFit="1" customWidth="1"/>
    <col min="11268" max="11268" width="20.140625" style="39" bestFit="1" customWidth="1"/>
    <col min="11269" max="11269" width="11.28515625" style="39" bestFit="1" customWidth="1"/>
    <col min="11270" max="11270" width="8.7109375" style="39" bestFit="1" customWidth="1"/>
    <col min="11271" max="11271" width="9.7109375" style="39" bestFit="1" customWidth="1"/>
    <col min="11272" max="11272" width="6.28515625" style="39" bestFit="1" customWidth="1"/>
    <col min="11273" max="11273" width="9.7109375" style="39" bestFit="1" customWidth="1"/>
    <col min="11274" max="11274" width="11.28515625" style="39" bestFit="1" customWidth="1"/>
    <col min="11275" max="11275" width="5.28515625" style="39" bestFit="1" customWidth="1"/>
    <col min="11276" max="11276" width="7.28515625" style="39" bestFit="1" customWidth="1"/>
    <col min="11277" max="11277" width="8.7109375" style="39" bestFit="1" customWidth="1"/>
    <col min="11278" max="11278" width="9.7109375" style="39" bestFit="1" customWidth="1"/>
    <col min="11279" max="11279" width="5.28515625" style="39" bestFit="1" customWidth="1"/>
    <col min="11280" max="11282" width="9.7109375" style="39" bestFit="1" customWidth="1"/>
    <col min="11283" max="11283" width="6.28515625" style="39" bestFit="1" customWidth="1"/>
    <col min="11284" max="11284" width="8.7109375" style="39" bestFit="1" customWidth="1"/>
    <col min="11285" max="11285" width="7.28515625" style="39" bestFit="1" customWidth="1"/>
    <col min="11286" max="11286" width="7.7109375" style="39" bestFit="1" customWidth="1"/>
    <col min="11287" max="11287" width="11.28515625" style="39" bestFit="1" customWidth="1"/>
    <col min="11288" max="11289" width="9.7109375" style="39" bestFit="1" customWidth="1"/>
    <col min="11290" max="11290" width="7.7109375" style="39" bestFit="1" customWidth="1"/>
    <col min="11291" max="11291" width="5.28515625" style="39" bestFit="1" customWidth="1"/>
    <col min="11292" max="11292" width="7.7109375" style="39" bestFit="1" customWidth="1"/>
    <col min="11293" max="11294" width="4.28515625" style="39" bestFit="1" customWidth="1"/>
    <col min="11295" max="11295" width="11.28515625" style="39" bestFit="1" customWidth="1"/>
    <col min="11296" max="11296" width="8.7109375" style="39" bestFit="1" customWidth="1"/>
    <col min="11297" max="11297" width="6.28515625" style="39" bestFit="1" customWidth="1"/>
    <col min="11298" max="11520" width="6.85546875" style="39"/>
    <col min="11521" max="11521" width="31" style="39" bestFit="1" customWidth="1"/>
    <col min="11522" max="11522" width="19.85546875" style="39" bestFit="1" customWidth="1"/>
    <col min="11523" max="11523" width="34.7109375" style="39" bestFit="1" customWidth="1"/>
    <col min="11524" max="11524" width="20.140625" style="39" bestFit="1" customWidth="1"/>
    <col min="11525" max="11525" width="11.28515625" style="39" bestFit="1" customWidth="1"/>
    <col min="11526" max="11526" width="8.7109375" style="39" bestFit="1" customWidth="1"/>
    <col min="11527" max="11527" width="9.7109375" style="39" bestFit="1" customWidth="1"/>
    <col min="11528" max="11528" width="6.28515625" style="39" bestFit="1" customWidth="1"/>
    <col min="11529" max="11529" width="9.7109375" style="39" bestFit="1" customWidth="1"/>
    <col min="11530" max="11530" width="11.28515625" style="39" bestFit="1" customWidth="1"/>
    <col min="11531" max="11531" width="5.28515625" style="39" bestFit="1" customWidth="1"/>
    <col min="11532" max="11532" width="7.28515625" style="39" bestFit="1" customWidth="1"/>
    <col min="11533" max="11533" width="8.7109375" style="39" bestFit="1" customWidth="1"/>
    <col min="11534" max="11534" width="9.7109375" style="39" bestFit="1" customWidth="1"/>
    <col min="11535" max="11535" width="5.28515625" style="39" bestFit="1" customWidth="1"/>
    <col min="11536" max="11538" width="9.7109375" style="39" bestFit="1" customWidth="1"/>
    <col min="11539" max="11539" width="6.28515625" style="39" bestFit="1" customWidth="1"/>
    <col min="11540" max="11540" width="8.7109375" style="39" bestFit="1" customWidth="1"/>
    <col min="11541" max="11541" width="7.28515625" style="39" bestFit="1" customWidth="1"/>
    <col min="11542" max="11542" width="7.7109375" style="39" bestFit="1" customWidth="1"/>
    <col min="11543" max="11543" width="11.28515625" style="39" bestFit="1" customWidth="1"/>
    <col min="11544" max="11545" width="9.7109375" style="39" bestFit="1" customWidth="1"/>
    <col min="11546" max="11546" width="7.7109375" style="39" bestFit="1" customWidth="1"/>
    <col min="11547" max="11547" width="5.28515625" style="39" bestFit="1" customWidth="1"/>
    <col min="11548" max="11548" width="7.7109375" style="39" bestFit="1" customWidth="1"/>
    <col min="11549" max="11550" width="4.28515625" style="39" bestFit="1" customWidth="1"/>
    <col min="11551" max="11551" width="11.28515625" style="39" bestFit="1" customWidth="1"/>
    <col min="11552" max="11552" width="8.7109375" style="39" bestFit="1" customWidth="1"/>
    <col min="11553" max="11553" width="6.28515625" style="39" bestFit="1" customWidth="1"/>
    <col min="11554" max="11776" width="6.85546875" style="39"/>
    <col min="11777" max="11777" width="31" style="39" bestFit="1" customWidth="1"/>
    <col min="11778" max="11778" width="19.85546875" style="39" bestFit="1" customWidth="1"/>
    <col min="11779" max="11779" width="34.7109375" style="39" bestFit="1" customWidth="1"/>
    <col min="11780" max="11780" width="20.140625" style="39" bestFit="1" customWidth="1"/>
    <col min="11781" max="11781" width="11.28515625" style="39" bestFit="1" customWidth="1"/>
    <col min="11782" max="11782" width="8.7109375" style="39" bestFit="1" customWidth="1"/>
    <col min="11783" max="11783" width="9.7109375" style="39" bestFit="1" customWidth="1"/>
    <col min="11784" max="11784" width="6.28515625" style="39" bestFit="1" customWidth="1"/>
    <col min="11785" max="11785" width="9.7109375" style="39" bestFit="1" customWidth="1"/>
    <col min="11786" max="11786" width="11.28515625" style="39" bestFit="1" customWidth="1"/>
    <col min="11787" max="11787" width="5.28515625" style="39" bestFit="1" customWidth="1"/>
    <col min="11788" max="11788" width="7.28515625" style="39" bestFit="1" customWidth="1"/>
    <col min="11789" max="11789" width="8.7109375" style="39" bestFit="1" customWidth="1"/>
    <col min="11790" max="11790" width="9.7109375" style="39" bestFit="1" customWidth="1"/>
    <col min="11791" max="11791" width="5.28515625" style="39" bestFit="1" customWidth="1"/>
    <col min="11792" max="11794" width="9.7109375" style="39" bestFit="1" customWidth="1"/>
    <col min="11795" max="11795" width="6.28515625" style="39" bestFit="1" customWidth="1"/>
    <col min="11796" max="11796" width="8.7109375" style="39" bestFit="1" customWidth="1"/>
    <col min="11797" max="11797" width="7.28515625" style="39" bestFit="1" customWidth="1"/>
    <col min="11798" max="11798" width="7.7109375" style="39" bestFit="1" customWidth="1"/>
    <col min="11799" max="11799" width="11.28515625" style="39" bestFit="1" customWidth="1"/>
    <col min="11800" max="11801" width="9.7109375" style="39" bestFit="1" customWidth="1"/>
    <col min="11802" max="11802" width="7.7109375" style="39" bestFit="1" customWidth="1"/>
    <col min="11803" max="11803" width="5.28515625" style="39" bestFit="1" customWidth="1"/>
    <col min="11804" max="11804" width="7.7109375" style="39" bestFit="1" customWidth="1"/>
    <col min="11805" max="11806" width="4.28515625" style="39" bestFit="1" customWidth="1"/>
    <col min="11807" max="11807" width="11.28515625" style="39" bestFit="1" customWidth="1"/>
    <col min="11808" max="11808" width="8.7109375" style="39" bestFit="1" customWidth="1"/>
    <col min="11809" max="11809" width="6.28515625" style="39" bestFit="1" customWidth="1"/>
    <col min="11810" max="12032" width="6.85546875" style="39"/>
    <col min="12033" max="12033" width="31" style="39" bestFit="1" customWidth="1"/>
    <col min="12034" max="12034" width="19.85546875" style="39" bestFit="1" customWidth="1"/>
    <col min="12035" max="12035" width="34.7109375" style="39" bestFit="1" customWidth="1"/>
    <col min="12036" max="12036" width="20.140625" style="39" bestFit="1" customWidth="1"/>
    <col min="12037" max="12037" width="11.28515625" style="39" bestFit="1" customWidth="1"/>
    <col min="12038" max="12038" width="8.7109375" style="39" bestFit="1" customWidth="1"/>
    <col min="12039" max="12039" width="9.7109375" style="39" bestFit="1" customWidth="1"/>
    <col min="12040" max="12040" width="6.28515625" style="39" bestFit="1" customWidth="1"/>
    <col min="12041" max="12041" width="9.7109375" style="39" bestFit="1" customWidth="1"/>
    <col min="12042" max="12042" width="11.28515625" style="39" bestFit="1" customWidth="1"/>
    <col min="12043" max="12043" width="5.28515625" style="39" bestFit="1" customWidth="1"/>
    <col min="12044" max="12044" width="7.28515625" style="39" bestFit="1" customWidth="1"/>
    <col min="12045" max="12045" width="8.7109375" style="39" bestFit="1" customWidth="1"/>
    <col min="12046" max="12046" width="9.7109375" style="39" bestFit="1" customWidth="1"/>
    <col min="12047" max="12047" width="5.28515625" style="39" bestFit="1" customWidth="1"/>
    <col min="12048" max="12050" width="9.7109375" style="39" bestFit="1" customWidth="1"/>
    <col min="12051" max="12051" width="6.28515625" style="39" bestFit="1" customWidth="1"/>
    <col min="12052" max="12052" width="8.7109375" style="39" bestFit="1" customWidth="1"/>
    <col min="12053" max="12053" width="7.28515625" style="39" bestFit="1" customWidth="1"/>
    <col min="12054" max="12054" width="7.7109375" style="39" bestFit="1" customWidth="1"/>
    <col min="12055" max="12055" width="11.28515625" style="39" bestFit="1" customWidth="1"/>
    <col min="12056" max="12057" width="9.7109375" style="39" bestFit="1" customWidth="1"/>
    <col min="12058" max="12058" width="7.7109375" style="39" bestFit="1" customWidth="1"/>
    <col min="12059" max="12059" width="5.28515625" style="39" bestFit="1" customWidth="1"/>
    <col min="12060" max="12060" width="7.7109375" style="39" bestFit="1" customWidth="1"/>
    <col min="12061" max="12062" width="4.28515625" style="39" bestFit="1" customWidth="1"/>
    <col min="12063" max="12063" width="11.28515625" style="39" bestFit="1" customWidth="1"/>
    <col min="12064" max="12064" width="8.7109375" style="39" bestFit="1" customWidth="1"/>
    <col min="12065" max="12065" width="6.28515625" style="39" bestFit="1" customWidth="1"/>
    <col min="12066" max="12288" width="6.85546875" style="39"/>
    <col min="12289" max="12289" width="31" style="39" bestFit="1" customWidth="1"/>
    <col min="12290" max="12290" width="19.85546875" style="39" bestFit="1" customWidth="1"/>
    <col min="12291" max="12291" width="34.7109375" style="39" bestFit="1" customWidth="1"/>
    <col min="12292" max="12292" width="20.140625" style="39" bestFit="1" customWidth="1"/>
    <col min="12293" max="12293" width="11.28515625" style="39" bestFit="1" customWidth="1"/>
    <col min="12294" max="12294" width="8.7109375" style="39" bestFit="1" customWidth="1"/>
    <col min="12295" max="12295" width="9.7109375" style="39" bestFit="1" customWidth="1"/>
    <col min="12296" max="12296" width="6.28515625" style="39" bestFit="1" customWidth="1"/>
    <col min="12297" max="12297" width="9.7109375" style="39" bestFit="1" customWidth="1"/>
    <col min="12298" max="12298" width="11.28515625" style="39" bestFit="1" customWidth="1"/>
    <col min="12299" max="12299" width="5.28515625" style="39" bestFit="1" customWidth="1"/>
    <col min="12300" max="12300" width="7.28515625" style="39" bestFit="1" customWidth="1"/>
    <col min="12301" max="12301" width="8.7109375" style="39" bestFit="1" customWidth="1"/>
    <col min="12302" max="12302" width="9.7109375" style="39" bestFit="1" customWidth="1"/>
    <col min="12303" max="12303" width="5.28515625" style="39" bestFit="1" customWidth="1"/>
    <col min="12304" max="12306" width="9.7109375" style="39" bestFit="1" customWidth="1"/>
    <col min="12307" max="12307" width="6.28515625" style="39" bestFit="1" customWidth="1"/>
    <col min="12308" max="12308" width="8.7109375" style="39" bestFit="1" customWidth="1"/>
    <col min="12309" max="12309" width="7.28515625" style="39" bestFit="1" customWidth="1"/>
    <col min="12310" max="12310" width="7.7109375" style="39" bestFit="1" customWidth="1"/>
    <col min="12311" max="12311" width="11.28515625" style="39" bestFit="1" customWidth="1"/>
    <col min="12312" max="12313" width="9.7109375" style="39" bestFit="1" customWidth="1"/>
    <col min="12314" max="12314" width="7.7109375" style="39" bestFit="1" customWidth="1"/>
    <col min="12315" max="12315" width="5.28515625" style="39" bestFit="1" customWidth="1"/>
    <col min="12316" max="12316" width="7.7109375" style="39" bestFit="1" customWidth="1"/>
    <col min="12317" max="12318" width="4.28515625" style="39" bestFit="1" customWidth="1"/>
    <col min="12319" max="12319" width="11.28515625" style="39" bestFit="1" customWidth="1"/>
    <col min="12320" max="12320" width="8.7109375" style="39" bestFit="1" customWidth="1"/>
    <col min="12321" max="12321" width="6.28515625" style="39" bestFit="1" customWidth="1"/>
    <col min="12322" max="12544" width="6.85546875" style="39"/>
    <col min="12545" max="12545" width="31" style="39" bestFit="1" customWidth="1"/>
    <col min="12546" max="12546" width="19.85546875" style="39" bestFit="1" customWidth="1"/>
    <col min="12547" max="12547" width="34.7109375" style="39" bestFit="1" customWidth="1"/>
    <col min="12548" max="12548" width="20.140625" style="39" bestFit="1" customWidth="1"/>
    <col min="12549" max="12549" width="11.28515625" style="39" bestFit="1" customWidth="1"/>
    <col min="12550" max="12550" width="8.7109375" style="39" bestFit="1" customWidth="1"/>
    <col min="12551" max="12551" width="9.7109375" style="39" bestFit="1" customWidth="1"/>
    <col min="12552" max="12552" width="6.28515625" style="39" bestFit="1" customWidth="1"/>
    <col min="12553" max="12553" width="9.7109375" style="39" bestFit="1" customWidth="1"/>
    <col min="12554" max="12554" width="11.28515625" style="39" bestFit="1" customWidth="1"/>
    <col min="12555" max="12555" width="5.28515625" style="39" bestFit="1" customWidth="1"/>
    <col min="12556" max="12556" width="7.28515625" style="39" bestFit="1" customWidth="1"/>
    <col min="12557" max="12557" width="8.7109375" style="39" bestFit="1" customWidth="1"/>
    <col min="12558" max="12558" width="9.7109375" style="39" bestFit="1" customWidth="1"/>
    <col min="12559" max="12559" width="5.28515625" style="39" bestFit="1" customWidth="1"/>
    <col min="12560" max="12562" width="9.7109375" style="39" bestFit="1" customWidth="1"/>
    <col min="12563" max="12563" width="6.28515625" style="39" bestFit="1" customWidth="1"/>
    <col min="12564" max="12564" width="8.7109375" style="39" bestFit="1" customWidth="1"/>
    <col min="12565" max="12565" width="7.28515625" style="39" bestFit="1" customWidth="1"/>
    <col min="12566" max="12566" width="7.7109375" style="39" bestFit="1" customWidth="1"/>
    <col min="12567" max="12567" width="11.28515625" style="39" bestFit="1" customWidth="1"/>
    <col min="12568" max="12569" width="9.7109375" style="39" bestFit="1" customWidth="1"/>
    <col min="12570" max="12570" width="7.7109375" style="39" bestFit="1" customWidth="1"/>
    <col min="12571" max="12571" width="5.28515625" style="39" bestFit="1" customWidth="1"/>
    <col min="12572" max="12572" width="7.7109375" style="39" bestFit="1" customWidth="1"/>
    <col min="12573" max="12574" width="4.28515625" style="39" bestFit="1" customWidth="1"/>
    <col min="12575" max="12575" width="11.28515625" style="39" bestFit="1" customWidth="1"/>
    <col min="12576" max="12576" width="8.7109375" style="39" bestFit="1" customWidth="1"/>
    <col min="12577" max="12577" width="6.28515625" style="39" bestFit="1" customWidth="1"/>
    <col min="12578" max="12800" width="6.85546875" style="39"/>
    <col min="12801" max="12801" width="31" style="39" bestFit="1" customWidth="1"/>
    <col min="12802" max="12802" width="19.85546875" style="39" bestFit="1" customWidth="1"/>
    <col min="12803" max="12803" width="34.7109375" style="39" bestFit="1" customWidth="1"/>
    <col min="12804" max="12804" width="20.140625" style="39" bestFit="1" customWidth="1"/>
    <col min="12805" max="12805" width="11.28515625" style="39" bestFit="1" customWidth="1"/>
    <col min="12806" max="12806" width="8.7109375" style="39" bestFit="1" customWidth="1"/>
    <col min="12807" max="12807" width="9.7109375" style="39" bestFit="1" customWidth="1"/>
    <col min="12808" max="12808" width="6.28515625" style="39" bestFit="1" customWidth="1"/>
    <col min="12809" max="12809" width="9.7109375" style="39" bestFit="1" customWidth="1"/>
    <col min="12810" max="12810" width="11.28515625" style="39" bestFit="1" customWidth="1"/>
    <col min="12811" max="12811" width="5.28515625" style="39" bestFit="1" customWidth="1"/>
    <col min="12812" max="12812" width="7.28515625" style="39" bestFit="1" customWidth="1"/>
    <col min="12813" max="12813" width="8.7109375" style="39" bestFit="1" customWidth="1"/>
    <col min="12814" max="12814" width="9.7109375" style="39" bestFit="1" customWidth="1"/>
    <col min="12815" max="12815" width="5.28515625" style="39" bestFit="1" customWidth="1"/>
    <col min="12816" max="12818" width="9.7109375" style="39" bestFit="1" customWidth="1"/>
    <col min="12819" max="12819" width="6.28515625" style="39" bestFit="1" customWidth="1"/>
    <col min="12820" max="12820" width="8.7109375" style="39" bestFit="1" customWidth="1"/>
    <col min="12821" max="12821" width="7.28515625" style="39" bestFit="1" customWidth="1"/>
    <col min="12822" max="12822" width="7.7109375" style="39" bestFit="1" customWidth="1"/>
    <col min="12823" max="12823" width="11.28515625" style="39" bestFit="1" customWidth="1"/>
    <col min="12824" max="12825" width="9.7109375" style="39" bestFit="1" customWidth="1"/>
    <col min="12826" max="12826" width="7.7109375" style="39" bestFit="1" customWidth="1"/>
    <col min="12827" max="12827" width="5.28515625" style="39" bestFit="1" customWidth="1"/>
    <col min="12828" max="12828" width="7.7109375" style="39" bestFit="1" customWidth="1"/>
    <col min="12829" max="12830" width="4.28515625" style="39" bestFit="1" customWidth="1"/>
    <col min="12831" max="12831" width="11.28515625" style="39" bestFit="1" customWidth="1"/>
    <col min="12832" max="12832" width="8.7109375" style="39" bestFit="1" customWidth="1"/>
    <col min="12833" max="12833" width="6.28515625" style="39" bestFit="1" customWidth="1"/>
    <col min="12834" max="13056" width="6.85546875" style="39"/>
    <col min="13057" max="13057" width="31" style="39" bestFit="1" customWidth="1"/>
    <col min="13058" max="13058" width="19.85546875" style="39" bestFit="1" customWidth="1"/>
    <col min="13059" max="13059" width="34.7109375" style="39" bestFit="1" customWidth="1"/>
    <col min="13060" max="13060" width="20.140625" style="39" bestFit="1" customWidth="1"/>
    <col min="13061" max="13061" width="11.28515625" style="39" bestFit="1" customWidth="1"/>
    <col min="13062" max="13062" width="8.7109375" style="39" bestFit="1" customWidth="1"/>
    <col min="13063" max="13063" width="9.7109375" style="39" bestFit="1" customWidth="1"/>
    <col min="13064" max="13064" width="6.28515625" style="39" bestFit="1" customWidth="1"/>
    <col min="13065" max="13065" width="9.7109375" style="39" bestFit="1" customWidth="1"/>
    <col min="13066" max="13066" width="11.28515625" style="39" bestFit="1" customWidth="1"/>
    <col min="13067" max="13067" width="5.28515625" style="39" bestFit="1" customWidth="1"/>
    <col min="13068" max="13068" width="7.28515625" style="39" bestFit="1" customWidth="1"/>
    <col min="13069" max="13069" width="8.7109375" style="39" bestFit="1" customWidth="1"/>
    <col min="13070" max="13070" width="9.7109375" style="39" bestFit="1" customWidth="1"/>
    <col min="13071" max="13071" width="5.28515625" style="39" bestFit="1" customWidth="1"/>
    <col min="13072" max="13074" width="9.7109375" style="39" bestFit="1" customWidth="1"/>
    <col min="13075" max="13075" width="6.28515625" style="39" bestFit="1" customWidth="1"/>
    <col min="13076" max="13076" width="8.7109375" style="39" bestFit="1" customWidth="1"/>
    <col min="13077" max="13077" width="7.28515625" style="39" bestFit="1" customWidth="1"/>
    <col min="13078" max="13078" width="7.7109375" style="39" bestFit="1" customWidth="1"/>
    <col min="13079" max="13079" width="11.28515625" style="39" bestFit="1" customWidth="1"/>
    <col min="13080" max="13081" width="9.7109375" style="39" bestFit="1" customWidth="1"/>
    <col min="13082" max="13082" width="7.7109375" style="39" bestFit="1" customWidth="1"/>
    <col min="13083" max="13083" width="5.28515625" style="39" bestFit="1" customWidth="1"/>
    <col min="13084" max="13084" width="7.7109375" style="39" bestFit="1" customWidth="1"/>
    <col min="13085" max="13086" width="4.28515625" style="39" bestFit="1" customWidth="1"/>
    <col min="13087" max="13087" width="11.28515625" style="39" bestFit="1" customWidth="1"/>
    <col min="13088" max="13088" width="8.7109375" style="39" bestFit="1" customWidth="1"/>
    <col min="13089" max="13089" width="6.28515625" style="39" bestFit="1" customWidth="1"/>
    <col min="13090" max="13312" width="6.85546875" style="39"/>
    <col min="13313" max="13313" width="31" style="39" bestFit="1" customWidth="1"/>
    <col min="13314" max="13314" width="19.85546875" style="39" bestFit="1" customWidth="1"/>
    <col min="13315" max="13315" width="34.7109375" style="39" bestFit="1" customWidth="1"/>
    <col min="13316" max="13316" width="20.140625" style="39" bestFit="1" customWidth="1"/>
    <col min="13317" max="13317" width="11.28515625" style="39" bestFit="1" customWidth="1"/>
    <col min="13318" max="13318" width="8.7109375" style="39" bestFit="1" customWidth="1"/>
    <col min="13319" max="13319" width="9.7109375" style="39" bestFit="1" customWidth="1"/>
    <col min="13320" max="13320" width="6.28515625" style="39" bestFit="1" customWidth="1"/>
    <col min="13321" max="13321" width="9.7109375" style="39" bestFit="1" customWidth="1"/>
    <col min="13322" max="13322" width="11.28515625" style="39" bestFit="1" customWidth="1"/>
    <col min="13323" max="13323" width="5.28515625" style="39" bestFit="1" customWidth="1"/>
    <col min="13324" max="13324" width="7.28515625" style="39" bestFit="1" customWidth="1"/>
    <col min="13325" max="13325" width="8.7109375" style="39" bestFit="1" customWidth="1"/>
    <col min="13326" max="13326" width="9.7109375" style="39" bestFit="1" customWidth="1"/>
    <col min="13327" max="13327" width="5.28515625" style="39" bestFit="1" customWidth="1"/>
    <col min="13328" max="13330" width="9.7109375" style="39" bestFit="1" customWidth="1"/>
    <col min="13331" max="13331" width="6.28515625" style="39" bestFit="1" customWidth="1"/>
    <col min="13332" max="13332" width="8.7109375" style="39" bestFit="1" customWidth="1"/>
    <col min="13333" max="13333" width="7.28515625" style="39" bestFit="1" customWidth="1"/>
    <col min="13334" max="13334" width="7.7109375" style="39" bestFit="1" customWidth="1"/>
    <col min="13335" max="13335" width="11.28515625" style="39" bestFit="1" customWidth="1"/>
    <col min="13336" max="13337" width="9.7109375" style="39" bestFit="1" customWidth="1"/>
    <col min="13338" max="13338" width="7.7109375" style="39" bestFit="1" customWidth="1"/>
    <col min="13339" max="13339" width="5.28515625" style="39" bestFit="1" customWidth="1"/>
    <col min="13340" max="13340" width="7.7109375" style="39" bestFit="1" customWidth="1"/>
    <col min="13341" max="13342" width="4.28515625" style="39" bestFit="1" customWidth="1"/>
    <col min="13343" max="13343" width="11.28515625" style="39" bestFit="1" customWidth="1"/>
    <col min="13344" max="13344" width="8.7109375" style="39" bestFit="1" customWidth="1"/>
    <col min="13345" max="13345" width="6.28515625" style="39" bestFit="1" customWidth="1"/>
    <col min="13346" max="13568" width="6.85546875" style="39"/>
    <col min="13569" max="13569" width="31" style="39" bestFit="1" customWidth="1"/>
    <col min="13570" max="13570" width="19.85546875" style="39" bestFit="1" customWidth="1"/>
    <col min="13571" max="13571" width="34.7109375" style="39" bestFit="1" customWidth="1"/>
    <col min="13572" max="13572" width="20.140625" style="39" bestFit="1" customWidth="1"/>
    <col min="13573" max="13573" width="11.28515625" style="39" bestFit="1" customWidth="1"/>
    <col min="13574" max="13574" width="8.7109375" style="39" bestFit="1" customWidth="1"/>
    <col min="13575" max="13575" width="9.7109375" style="39" bestFit="1" customWidth="1"/>
    <col min="13576" max="13576" width="6.28515625" style="39" bestFit="1" customWidth="1"/>
    <col min="13577" max="13577" width="9.7109375" style="39" bestFit="1" customWidth="1"/>
    <col min="13578" max="13578" width="11.28515625" style="39" bestFit="1" customWidth="1"/>
    <col min="13579" max="13579" width="5.28515625" style="39" bestFit="1" customWidth="1"/>
    <col min="13580" max="13580" width="7.28515625" style="39" bestFit="1" customWidth="1"/>
    <col min="13581" max="13581" width="8.7109375" style="39" bestFit="1" customWidth="1"/>
    <col min="13582" max="13582" width="9.7109375" style="39" bestFit="1" customWidth="1"/>
    <col min="13583" max="13583" width="5.28515625" style="39" bestFit="1" customWidth="1"/>
    <col min="13584" max="13586" width="9.7109375" style="39" bestFit="1" customWidth="1"/>
    <col min="13587" max="13587" width="6.28515625" style="39" bestFit="1" customWidth="1"/>
    <col min="13588" max="13588" width="8.7109375" style="39" bestFit="1" customWidth="1"/>
    <col min="13589" max="13589" width="7.28515625" style="39" bestFit="1" customWidth="1"/>
    <col min="13590" max="13590" width="7.7109375" style="39" bestFit="1" customWidth="1"/>
    <col min="13591" max="13591" width="11.28515625" style="39" bestFit="1" customWidth="1"/>
    <col min="13592" max="13593" width="9.7109375" style="39" bestFit="1" customWidth="1"/>
    <col min="13594" max="13594" width="7.7109375" style="39" bestFit="1" customWidth="1"/>
    <col min="13595" max="13595" width="5.28515625" style="39" bestFit="1" customWidth="1"/>
    <col min="13596" max="13596" width="7.7109375" style="39" bestFit="1" customWidth="1"/>
    <col min="13597" max="13598" width="4.28515625" style="39" bestFit="1" customWidth="1"/>
    <col min="13599" max="13599" width="11.28515625" style="39" bestFit="1" customWidth="1"/>
    <col min="13600" max="13600" width="8.7109375" style="39" bestFit="1" customWidth="1"/>
    <col min="13601" max="13601" width="6.28515625" style="39" bestFit="1" customWidth="1"/>
    <col min="13602" max="13824" width="6.85546875" style="39"/>
    <col min="13825" max="13825" width="31" style="39" bestFit="1" customWidth="1"/>
    <col min="13826" max="13826" width="19.85546875" style="39" bestFit="1" customWidth="1"/>
    <col min="13827" max="13827" width="34.7109375" style="39" bestFit="1" customWidth="1"/>
    <col min="13828" max="13828" width="20.140625" style="39" bestFit="1" customWidth="1"/>
    <col min="13829" max="13829" width="11.28515625" style="39" bestFit="1" customWidth="1"/>
    <col min="13830" max="13830" width="8.7109375" style="39" bestFit="1" customWidth="1"/>
    <col min="13831" max="13831" width="9.7109375" style="39" bestFit="1" customWidth="1"/>
    <col min="13832" max="13832" width="6.28515625" style="39" bestFit="1" customWidth="1"/>
    <col min="13833" max="13833" width="9.7109375" style="39" bestFit="1" customWidth="1"/>
    <col min="13834" max="13834" width="11.28515625" style="39" bestFit="1" customWidth="1"/>
    <col min="13835" max="13835" width="5.28515625" style="39" bestFit="1" customWidth="1"/>
    <col min="13836" max="13836" width="7.28515625" style="39" bestFit="1" customWidth="1"/>
    <col min="13837" max="13837" width="8.7109375" style="39" bestFit="1" customWidth="1"/>
    <col min="13838" max="13838" width="9.7109375" style="39" bestFit="1" customWidth="1"/>
    <col min="13839" max="13839" width="5.28515625" style="39" bestFit="1" customWidth="1"/>
    <col min="13840" max="13842" width="9.7109375" style="39" bestFit="1" customWidth="1"/>
    <col min="13843" max="13843" width="6.28515625" style="39" bestFit="1" customWidth="1"/>
    <col min="13844" max="13844" width="8.7109375" style="39" bestFit="1" customWidth="1"/>
    <col min="13845" max="13845" width="7.28515625" style="39" bestFit="1" customWidth="1"/>
    <col min="13846" max="13846" width="7.7109375" style="39" bestFit="1" customWidth="1"/>
    <col min="13847" max="13847" width="11.28515625" style="39" bestFit="1" customWidth="1"/>
    <col min="13848" max="13849" width="9.7109375" style="39" bestFit="1" customWidth="1"/>
    <col min="13850" max="13850" width="7.7109375" style="39" bestFit="1" customWidth="1"/>
    <col min="13851" max="13851" width="5.28515625" style="39" bestFit="1" customWidth="1"/>
    <col min="13852" max="13852" width="7.7109375" style="39" bestFit="1" customWidth="1"/>
    <col min="13853" max="13854" width="4.28515625" style="39" bestFit="1" customWidth="1"/>
    <col min="13855" max="13855" width="11.28515625" style="39" bestFit="1" customWidth="1"/>
    <col min="13856" max="13856" width="8.7109375" style="39" bestFit="1" customWidth="1"/>
    <col min="13857" max="13857" width="6.28515625" style="39" bestFit="1" customWidth="1"/>
    <col min="13858" max="14080" width="6.85546875" style="39"/>
    <col min="14081" max="14081" width="31" style="39" bestFit="1" customWidth="1"/>
    <col min="14082" max="14082" width="19.85546875" style="39" bestFit="1" customWidth="1"/>
    <col min="14083" max="14083" width="34.7109375" style="39" bestFit="1" customWidth="1"/>
    <col min="14084" max="14084" width="20.140625" style="39" bestFit="1" customWidth="1"/>
    <col min="14085" max="14085" width="11.28515625" style="39" bestFit="1" customWidth="1"/>
    <col min="14086" max="14086" width="8.7109375" style="39" bestFit="1" customWidth="1"/>
    <col min="14087" max="14087" width="9.7109375" style="39" bestFit="1" customWidth="1"/>
    <col min="14088" max="14088" width="6.28515625" style="39" bestFit="1" customWidth="1"/>
    <col min="14089" max="14089" width="9.7109375" style="39" bestFit="1" customWidth="1"/>
    <col min="14090" max="14090" width="11.28515625" style="39" bestFit="1" customWidth="1"/>
    <col min="14091" max="14091" width="5.28515625" style="39" bestFit="1" customWidth="1"/>
    <col min="14092" max="14092" width="7.28515625" style="39" bestFit="1" customWidth="1"/>
    <col min="14093" max="14093" width="8.7109375" style="39" bestFit="1" customWidth="1"/>
    <col min="14094" max="14094" width="9.7109375" style="39" bestFit="1" customWidth="1"/>
    <col min="14095" max="14095" width="5.28515625" style="39" bestFit="1" customWidth="1"/>
    <col min="14096" max="14098" width="9.7109375" style="39" bestFit="1" customWidth="1"/>
    <col min="14099" max="14099" width="6.28515625" style="39" bestFit="1" customWidth="1"/>
    <col min="14100" max="14100" width="8.7109375" style="39" bestFit="1" customWidth="1"/>
    <col min="14101" max="14101" width="7.28515625" style="39" bestFit="1" customWidth="1"/>
    <col min="14102" max="14102" width="7.7109375" style="39" bestFit="1" customWidth="1"/>
    <col min="14103" max="14103" width="11.28515625" style="39" bestFit="1" customWidth="1"/>
    <col min="14104" max="14105" width="9.7109375" style="39" bestFit="1" customWidth="1"/>
    <col min="14106" max="14106" width="7.7109375" style="39" bestFit="1" customWidth="1"/>
    <col min="14107" max="14107" width="5.28515625" style="39" bestFit="1" customWidth="1"/>
    <col min="14108" max="14108" width="7.7109375" style="39" bestFit="1" customWidth="1"/>
    <col min="14109" max="14110" width="4.28515625" style="39" bestFit="1" customWidth="1"/>
    <col min="14111" max="14111" width="11.28515625" style="39" bestFit="1" customWidth="1"/>
    <col min="14112" max="14112" width="8.7109375" style="39" bestFit="1" customWidth="1"/>
    <col min="14113" max="14113" width="6.28515625" style="39" bestFit="1" customWidth="1"/>
    <col min="14114" max="14336" width="6.85546875" style="39"/>
    <col min="14337" max="14337" width="31" style="39" bestFit="1" customWidth="1"/>
    <col min="14338" max="14338" width="19.85546875" style="39" bestFit="1" customWidth="1"/>
    <col min="14339" max="14339" width="34.7109375" style="39" bestFit="1" customWidth="1"/>
    <col min="14340" max="14340" width="20.140625" style="39" bestFit="1" customWidth="1"/>
    <col min="14341" max="14341" width="11.28515625" style="39" bestFit="1" customWidth="1"/>
    <col min="14342" max="14342" width="8.7109375" style="39" bestFit="1" customWidth="1"/>
    <col min="14343" max="14343" width="9.7109375" style="39" bestFit="1" customWidth="1"/>
    <col min="14344" max="14344" width="6.28515625" style="39" bestFit="1" customWidth="1"/>
    <col min="14345" max="14345" width="9.7109375" style="39" bestFit="1" customWidth="1"/>
    <col min="14346" max="14346" width="11.28515625" style="39" bestFit="1" customWidth="1"/>
    <col min="14347" max="14347" width="5.28515625" style="39" bestFit="1" customWidth="1"/>
    <col min="14348" max="14348" width="7.28515625" style="39" bestFit="1" customWidth="1"/>
    <col min="14349" max="14349" width="8.7109375" style="39" bestFit="1" customWidth="1"/>
    <col min="14350" max="14350" width="9.7109375" style="39" bestFit="1" customWidth="1"/>
    <col min="14351" max="14351" width="5.28515625" style="39" bestFit="1" customWidth="1"/>
    <col min="14352" max="14354" width="9.7109375" style="39" bestFit="1" customWidth="1"/>
    <col min="14355" max="14355" width="6.28515625" style="39" bestFit="1" customWidth="1"/>
    <col min="14356" max="14356" width="8.7109375" style="39" bestFit="1" customWidth="1"/>
    <col min="14357" max="14357" width="7.28515625" style="39" bestFit="1" customWidth="1"/>
    <col min="14358" max="14358" width="7.7109375" style="39" bestFit="1" customWidth="1"/>
    <col min="14359" max="14359" width="11.28515625" style="39" bestFit="1" customWidth="1"/>
    <col min="14360" max="14361" width="9.7109375" style="39" bestFit="1" customWidth="1"/>
    <col min="14362" max="14362" width="7.7109375" style="39" bestFit="1" customWidth="1"/>
    <col min="14363" max="14363" width="5.28515625" style="39" bestFit="1" customWidth="1"/>
    <col min="14364" max="14364" width="7.7109375" style="39" bestFit="1" customWidth="1"/>
    <col min="14365" max="14366" width="4.28515625" style="39" bestFit="1" customWidth="1"/>
    <col min="14367" max="14367" width="11.28515625" style="39" bestFit="1" customWidth="1"/>
    <col min="14368" max="14368" width="8.7109375" style="39" bestFit="1" customWidth="1"/>
    <col min="14369" max="14369" width="6.28515625" style="39" bestFit="1" customWidth="1"/>
    <col min="14370" max="14592" width="6.85546875" style="39"/>
    <col min="14593" max="14593" width="31" style="39" bestFit="1" customWidth="1"/>
    <col min="14594" max="14594" width="19.85546875" style="39" bestFit="1" customWidth="1"/>
    <col min="14595" max="14595" width="34.7109375" style="39" bestFit="1" customWidth="1"/>
    <col min="14596" max="14596" width="20.140625" style="39" bestFit="1" customWidth="1"/>
    <col min="14597" max="14597" width="11.28515625" style="39" bestFit="1" customWidth="1"/>
    <col min="14598" max="14598" width="8.7109375" style="39" bestFit="1" customWidth="1"/>
    <col min="14599" max="14599" width="9.7109375" style="39" bestFit="1" customWidth="1"/>
    <col min="14600" max="14600" width="6.28515625" style="39" bestFit="1" customWidth="1"/>
    <col min="14601" max="14601" width="9.7109375" style="39" bestFit="1" customWidth="1"/>
    <col min="14602" max="14602" width="11.28515625" style="39" bestFit="1" customWidth="1"/>
    <col min="14603" max="14603" width="5.28515625" style="39" bestFit="1" customWidth="1"/>
    <col min="14604" max="14604" width="7.28515625" style="39" bestFit="1" customWidth="1"/>
    <col min="14605" max="14605" width="8.7109375" style="39" bestFit="1" customWidth="1"/>
    <col min="14606" max="14606" width="9.7109375" style="39" bestFit="1" customWidth="1"/>
    <col min="14607" max="14607" width="5.28515625" style="39" bestFit="1" customWidth="1"/>
    <col min="14608" max="14610" width="9.7109375" style="39" bestFit="1" customWidth="1"/>
    <col min="14611" max="14611" width="6.28515625" style="39" bestFit="1" customWidth="1"/>
    <col min="14612" max="14612" width="8.7109375" style="39" bestFit="1" customWidth="1"/>
    <col min="14613" max="14613" width="7.28515625" style="39" bestFit="1" customWidth="1"/>
    <col min="14614" max="14614" width="7.7109375" style="39" bestFit="1" customWidth="1"/>
    <col min="14615" max="14615" width="11.28515625" style="39" bestFit="1" customWidth="1"/>
    <col min="14616" max="14617" width="9.7109375" style="39" bestFit="1" customWidth="1"/>
    <col min="14618" max="14618" width="7.7109375" style="39" bestFit="1" customWidth="1"/>
    <col min="14619" max="14619" width="5.28515625" style="39" bestFit="1" customWidth="1"/>
    <col min="14620" max="14620" width="7.7109375" style="39" bestFit="1" customWidth="1"/>
    <col min="14621" max="14622" width="4.28515625" style="39" bestFit="1" customWidth="1"/>
    <col min="14623" max="14623" width="11.28515625" style="39" bestFit="1" customWidth="1"/>
    <col min="14624" max="14624" width="8.7109375" style="39" bestFit="1" customWidth="1"/>
    <col min="14625" max="14625" width="6.28515625" style="39" bestFit="1" customWidth="1"/>
    <col min="14626" max="14848" width="6.85546875" style="39"/>
    <col min="14849" max="14849" width="31" style="39" bestFit="1" customWidth="1"/>
    <col min="14850" max="14850" width="19.85546875" style="39" bestFit="1" customWidth="1"/>
    <col min="14851" max="14851" width="34.7109375" style="39" bestFit="1" customWidth="1"/>
    <col min="14852" max="14852" width="20.140625" style="39" bestFit="1" customWidth="1"/>
    <col min="14853" max="14853" width="11.28515625" style="39" bestFit="1" customWidth="1"/>
    <col min="14854" max="14854" width="8.7109375" style="39" bestFit="1" customWidth="1"/>
    <col min="14855" max="14855" width="9.7109375" style="39" bestFit="1" customWidth="1"/>
    <col min="14856" max="14856" width="6.28515625" style="39" bestFit="1" customWidth="1"/>
    <col min="14857" max="14857" width="9.7109375" style="39" bestFit="1" customWidth="1"/>
    <col min="14858" max="14858" width="11.28515625" style="39" bestFit="1" customWidth="1"/>
    <col min="14859" max="14859" width="5.28515625" style="39" bestFit="1" customWidth="1"/>
    <col min="14860" max="14860" width="7.28515625" style="39" bestFit="1" customWidth="1"/>
    <col min="14861" max="14861" width="8.7109375" style="39" bestFit="1" customWidth="1"/>
    <col min="14862" max="14862" width="9.7109375" style="39" bestFit="1" customWidth="1"/>
    <col min="14863" max="14863" width="5.28515625" style="39" bestFit="1" customWidth="1"/>
    <col min="14864" max="14866" width="9.7109375" style="39" bestFit="1" customWidth="1"/>
    <col min="14867" max="14867" width="6.28515625" style="39" bestFit="1" customWidth="1"/>
    <col min="14868" max="14868" width="8.7109375" style="39" bestFit="1" customWidth="1"/>
    <col min="14869" max="14869" width="7.28515625" style="39" bestFit="1" customWidth="1"/>
    <col min="14870" max="14870" width="7.7109375" style="39" bestFit="1" customWidth="1"/>
    <col min="14871" max="14871" width="11.28515625" style="39" bestFit="1" customWidth="1"/>
    <col min="14872" max="14873" width="9.7109375" style="39" bestFit="1" customWidth="1"/>
    <col min="14874" max="14874" width="7.7109375" style="39" bestFit="1" customWidth="1"/>
    <col min="14875" max="14875" width="5.28515625" style="39" bestFit="1" customWidth="1"/>
    <col min="14876" max="14876" width="7.7109375" style="39" bestFit="1" customWidth="1"/>
    <col min="14877" max="14878" width="4.28515625" style="39" bestFit="1" customWidth="1"/>
    <col min="14879" max="14879" width="11.28515625" style="39" bestFit="1" customWidth="1"/>
    <col min="14880" max="14880" width="8.7109375" style="39" bestFit="1" customWidth="1"/>
    <col min="14881" max="14881" width="6.28515625" style="39" bestFit="1" customWidth="1"/>
    <col min="14882" max="15104" width="6.85546875" style="39"/>
    <col min="15105" max="15105" width="31" style="39" bestFit="1" customWidth="1"/>
    <col min="15106" max="15106" width="19.85546875" style="39" bestFit="1" customWidth="1"/>
    <col min="15107" max="15107" width="34.7109375" style="39" bestFit="1" customWidth="1"/>
    <col min="15108" max="15108" width="20.140625" style="39" bestFit="1" customWidth="1"/>
    <col min="15109" max="15109" width="11.28515625" style="39" bestFit="1" customWidth="1"/>
    <col min="15110" max="15110" width="8.7109375" style="39" bestFit="1" customWidth="1"/>
    <col min="15111" max="15111" width="9.7109375" style="39" bestFit="1" customWidth="1"/>
    <col min="15112" max="15112" width="6.28515625" style="39" bestFit="1" customWidth="1"/>
    <col min="15113" max="15113" width="9.7109375" style="39" bestFit="1" customWidth="1"/>
    <col min="15114" max="15114" width="11.28515625" style="39" bestFit="1" customWidth="1"/>
    <col min="15115" max="15115" width="5.28515625" style="39" bestFit="1" customWidth="1"/>
    <col min="15116" max="15116" width="7.28515625" style="39" bestFit="1" customWidth="1"/>
    <col min="15117" max="15117" width="8.7109375" style="39" bestFit="1" customWidth="1"/>
    <col min="15118" max="15118" width="9.7109375" style="39" bestFit="1" customWidth="1"/>
    <col min="15119" max="15119" width="5.28515625" style="39" bestFit="1" customWidth="1"/>
    <col min="15120" max="15122" width="9.7109375" style="39" bestFit="1" customWidth="1"/>
    <col min="15123" max="15123" width="6.28515625" style="39" bestFit="1" customWidth="1"/>
    <col min="15124" max="15124" width="8.7109375" style="39" bestFit="1" customWidth="1"/>
    <col min="15125" max="15125" width="7.28515625" style="39" bestFit="1" customWidth="1"/>
    <col min="15126" max="15126" width="7.7109375" style="39" bestFit="1" customWidth="1"/>
    <col min="15127" max="15127" width="11.28515625" style="39" bestFit="1" customWidth="1"/>
    <col min="15128" max="15129" width="9.7109375" style="39" bestFit="1" customWidth="1"/>
    <col min="15130" max="15130" width="7.7109375" style="39" bestFit="1" customWidth="1"/>
    <col min="15131" max="15131" width="5.28515625" style="39" bestFit="1" customWidth="1"/>
    <col min="15132" max="15132" width="7.7109375" style="39" bestFit="1" customWidth="1"/>
    <col min="15133" max="15134" width="4.28515625" style="39" bestFit="1" customWidth="1"/>
    <col min="15135" max="15135" width="11.28515625" style="39" bestFit="1" customWidth="1"/>
    <col min="15136" max="15136" width="8.7109375" style="39" bestFit="1" customWidth="1"/>
    <col min="15137" max="15137" width="6.28515625" style="39" bestFit="1" customWidth="1"/>
    <col min="15138" max="15360" width="6.85546875" style="39"/>
    <col min="15361" max="15361" width="31" style="39" bestFit="1" customWidth="1"/>
    <col min="15362" max="15362" width="19.85546875" style="39" bestFit="1" customWidth="1"/>
    <col min="15363" max="15363" width="34.7109375" style="39" bestFit="1" customWidth="1"/>
    <col min="15364" max="15364" width="20.140625" style="39" bestFit="1" customWidth="1"/>
    <col min="15365" max="15365" width="11.28515625" style="39" bestFit="1" customWidth="1"/>
    <col min="15366" max="15366" width="8.7109375" style="39" bestFit="1" customWidth="1"/>
    <col min="15367" max="15367" width="9.7109375" style="39" bestFit="1" customWidth="1"/>
    <col min="15368" max="15368" width="6.28515625" style="39" bestFit="1" customWidth="1"/>
    <col min="15369" max="15369" width="9.7109375" style="39" bestFit="1" customWidth="1"/>
    <col min="15370" max="15370" width="11.28515625" style="39" bestFit="1" customWidth="1"/>
    <col min="15371" max="15371" width="5.28515625" style="39" bestFit="1" customWidth="1"/>
    <col min="15372" max="15372" width="7.28515625" style="39" bestFit="1" customWidth="1"/>
    <col min="15373" max="15373" width="8.7109375" style="39" bestFit="1" customWidth="1"/>
    <col min="15374" max="15374" width="9.7109375" style="39" bestFit="1" customWidth="1"/>
    <col min="15375" max="15375" width="5.28515625" style="39" bestFit="1" customWidth="1"/>
    <col min="15376" max="15378" width="9.7109375" style="39" bestFit="1" customWidth="1"/>
    <col min="15379" max="15379" width="6.28515625" style="39" bestFit="1" customWidth="1"/>
    <col min="15380" max="15380" width="8.7109375" style="39" bestFit="1" customWidth="1"/>
    <col min="15381" max="15381" width="7.28515625" style="39" bestFit="1" customWidth="1"/>
    <col min="15382" max="15382" width="7.7109375" style="39" bestFit="1" customWidth="1"/>
    <col min="15383" max="15383" width="11.28515625" style="39" bestFit="1" customWidth="1"/>
    <col min="15384" max="15385" width="9.7109375" style="39" bestFit="1" customWidth="1"/>
    <col min="15386" max="15386" width="7.7109375" style="39" bestFit="1" customWidth="1"/>
    <col min="15387" max="15387" width="5.28515625" style="39" bestFit="1" customWidth="1"/>
    <col min="15388" max="15388" width="7.7109375" style="39" bestFit="1" customWidth="1"/>
    <col min="15389" max="15390" width="4.28515625" style="39" bestFit="1" customWidth="1"/>
    <col min="15391" max="15391" width="11.28515625" style="39" bestFit="1" customWidth="1"/>
    <col min="15392" max="15392" width="8.7109375" style="39" bestFit="1" customWidth="1"/>
    <col min="15393" max="15393" width="6.28515625" style="39" bestFit="1" customWidth="1"/>
    <col min="15394" max="15616" width="6.85546875" style="39"/>
    <col min="15617" max="15617" width="31" style="39" bestFit="1" customWidth="1"/>
    <col min="15618" max="15618" width="19.85546875" style="39" bestFit="1" customWidth="1"/>
    <col min="15619" max="15619" width="34.7109375" style="39" bestFit="1" customWidth="1"/>
    <col min="15620" max="15620" width="20.140625" style="39" bestFit="1" customWidth="1"/>
    <col min="15621" max="15621" width="11.28515625" style="39" bestFit="1" customWidth="1"/>
    <col min="15622" max="15622" width="8.7109375" style="39" bestFit="1" customWidth="1"/>
    <col min="15623" max="15623" width="9.7109375" style="39" bestFit="1" customWidth="1"/>
    <col min="15624" max="15624" width="6.28515625" style="39" bestFit="1" customWidth="1"/>
    <col min="15625" max="15625" width="9.7109375" style="39" bestFit="1" customWidth="1"/>
    <col min="15626" max="15626" width="11.28515625" style="39" bestFit="1" customWidth="1"/>
    <col min="15627" max="15627" width="5.28515625" style="39" bestFit="1" customWidth="1"/>
    <col min="15628" max="15628" width="7.28515625" style="39" bestFit="1" customWidth="1"/>
    <col min="15629" max="15629" width="8.7109375" style="39" bestFit="1" customWidth="1"/>
    <col min="15630" max="15630" width="9.7109375" style="39" bestFit="1" customWidth="1"/>
    <col min="15631" max="15631" width="5.28515625" style="39" bestFit="1" customWidth="1"/>
    <col min="15632" max="15634" width="9.7109375" style="39" bestFit="1" customWidth="1"/>
    <col min="15635" max="15635" width="6.28515625" style="39" bestFit="1" customWidth="1"/>
    <col min="15636" max="15636" width="8.7109375" style="39" bestFit="1" customWidth="1"/>
    <col min="15637" max="15637" width="7.28515625" style="39" bestFit="1" customWidth="1"/>
    <col min="15638" max="15638" width="7.7109375" style="39" bestFit="1" customWidth="1"/>
    <col min="15639" max="15639" width="11.28515625" style="39" bestFit="1" customWidth="1"/>
    <col min="15640" max="15641" width="9.7109375" style="39" bestFit="1" customWidth="1"/>
    <col min="15642" max="15642" width="7.7109375" style="39" bestFit="1" customWidth="1"/>
    <col min="15643" max="15643" width="5.28515625" style="39" bestFit="1" customWidth="1"/>
    <col min="15644" max="15644" width="7.7109375" style="39" bestFit="1" customWidth="1"/>
    <col min="15645" max="15646" width="4.28515625" style="39" bestFit="1" customWidth="1"/>
    <col min="15647" max="15647" width="11.28515625" style="39" bestFit="1" customWidth="1"/>
    <col min="15648" max="15648" width="8.7109375" style="39" bestFit="1" customWidth="1"/>
    <col min="15649" max="15649" width="6.28515625" style="39" bestFit="1" customWidth="1"/>
    <col min="15650" max="15872" width="6.85546875" style="39"/>
    <col min="15873" max="15873" width="31" style="39" bestFit="1" customWidth="1"/>
    <col min="15874" max="15874" width="19.85546875" style="39" bestFit="1" customWidth="1"/>
    <col min="15875" max="15875" width="34.7109375" style="39" bestFit="1" customWidth="1"/>
    <col min="15876" max="15876" width="20.140625" style="39" bestFit="1" customWidth="1"/>
    <col min="15877" max="15877" width="11.28515625" style="39" bestFit="1" customWidth="1"/>
    <col min="15878" max="15878" width="8.7109375" style="39" bestFit="1" customWidth="1"/>
    <col min="15879" max="15879" width="9.7109375" style="39" bestFit="1" customWidth="1"/>
    <col min="15880" max="15880" width="6.28515625" style="39" bestFit="1" customWidth="1"/>
    <col min="15881" max="15881" width="9.7109375" style="39" bestFit="1" customWidth="1"/>
    <col min="15882" max="15882" width="11.28515625" style="39" bestFit="1" customWidth="1"/>
    <col min="15883" max="15883" width="5.28515625" style="39" bestFit="1" customWidth="1"/>
    <col min="15884" max="15884" width="7.28515625" style="39" bestFit="1" customWidth="1"/>
    <col min="15885" max="15885" width="8.7109375" style="39" bestFit="1" customWidth="1"/>
    <col min="15886" max="15886" width="9.7109375" style="39" bestFit="1" customWidth="1"/>
    <col min="15887" max="15887" width="5.28515625" style="39" bestFit="1" customWidth="1"/>
    <col min="15888" max="15890" width="9.7109375" style="39" bestFit="1" customWidth="1"/>
    <col min="15891" max="15891" width="6.28515625" style="39" bestFit="1" customWidth="1"/>
    <col min="15892" max="15892" width="8.7109375" style="39" bestFit="1" customWidth="1"/>
    <col min="15893" max="15893" width="7.28515625" style="39" bestFit="1" customWidth="1"/>
    <col min="15894" max="15894" width="7.7109375" style="39" bestFit="1" customWidth="1"/>
    <col min="15895" max="15895" width="11.28515625" style="39" bestFit="1" customWidth="1"/>
    <col min="15896" max="15897" width="9.7109375" style="39" bestFit="1" customWidth="1"/>
    <col min="15898" max="15898" width="7.7109375" style="39" bestFit="1" customWidth="1"/>
    <col min="15899" max="15899" width="5.28515625" style="39" bestFit="1" customWidth="1"/>
    <col min="15900" max="15900" width="7.7109375" style="39" bestFit="1" customWidth="1"/>
    <col min="15901" max="15902" width="4.28515625" style="39" bestFit="1" customWidth="1"/>
    <col min="15903" max="15903" width="11.28515625" style="39" bestFit="1" customWidth="1"/>
    <col min="15904" max="15904" width="8.7109375" style="39" bestFit="1" customWidth="1"/>
    <col min="15905" max="15905" width="6.28515625" style="39" bestFit="1" customWidth="1"/>
    <col min="15906" max="16128" width="6.85546875" style="39"/>
    <col min="16129" max="16129" width="31" style="39" bestFit="1" customWidth="1"/>
    <col min="16130" max="16130" width="19.85546875" style="39" bestFit="1" customWidth="1"/>
    <col min="16131" max="16131" width="34.7109375" style="39" bestFit="1" customWidth="1"/>
    <col min="16132" max="16132" width="20.140625" style="39" bestFit="1" customWidth="1"/>
    <col min="16133" max="16133" width="11.28515625" style="39" bestFit="1" customWidth="1"/>
    <col min="16134" max="16134" width="8.7109375" style="39" bestFit="1" customWidth="1"/>
    <col min="16135" max="16135" width="9.7109375" style="39" bestFit="1" customWidth="1"/>
    <col min="16136" max="16136" width="6.28515625" style="39" bestFit="1" customWidth="1"/>
    <col min="16137" max="16137" width="9.7109375" style="39" bestFit="1" customWidth="1"/>
    <col min="16138" max="16138" width="11.28515625" style="39" bestFit="1" customWidth="1"/>
    <col min="16139" max="16139" width="5.28515625" style="39" bestFit="1" customWidth="1"/>
    <col min="16140" max="16140" width="7.28515625" style="39" bestFit="1" customWidth="1"/>
    <col min="16141" max="16141" width="8.7109375" style="39" bestFit="1" customWidth="1"/>
    <col min="16142" max="16142" width="9.7109375" style="39" bestFit="1" customWidth="1"/>
    <col min="16143" max="16143" width="5.28515625" style="39" bestFit="1" customWidth="1"/>
    <col min="16144" max="16146" width="9.7109375" style="39" bestFit="1" customWidth="1"/>
    <col min="16147" max="16147" width="6.28515625" style="39" bestFit="1" customWidth="1"/>
    <col min="16148" max="16148" width="8.7109375" style="39" bestFit="1" customWidth="1"/>
    <col min="16149" max="16149" width="7.28515625" style="39" bestFit="1" customWidth="1"/>
    <col min="16150" max="16150" width="7.7109375" style="39" bestFit="1" customWidth="1"/>
    <col min="16151" max="16151" width="11.28515625" style="39" bestFit="1" customWidth="1"/>
    <col min="16152" max="16153" width="9.7109375" style="39" bestFit="1" customWidth="1"/>
    <col min="16154" max="16154" width="7.7109375" style="39" bestFit="1" customWidth="1"/>
    <col min="16155" max="16155" width="5.28515625" style="39" bestFit="1" customWidth="1"/>
    <col min="16156" max="16156" width="7.7109375" style="39" bestFit="1" customWidth="1"/>
    <col min="16157" max="16158" width="4.28515625" style="39" bestFit="1" customWidth="1"/>
    <col min="16159" max="16159" width="11.28515625" style="39" bestFit="1" customWidth="1"/>
    <col min="16160" max="16160" width="8.7109375" style="39" bestFit="1" customWidth="1"/>
    <col min="16161" max="16161" width="6.28515625" style="39" bestFit="1" customWidth="1"/>
    <col min="16162" max="16384" width="6.85546875" style="39"/>
  </cols>
  <sheetData>
    <row r="1" spans="1:52" ht="12.75" customHeight="1" x14ac:dyDescent="0.25">
      <c r="A1" s="45">
        <v>1</v>
      </c>
      <c r="B1" s="45">
        <v>2</v>
      </c>
      <c r="C1" s="45">
        <v>3</v>
      </c>
      <c r="D1" s="45">
        <v>4</v>
      </c>
      <c r="E1" s="45">
        <v>5</v>
      </c>
      <c r="F1" s="45">
        <v>6</v>
      </c>
      <c r="G1" s="45">
        <v>7</v>
      </c>
      <c r="H1" s="45">
        <v>8</v>
      </c>
      <c r="I1" s="39">
        <v>9</v>
      </c>
      <c r="J1" s="39">
        <v>10</v>
      </c>
      <c r="K1" s="45">
        <v>11</v>
      </c>
      <c r="L1" s="45">
        <v>12</v>
      </c>
      <c r="M1" s="45">
        <v>13</v>
      </c>
      <c r="N1" s="39">
        <v>14</v>
      </c>
      <c r="O1" s="45">
        <v>15</v>
      </c>
      <c r="P1" s="45">
        <v>16</v>
      </c>
      <c r="Q1" s="45">
        <v>17</v>
      </c>
      <c r="R1" s="45">
        <v>18</v>
      </c>
      <c r="S1" s="45">
        <v>19</v>
      </c>
      <c r="T1" s="45">
        <v>20</v>
      </c>
      <c r="U1" s="45">
        <v>21</v>
      </c>
      <c r="V1" s="45">
        <v>22</v>
      </c>
      <c r="W1" s="45">
        <v>23</v>
      </c>
      <c r="X1" s="45">
        <v>24</v>
      </c>
      <c r="Y1" s="45">
        <v>25</v>
      </c>
      <c r="Z1" s="45">
        <v>26</v>
      </c>
      <c r="AA1" s="45">
        <v>27</v>
      </c>
      <c r="AB1" s="45">
        <v>28</v>
      </c>
      <c r="AC1" s="45">
        <v>29</v>
      </c>
      <c r="AD1" s="45">
        <v>30</v>
      </c>
      <c r="AE1" s="45">
        <v>31</v>
      </c>
      <c r="AF1" s="45">
        <v>32</v>
      </c>
      <c r="AG1" s="45">
        <v>33</v>
      </c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</row>
    <row r="2" spans="1:52" ht="12.95" customHeight="1" x14ac:dyDescent="0.25"/>
    <row r="3" spans="1:52" ht="12.95" customHeight="1" x14ac:dyDescent="0.25">
      <c r="A3" s="39">
        <f>SUBTOTAL(3,A14:A208)</f>
        <v>5</v>
      </c>
    </row>
    <row r="4" spans="1:52" ht="12.95" customHeight="1" x14ac:dyDescent="0.25"/>
    <row r="5" spans="1:52" ht="12.95" customHeight="1" x14ac:dyDescent="0.25">
      <c r="C5" s="80"/>
      <c r="D5" s="79"/>
      <c r="E5" s="79"/>
      <c r="F5" s="80"/>
      <c r="G5" s="79"/>
      <c r="H5" s="80"/>
      <c r="I5" s="79"/>
      <c r="J5" s="79"/>
      <c r="K5" s="80"/>
      <c r="L5" s="79"/>
      <c r="M5" s="79"/>
      <c r="N5" s="79"/>
      <c r="O5" s="80"/>
      <c r="P5" s="79"/>
      <c r="Q5" s="79"/>
      <c r="R5" s="79"/>
      <c r="S5" s="80"/>
      <c r="T5" s="79"/>
      <c r="U5" s="79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77"/>
      <c r="AH5" s="77"/>
    </row>
    <row r="6" spans="1:52" ht="12.95" customHeight="1" x14ac:dyDescent="0.25">
      <c r="A6" s="77"/>
      <c r="B6" s="77"/>
      <c r="C6" s="80"/>
      <c r="D6" s="79"/>
      <c r="E6" s="79"/>
      <c r="F6" s="80"/>
      <c r="G6" s="79"/>
      <c r="H6" s="80"/>
      <c r="I6" s="79"/>
      <c r="J6" s="79"/>
      <c r="K6" s="80"/>
      <c r="L6" s="79"/>
      <c r="M6" s="79"/>
      <c r="N6" s="79"/>
      <c r="O6" s="80"/>
      <c r="P6" s="79"/>
      <c r="Q6" s="79"/>
      <c r="R6" s="79"/>
      <c r="S6" s="80"/>
      <c r="T6" s="79"/>
      <c r="U6" s="79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77"/>
    </row>
    <row r="7" spans="1:52" ht="12.95" customHeight="1" x14ac:dyDescent="0.25">
      <c r="A7" s="77"/>
      <c r="B7" s="77"/>
      <c r="C7" s="80"/>
      <c r="D7" s="79"/>
      <c r="E7" s="79"/>
      <c r="F7" s="80"/>
      <c r="G7" s="79"/>
      <c r="H7" s="80"/>
      <c r="I7" s="79"/>
      <c r="J7" s="79"/>
      <c r="K7" s="80"/>
      <c r="L7" s="79"/>
      <c r="M7" s="79"/>
      <c r="N7" s="79"/>
      <c r="O7" s="80"/>
      <c r="P7" s="79"/>
      <c r="Q7" s="79"/>
      <c r="R7" s="79"/>
      <c r="S7" s="80"/>
      <c r="T7" s="79"/>
      <c r="U7" s="79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77"/>
    </row>
    <row r="8" spans="1:52" ht="12.95" customHeight="1" x14ac:dyDescent="0.25">
      <c r="A8" s="77"/>
      <c r="B8" s="77"/>
      <c r="C8" s="77"/>
      <c r="D8" s="79"/>
      <c r="E8" s="79"/>
      <c r="F8" s="80"/>
      <c r="G8" s="79"/>
      <c r="H8" s="80"/>
      <c r="I8" s="79"/>
      <c r="J8" s="79"/>
      <c r="K8" s="80"/>
      <c r="L8" s="79"/>
      <c r="M8" s="79"/>
      <c r="N8" s="79"/>
      <c r="O8" s="80"/>
      <c r="P8" s="79"/>
      <c r="Q8" s="79"/>
      <c r="R8" s="79"/>
      <c r="S8" s="80"/>
      <c r="T8" s="79"/>
      <c r="U8" s="79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77"/>
    </row>
    <row r="9" spans="1:52" s="134" customFormat="1" ht="15" x14ac:dyDescent="0.25">
      <c r="A9" s="133" t="s">
        <v>273</v>
      </c>
      <c r="B9" s="133"/>
      <c r="C9" s="133" t="str">
        <f>IF(C11=C10,"OK","Not OK")</f>
        <v>OK</v>
      </c>
      <c r="D9" s="133" t="str">
        <f>IF(D11=D10,"OK","Not OK")</f>
        <v>OK</v>
      </c>
      <c r="E9" s="133" t="str">
        <f>IF(E11=E10,"OK","Not OK")</f>
        <v>OK</v>
      </c>
      <c r="F9" s="133"/>
      <c r="G9" s="133" t="str">
        <f>IF(G11=G10,"OK","Not OK")</f>
        <v>OK</v>
      </c>
      <c r="H9" s="133"/>
      <c r="I9" s="252" t="str">
        <f>IF(I11=I10,"OK","Not OK")</f>
        <v>OK</v>
      </c>
      <c r="J9" s="252" t="str">
        <f>IF(J11=J10,"OK","Not OK")</f>
        <v>OK</v>
      </c>
      <c r="K9" s="133"/>
      <c r="L9" s="133"/>
      <c r="M9" s="133"/>
      <c r="N9" s="252" t="str">
        <f>IF(N11=N10,"OK","Not OK")</f>
        <v>OK</v>
      </c>
      <c r="O9" s="133"/>
      <c r="P9" s="133"/>
      <c r="Q9" s="133"/>
      <c r="R9" s="133" t="str">
        <f>IF(R11=R10,"OK","Not OK")</f>
        <v>OK</v>
      </c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</row>
    <row r="10" spans="1:52" s="137" customFormat="1" ht="15" x14ac:dyDescent="0.25">
      <c r="A10" s="135" t="s">
        <v>279</v>
      </c>
      <c r="B10" s="135"/>
      <c r="C10" s="136">
        <f>SUM(LO!$U$7:$U$218)</f>
        <v>479</v>
      </c>
      <c r="D10" s="136">
        <f>SUM(LO!$S$7:$S$218)</f>
        <v>565</v>
      </c>
      <c r="E10" s="136">
        <f>SUM(LO!$O$7:$O$218)</f>
        <v>1109</v>
      </c>
      <c r="F10" s="136">
        <f>SUBTOTAL(9,F13:F140)</f>
        <v>88636.363636363647</v>
      </c>
      <c r="G10" s="213">
        <f>SUM(LO!$L$7:$L$218)</f>
        <v>5663257.5757575762</v>
      </c>
      <c r="H10" s="136"/>
      <c r="I10" s="136">
        <f>SUM(LO!$I$7:$I$218)</f>
        <v>20813</v>
      </c>
      <c r="J10" s="213">
        <f>SUM(LO!$F$7:$F$218)</f>
        <v>75028632.769355923</v>
      </c>
      <c r="K10" s="136">
        <f t="shared" ref="K10:M11" si="0">SUBTOTAL(9,K13:K140)</f>
        <v>150.89607640364846</v>
      </c>
      <c r="L10" s="136">
        <f t="shared" si="0"/>
        <v>12</v>
      </c>
      <c r="M10" s="136">
        <f t="shared" si="0"/>
        <v>5340.9224924242453</v>
      </c>
      <c r="N10" s="136">
        <f>SUM(LO!$Y$7:$Y$218)</f>
        <v>2092040.1334228136</v>
      </c>
      <c r="O10" s="136">
        <f t="shared" ref="O10:Q11" si="1">SUBTOTAL(9,O13:O140)</f>
        <v>10.644497689214106</v>
      </c>
      <c r="P10" s="136">
        <f t="shared" si="1"/>
        <v>15</v>
      </c>
      <c r="Q10" s="136">
        <f t="shared" si="1"/>
        <v>52127.57201766767</v>
      </c>
      <c r="R10" s="136">
        <f>SUM(LO!$AA$7:$AA$218)</f>
        <v>1807918.8251630927</v>
      </c>
      <c r="S10" s="136">
        <f t="shared" ref="S10:AG10" si="2">SUBTOTAL(9,S13:S140)</f>
        <v>20.856134395966457</v>
      </c>
      <c r="T10" s="136">
        <f t="shared" si="2"/>
        <v>0</v>
      </c>
      <c r="U10" s="136">
        <f t="shared" si="2"/>
        <v>0</v>
      </c>
      <c r="V10" s="136">
        <f t="shared" si="2"/>
        <v>0</v>
      </c>
      <c r="W10" s="136">
        <f t="shared" si="2"/>
        <v>51</v>
      </c>
      <c r="X10" s="136">
        <f t="shared" si="2"/>
        <v>264772.72727272729</v>
      </c>
      <c r="Y10" s="136">
        <f t="shared" si="2"/>
        <v>197</v>
      </c>
      <c r="Z10" s="136">
        <f t="shared" si="2"/>
        <v>637</v>
      </c>
      <c r="AA10" s="136">
        <f t="shared" si="2"/>
        <v>0</v>
      </c>
      <c r="AB10" s="136">
        <f t="shared" si="2"/>
        <v>0</v>
      </c>
      <c r="AC10" s="136">
        <f t="shared" si="2"/>
        <v>290</v>
      </c>
      <c r="AD10" s="136">
        <f t="shared" si="2"/>
        <v>0</v>
      </c>
      <c r="AE10" s="136">
        <f t="shared" si="2"/>
        <v>0</v>
      </c>
      <c r="AF10" s="136">
        <f t="shared" si="2"/>
        <v>0</v>
      </c>
      <c r="AG10" s="136">
        <f t="shared" si="2"/>
        <v>491.55511943831306</v>
      </c>
    </row>
    <row r="11" spans="1:52" s="137" customFormat="1" ht="15" x14ac:dyDescent="0.25">
      <c r="A11" s="135" t="s">
        <v>274</v>
      </c>
      <c r="B11" s="135"/>
      <c r="C11" s="136">
        <f>SUM(C14:C141)</f>
        <v>479</v>
      </c>
      <c r="D11" s="136">
        <f>SUM(D14:D141)</f>
        <v>565</v>
      </c>
      <c r="E11" s="136">
        <f>SUM(E14:E141)</f>
        <v>1109</v>
      </c>
      <c r="F11" s="136">
        <f>SUBTOTAL(9,F14:F141)</f>
        <v>88636.363636363647</v>
      </c>
      <c r="G11" s="213">
        <f>SUM(G14:G141)</f>
        <v>5663257.5757575762</v>
      </c>
      <c r="H11" s="136"/>
      <c r="I11" s="136">
        <f>SUM(I14:I141)</f>
        <v>20813</v>
      </c>
      <c r="J11" s="213">
        <f>SUM(J14:J141)</f>
        <v>75028632.769355938</v>
      </c>
      <c r="K11" s="136">
        <f t="shared" si="0"/>
        <v>150.89607640364846</v>
      </c>
      <c r="L11" s="136">
        <f t="shared" si="0"/>
        <v>12</v>
      </c>
      <c r="M11" s="136">
        <f t="shared" si="0"/>
        <v>5340.9224924242453</v>
      </c>
      <c r="N11" s="136">
        <f>SUM(N14:N141)</f>
        <v>2092040.1334228141</v>
      </c>
      <c r="O11" s="136">
        <f t="shared" si="1"/>
        <v>10.644497689214106</v>
      </c>
      <c r="P11" s="136">
        <f t="shared" si="1"/>
        <v>15</v>
      </c>
      <c r="Q11" s="136">
        <f t="shared" si="1"/>
        <v>52127.57201766767</v>
      </c>
      <c r="R11" s="136">
        <f>SUM(R14:R141)</f>
        <v>1807918.8251630929</v>
      </c>
      <c r="S11" s="136">
        <f t="shared" ref="S11:AG11" si="3">SUBTOTAL(9,S14:S141)</f>
        <v>20.856134395966457</v>
      </c>
      <c r="T11" s="136">
        <f t="shared" si="3"/>
        <v>0</v>
      </c>
      <c r="U11" s="136">
        <f t="shared" si="3"/>
        <v>0</v>
      </c>
      <c r="V11" s="136">
        <f t="shared" si="3"/>
        <v>0</v>
      </c>
      <c r="W11" s="136">
        <f t="shared" si="3"/>
        <v>51</v>
      </c>
      <c r="X11" s="136">
        <f t="shared" si="3"/>
        <v>264772.72727272729</v>
      </c>
      <c r="Y11" s="136">
        <f t="shared" si="3"/>
        <v>197</v>
      </c>
      <c r="Z11" s="136">
        <f t="shared" si="3"/>
        <v>637</v>
      </c>
      <c r="AA11" s="136">
        <f t="shared" si="3"/>
        <v>0</v>
      </c>
      <c r="AB11" s="136">
        <f t="shared" si="3"/>
        <v>0</v>
      </c>
      <c r="AC11" s="136">
        <f t="shared" si="3"/>
        <v>290</v>
      </c>
      <c r="AD11" s="136">
        <f t="shared" si="3"/>
        <v>0</v>
      </c>
      <c r="AE11" s="136">
        <f t="shared" si="3"/>
        <v>0</v>
      </c>
      <c r="AF11" s="136">
        <f t="shared" si="3"/>
        <v>0</v>
      </c>
      <c r="AG11" s="136">
        <f t="shared" si="3"/>
        <v>491.55511943831306</v>
      </c>
    </row>
    <row r="12" spans="1:52" ht="12.75" customHeight="1" x14ac:dyDescent="0.2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</row>
    <row r="13" spans="1:52" ht="41.85" customHeight="1" x14ac:dyDescent="0.25">
      <c r="A13" s="139" t="s">
        <v>281</v>
      </c>
      <c r="B13" s="140" t="s">
        <v>280</v>
      </c>
      <c r="C13" s="141" t="s">
        <v>282</v>
      </c>
      <c r="D13" s="141" t="s">
        <v>283</v>
      </c>
      <c r="E13" s="141" t="s">
        <v>284</v>
      </c>
      <c r="F13" s="141" t="s">
        <v>285</v>
      </c>
      <c r="G13" s="141" t="s">
        <v>286</v>
      </c>
      <c r="H13" s="141" t="s">
        <v>287</v>
      </c>
      <c r="I13" s="140" t="s">
        <v>288</v>
      </c>
      <c r="J13" s="140" t="s">
        <v>289</v>
      </c>
      <c r="K13" s="140" t="s">
        <v>290</v>
      </c>
      <c r="L13" s="140" t="s">
        <v>291</v>
      </c>
      <c r="M13" s="140" t="s">
        <v>292</v>
      </c>
      <c r="N13" s="140" t="s">
        <v>293</v>
      </c>
      <c r="O13" s="140" t="s">
        <v>294</v>
      </c>
      <c r="P13" s="140" t="s">
        <v>295</v>
      </c>
      <c r="Q13" s="140" t="s">
        <v>296</v>
      </c>
      <c r="R13" s="140" t="s">
        <v>297</v>
      </c>
      <c r="S13" s="140" t="s">
        <v>298</v>
      </c>
      <c r="T13" s="140" t="s">
        <v>299</v>
      </c>
      <c r="U13" s="140" t="s">
        <v>300</v>
      </c>
      <c r="V13" s="140" t="s">
        <v>301</v>
      </c>
      <c r="W13" s="140" t="s">
        <v>302</v>
      </c>
      <c r="X13" s="140" t="s">
        <v>303</v>
      </c>
      <c r="Y13" s="140" t="s">
        <v>304</v>
      </c>
      <c r="Z13" s="140" t="s">
        <v>305</v>
      </c>
      <c r="AA13" s="140" t="s">
        <v>306</v>
      </c>
      <c r="AB13" s="140" t="s">
        <v>307</v>
      </c>
      <c r="AC13" s="140" t="s">
        <v>308</v>
      </c>
      <c r="AD13" s="140" t="s">
        <v>309</v>
      </c>
      <c r="AE13" s="140" t="s">
        <v>310</v>
      </c>
      <c r="AF13" s="140" t="s">
        <v>311</v>
      </c>
      <c r="AG13" s="140" t="s">
        <v>312</v>
      </c>
      <c r="AH13" s="140"/>
    </row>
    <row r="14" spans="1:52" ht="15" hidden="1" x14ac:dyDescent="0.25">
      <c r="A14" s="77" t="s">
        <v>1</v>
      </c>
      <c r="B14" s="78">
        <v>42740</v>
      </c>
      <c r="C14" s="79">
        <v>7</v>
      </c>
      <c r="D14" s="79">
        <v>5</v>
      </c>
      <c r="E14" s="79">
        <v>13</v>
      </c>
      <c r="F14" s="79">
        <v>23484.848484848488</v>
      </c>
      <c r="G14" s="79">
        <v>50000</v>
      </c>
      <c r="H14" s="79">
        <v>16.666666666666664</v>
      </c>
      <c r="I14" s="79">
        <v>244</v>
      </c>
      <c r="J14" s="79">
        <v>598048.84202695545</v>
      </c>
      <c r="K14" s="79">
        <v>47.540983606557376</v>
      </c>
      <c r="L14" s="79">
        <v>6</v>
      </c>
      <c r="M14" s="79">
        <v>1298.4025909090908</v>
      </c>
      <c r="N14" s="79">
        <v>14831.415651515152</v>
      </c>
      <c r="O14" s="79">
        <v>2.4799672884989326</v>
      </c>
      <c r="P14" s="79">
        <v>0</v>
      </c>
      <c r="Q14" s="79">
        <v>0</v>
      </c>
      <c r="R14" s="79">
        <v>0</v>
      </c>
      <c r="S14" s="79">
        <v>0</v>
      </c>
      <c r="T14" s="79">
        <v>0</v>
      </c>
      <c r="U14" s="79">
        <v>0</v>
      </c>
      <c r="V14" s="79">
        <v>0</v>
      </c>
      <c r="W14" s="79">
        <v>13</v>
      </c>
      <c r="X14" s="79">
        <v>53030.303030303025</v>
      </c>
      <c r="Y14" s="79">
        <v>76</v>
      </c>
      <c r="Z14" s="79">
        <v>243</v>
      </c>
      <c r="AA14" s="79">
        <v>0</v>
      </c>
      <c r="AB14" s="79">
        <v>0</v>
      </c>
      <c r="AC14" s="79">
        <v>116</v>
      </c>
      <c r="AD14" s="79">
        <v>0</v>
      </c>
      <c r="AE14" s="79">
        <v>0</v>
      </c>
      <c r="AF14" s="79">
        <v>0</v>
      </c>
      <c r="AG14" s="79">
        <v>99.674377085670457</v>
      </c>
    </row>
    <row r="15" spans="1:52" ht="15" hidden="1" x14ac:dyDescent="0.25">
      <c r="A15" s="77" t="s">
        <v>2</v>
      </c>
      <c r="B15" s="78">
        <v>41484</v>
      </c>
      <c r="C15" s="79">
        <v>2</v>
      </c>
      <c r="D15" s="79">
        <v>3</v>
      </c>
      <c r="E15" s="79">
        <v>4</v>
      </c>
      <c r="F15" s="79">
        <v>9090.9090909090901</v>
      </c>
      <c r="G15" s="79">
        <v>43409.090909090912</v>
      </c>
      <c r="H15" s="79">
        <v>33.333333333333329</v>
      </c>
      <c r="I15" s="79">
        <v>187</v>
      </c>
      <c r="J15" s="79">
        <v>1440778.5476949404</v>
      </c>
      <c r="K15" s="79">
        <v>39.572192513368989</v>
      </c>
      <c r="L15" s="79">
        <v>6</v>
      </c>
      <c r="M15" s="79">
        <v>2550.103251406108</v>
      </c>
      <c r="N15" s="79">
        <v>56330.902525930534</v>
      </c>
      <c r="O15" s="79">
        <v>3.9097543905031555</v>
      </c>
      <c r="P15" s="79">
        <v>7</v>
      </c>
      <c r="Q15" s="79">
        <v>21699.68886808867</v>
      </c>
      <c r="R15" s="79">
        <v>55192.86010061964</v>
      </c>
      <c r="S15" s="79">
        <v>3.8307663720369174</v>
      </c>
      <c r="T15" s="79">
        <v>1</v>
      </c>
      <c r="U15" s="79">
        <v>946.969696969697</v>
      </c>
      <c r="V15" s="79">
        <v>0</v>
      </c>
      <c r="W15" s="79">
        <v>5</v>
      </c>
      <c r="X15" s="79">
        <v>62121.21212121212</v>
      </c>
      <c r="Y15" s="79">
        <v>41</v>
      </c>
      <c r="Z15" s="79">
        <v>129</v>
      </c>
      <c r="AA15" s="79">
        <v>0</v>
      </c>
      <c r="AB15" s="79">
        <v>0</v>
      </c>
      <c r="AC15" s="79">
        <v>74</v>
      </c>
      <c r="AD15" s="79">
        <v>0</v>
      </c>
      <c r="AE15" s="79">
        <v>0</v>
      </c>
      <c r="AF15" s="79">
        <v>0</v>
      </c>
      <c r="AG15" s="79">
        <v>96.745097251865815</v>
      </c>
    </row>
    <row r="16" spans="1:52" ht="15" hidden="1" x14ac:dyDescent="0.25">
      <c r="A16" s="77" t="s">
        <v>3</v>
      </c>
      <c r="B16" s="78">
        <v>38903</v>
      </c>
      <c r="C16" s="79">
        <v>3</v>
      </c>
      <c r="D16" s="79">
        <v>1</v>
      </c>
      <c r="E16" s="79">
        <v>4</v>
      </c>
      <c r="F16" s="79">
        <v>9848.484848484848</v>
      </c>
      <c r="G16" s="79">
        <v>21212.121212121216</v>
      </c>
      <c r="H16" s="79">
        <v>25</v>
      </c>
      <c r="I16" s="79">
        <v>290</v>
      </c>
      <c r="J16" s="79">
        <v>699862.1903251037</v>
      </c>
      <c r="K16" s="79">
        <v>46.551724137931032</v>
      </c>
      <c r="L16" s="79">
        <v>11</v>
      </c>
      <c r="M16" s="79">
        <v>2521.3950227272726</v>
      </c>
      <c r="N16" s="79">
        <v>32973.368189393943</v>
      </c>
      <c r="O16" s="79">
        <v>4.711408709488504</v>
      </c>
      <c r="P16" s="79">
        <v>7</v>
      </c>
      <c r="Q16" s="79">
        <v>8005.0995405800086</v>
      </c>
      <c r="R16" s="79">
        <v>11147.860737549705</v>
      </c>
      <c r="S16" s="79">
        <v>1.5928651228281445</v>
      </c>
      <c r="T16" s="79">
        <v>0</v>
      </c>
      <c r="U16" s="79">
        <v>0</v>
      </c>
      <c r="V16" s="79">
        <v>0</v>
      </c>
      <c r="W16" s="79">
        <v>4</v>
      </c>
      <c r="X16" s="79">
        <v>14772.727272727272</v>
      </c>
      <c r="Y16" s="79">
        <v>46</v>
      </c>
      <c r="Z16" s="79">
        <v>208</v>
      </c>
      <c r="AA16" s="79">
        <v>0</v>
      </c>
      <c r="AB16" s="79">
        <v>0</v>
      </c>
      <c r="AC16" s="79">
        <v>135</v>
      </c>
      <c r="AD16" s="79">
        <v>0</v>
      </c>
      <c r="AE16" s="79">
        <v>0</v>
      </c>
      <c r="AF16" s="79">
        <v>0</v>
      </c>
      <c r="AG16" s="79">
        <v>97.291153793920373</v>
      </c>
    </row>
    <row r="17" spans="1:33" ht="15" hidden="1" x14ac:dyDescent="0.25">
      <c r="A17" s="77" t="s">
        <v>4</v>
      </c>
      <c r="B17" s="78">
        <v>39264</v>
      </c>
      <c r="C17" s="79">
        <v>1</v>
      </c>
      <c r="D17" s="79">
        <v>12</v>
      </c>
      <c r="E17" s="79">
        <v>15</v>
      </c>
      <c r="F17" s="79">
        <v>3030.3030303030305</v>
      </c>
      <c r="G17" s="79">
        <v>72348.484848484848</v>
      </c>
      <c r="H17" s="79">
        <v>44.444444444444443</v>
      </c>
      <c r="I17" s="79">
        <v>224</v>
      </c>
      <c r="J17" s="79">
        <v>888722.04101347236</v>
      </c>
      <c r="K17" s="79">
        <v>23.214285714285715</v>
      </c>
      <c r="L17" s="79">
        <v>5</v>
      </c>
      <c r="M17" s="79">
        <v>1126.437393939394</v>
      </c>
      <c r="N17" s="79">
        <v>22291.60565909091</v>
      </c>
      <c r="O17" s="79">
        <v>2.5082764498189132</v>
      </c>
      <c r="P17" s="79">
        <v>12</v>
      </c>
      <c r="Q17" s="79">
        <v>15675.762814663096</v>
      </c>
      <c r="R17" s="79">
        <v>40007.080638472726</v>
      </c>
      <c r="S17" s="79">
        <v>4.5016415473222464</v>
      </c>
      <c r="T17" s="79">
        <v>0</v>
      </c>
      <c r="U17" s="79">
        <v>0</v>
      </c>
      <c r="V17" s="79">
        <v>0</v>
      </c>
      <c r="W17" s="79">
        <v>15</v>
      </c>
      <c r="X17" s="79">
        <v>72348.484848484848</v>
      </c>
      <c r="Y17" s="79">
        <v>87</v>
      </c>
      <c r="Z17" s="79">
        <v>239</v>
      </c>
      <c r="AA17" s="79">
        <v>0</v>
      </c>
      <c r="AB17" s="79">
        <v>0</v>
      </c>
      <c r="AC17" s="79">
        <v>52</v>
      </c>
      <c r="AD17" s="79">
        <v>0</v>
      </c>
      <c r="AE17" s="79">
        <v>0</v>
      </c>
      <c r="AF17" s="79">
        <v>0</v>
      </c>
      <c r="AG17" s="79">
        <v>96.930661239351608</v>
      </c>
    </row>
    <row r="18" spans="1:33" ht="15" x14ac:dyDescent="0.25">
      <c r="A18" s="77" t="s">
        <v>6</v>
      </c>
      <c r="B18" s="78">
        <v>43662</v>
      </c>
      <c r="C18" s="79">
        <v>3</v>
      </c>
      <c r="D18" s="79">
        <v>8</v>
      </c>
      <c r="E18" s="79">
        <v>12</v>
      </c>
      <c r="F18" s="79">
        <v>8333.3333333333339</v>
      </c>
      <c r="G18" s="79">
        <v>81060.606060606078</v>
      </c>
      <c r="H18" s="79">
        <v>35.714285714285715</v>
      </c>
      <c r="I18" s="79">
        <v>267</v>
      </c>
      <c r="J18" s="79">
        <v>985481.07109689084</v>
      </c>
      <c r="K18" s="79">
        <v>43.820224719101127</v>
      </c>
      <c r="L18" s="79">
        <v>4</v>
      </c>
      <c r="M18" s="79">
        <v>1179.6680606060606</v>
      </c>
      <c r="N18" s="79">
        <v>29157.528424242428</v>
      </c>
      <c r="O18" s="79">
        <v>2.9587101446594612</v>
      </c>
      <c r="P18" s="79">
        <v>4</v>
      </c>
      <c r="Q18" s="79">
        <v>2233.3254621212136</v>
      </c>
      <c r="R18" s="79">
        <v>20333.36837878788</v>
      </c>
      <c r="S18" s="79">
        <v>2.0632936517142637</v>
      </c>
      <c r="T18" s="79">
        <v>0</v>
      </c>
      <c r="U18" s="79">
        <v>0</v>
      </c>
      <c r="V18" s="79">
        <v>0</v>
      </c>
      <c r="W18" s="79">
        <v>12</v>
      </c>
      <c r="X18" s="79">
        <v>55681.818181818184</v>
      </c>
      <c r="Y18" s="79">
        <v>80</v>
      </c>
      <c r="Z18" s="79">
        <v>240</v>
      </c>
      <c r="AA18" s="79">
        <v>0</v>
      </c>
      <c r="AB18" s="79">
        <v>0</v>
      </c>
      <c r="AC18" s="79">
        <v>117</v>
      </c>
      <c r="AD18" s="79">
        <v>0</v>
      </c>
      <c r="AE18" s="79">
        <v>0</v>
      </c>
      <c r="AF18" s="79">
        <v>0</v>
      </c>
      <c r="AG18" s="79">
        <v>99.396781595414964</v>
      </c>
    </row>
    <row r="19" spans="1:33" ht="15" hidden="1" x14ac:dyDescent="0.25">
      <c r="A19" s="77" t="s">
        <v>7</v>
      </c>
      <c r="B19" s="78">
        <v>42991</v>
      </c>
      <c r="C19" s="79">
        <v>0</v>
      </c>
      <c r="D19" s="79">
        <v>0</v>
      </c>
      <c r="E19" s="79">
        <v>0</v>
      </c>
      <c r="F19" s="79">
        <v>0</v>
      </c>
      <c r="G19" s="79">
        <v>0</v>
      </c>
      <c r="H19" s="79">
        <v>0</v>
      </c>
      <c r="I19" s="79">
        <v>73</v>
      </c>
      <c r="J19" s="79">
        <v>1455457.4463443225</v>
      </c>
      <c r="K19" s="79">
        <v>2.7397260273972601</v>
      </c>
      <c r="L19" s="79">
        <v>2</v>
      </c>
      <c r="M19" s="79">
        <v>1887.8994696969698</v>
      </c>
      <c r="N19" s="79">
        <v>49317.606878787876</v>
      </c>
      <c r="O19" s="79">
        <v>3.3884609270205099</v>
      </c>
      <c r="P19" s="79">
        <v>4</v>
      </c>
      <c r="Q19" s="79">
        <v>26032.312643939396</v>
      </c>
      <c r="R19" s="79">
        <v>91983.202242424246</v>
      </c>
      <c r="S19" s="79">
        <v>6.3198826233950562</v>
      </c>
      <c r="T19" s="79">
        <v>0</v>
      </c>
      <c r="U19" s="79">
        <v>0</v>
      </c>
      <c r="V19" s="79">
        <v>0</v>
      </c>
      <c r="W19" s="79">
        <v>0</v>
      </c>
      <c r="X19" s="79">
        <v>0</v>
      </c>
      <c r="Y19" s="79">
        <v>23</v>
      </c>
      <c r="Z19" s="79">
        <v>46</v>
      </c>
      <c r="AA19" s="79">
        <v>0</v>
      </c>
      <c r="AB19" s="79">
        <v>0</v>
      </c>
      <c r="AC19" s="79">
        <v>2</v>
      </c>
      <c r="AD19" s="79">
        <v>0</v>
      </c>
      <c r="AE19" s="79">
        <v>0</v>
      </c>
      <c r="AF19" s="79">
        <v>0</v>
      </c>
      <c r="AG19" s="79">
        <v>96.749300926194252</v>
      </c>
    </row>
    <row r="20" spans="1:33" ht="15" x14ac:dyDescent="0.25">
      <c r="A20" s="77" t="s">
        <v>8</v>
      </c>
      <c r="B20" s="78">
        <v>42410</v>
      </c>
      <c r="C20" s="79">
        <v>8</v>
      </c>
      <c r="D20" s="79">
        <v>4</v>
      </c>
      <c r="E20" s="79">
        <v>16</v>
      </c>
      <c r="F20" s="79">
        <v>32575.75757575758</v>
      </c>
      <c r="G20" s="79">
        <v>80681.818181818177</v>
      </c>
      <c r="H20" s="79">
        <v>14.285714285714285</v>
      </c>
      <c r="I20" s="79">
        <v>300</v>
      </c>
      <c r="J20" s="79">
        <v>1277637.5282020152</v>
      </c>
      <c r="K20" s="79">
        <v>34.666666666666671</v>
      </c>
      <c r="L20" s="79">
        <v>1</v>
      </c>
      <c r="M20" s="79">
        <v>609.09090909090912</v>
      </c>
      <c r="N20" s="79">
        <v>1854.5454545454545</v>
      </c>
      <c r="O20" s="79">
        <v>0.14515427213188598</v>
      </c>
      <c r="P20" s="79">
        <v>3</v>
      </c>
      <c r="Q20" s="79">
        <v>14352.295189393939</v>
      </c>
      <c r="R20" s="79">
        <v>31061.245227272724</v>
      </c>
      <c r="S20" s="79">
        <v>2.4311469052560137</v>
      </c>
      <c r="T20" s="79">
        <v>0</v>
      </c>
      <c r="U20" s="79">
        <v>0</v>
      </c>
      <c r="V20" s="79">
        <v>0</v>
      </c>
      <c r="W20" s="79">
        <v>17</v>
      </c>
      <c r="X20" s="79">
        <v>82954.545454545456</v>
      </c>
      <c r="Y20" s="79">
        <v>64</v>
      </c>
      <c r="Z20" s="79">
        <v>201</v>
      </c>
      <c r="AA20" s="79">
        <v>0</v>
      </c>
      <c r="AB20" s="79">
        <v>0</v>
      </c>
      <c r="AC20" s="79">
        <v>104</v>
      </c>
      <c r="AD20" s="79">
        <v>0</v>
      </c>
      <c r="AE20" s="79">
        <v>0</v>
      </c>
      <c r="AF20" s="79">
        <v>0</v>
      </c>
      <c r="AG20" s="79">
        <v>98.174085879809823</v>
      </c>
    </row>
    <row r="21" spans="1:33" ht="15" hidden="1" x14ac:dyDescent="0.25">
      <c r="A21" s="77" t="s">
        <v>426</v>
      </c>
      <c r="B21" s="78">
        <v>41498</v>
      </c>
      <c r="C21" s="79">
        <v>1</v>
      </c>
      <c r="D21" s="79">
        <v>1</v>
      </c>
      <c r="E21" s="79">
        <v>1</v>
      </c>
      <c r="F21" s="79">
        <v>4090.909090909091</v>
      </c>
      <c r="G21" s="79">
        <v>4090.909090909091</v>
      </c>
      <c r="H21" s="79">
        <v>0</v>
      </c>
      <c r="I21" s="79">
        <v>49</v>
      </c>
      <c r="J21" s="79">
        <v>150108.14393939395</v>
      </c>
      <c r="K21" s="79">
        <v>63.265306122448983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79">
        <v>0</v>
      </c>
      <c r="R21" s="79">
        <v>0</v>
      </c>
      <c r="S21" s="79">
        <v>0</v>
      </c>
      <c r="T21" s="79">
        <v>0</v>
      </c>
      <c r="U21" s="79">
        <v>0</v>
      </c>
      <c r="V21" s="79">
        <v>0</v>
      </c>
      <c r="W21" s="79">
        <v>1</v>
      </c>
      <c r="X21" s="79">
        <v>4090.909090909091</v>
      </c>
      <c r="Y21" s="79">
        <v>2</v>
      </c>
      <c r="Z21" s="79">
        <v>5</v>
      </c>
      <c r="AA21" s="79">
        <v>0</v>
      </c>
      <c r="AB21" s="79">
        <v>0</v>
      </c>
      <c r="AC21" s="79">
        <v>31</v>
      </c>
      <c r="AD21" s="79">
        <v>0</v>
      </c>
      <c r="AE21" s="79">
        <v>0</v>
      </c>
      <c r="AF21" s="79">
        <v>0</v>
      </c>
      <c r="AG21" s="79">
        <v>100.00000000000004</v>
      </c>
    </row>
    <row r="22" spans="1:33" ht="15" hidden="1" x14ac:dyDescent="0.25">
      <c r="A22" s="77" t="s">
        <v>9</v>
      </c>
      <c r="B22" s="78">
        <v>42278</v>
      </c>
      <c r="C22" s="79">
        <v>9</v>
      </c>
      <c r="D22" s="79">
        <v>4</v>
      </c>
      <c r="E22" s="79">
        <v>13</v>
      </c>
      <c r="F22" s="79">
        <v>34090.909090909096</v>
      </c>
      <c r="G22" s="79">
        <v>60606.060606060608</v>
      </c>
      <c r="H22" s="79">
        <v>14.285714285714285</v>
      </c>
      <c r="I22" s="79">
        <v>189</v>
      </c>
      <c r="J22" s="79">
        <v>631286.17750086309</v>
      </c>
      <c r="K22" s="79">
        <v>46.560846560846556</v>
      </c>
      <c r="L22" s="79">
        <v>0</v>
      </c>
      <c r="M22" s="79">
        <v>0</v>
      </c>
      <c r="N22" s="79">
        <v>0</v>
      </c>
      <c r="O22" s="79">
        <v>0</v>
      </c>
      <c r="P22" s="79">
        <v>1</v>
      </c>
      <c r="Q22" s="79">
        <v>792.83879545454545</v>
      </c>
      <c r="R22" s="79">
        <v>1383.1830833333336</v>
      </c>
      <c r="S22" s="79">
        <v>0.21910555507631757</v>
      </c>
      <c r="T22" s="79">
        <v>0</v>
      </c>
      <c r="U22" s="79">
        <v>0</v>
      </c>
      <c r="V22" s="79">
        <v>0</v>
      </c>
      <c r="W22" s="79">
        <v>16</v>
      </c>
      <c r="X22" s="79">
        <v>69696.969696969696</v>
      </c>
      <c r="Y22" s="79">
        <v>80</v>
      </c>
      <c r="Z22" s="79">
        <v>151</v>
      </c>
      <c r="AA22" s="79">
        <v>0</v>
      </c>
      <c r="AB22" s="79">
        <v>0</v>
      </c>
      <c r="AC22" s="79">
        <v>88</v>
      </c>
      <c r="AD22" s="79">
        <v>0</v>
      </c>
      <c r="AE22" s="79">
        <v>0</v>
      </c>
      <c r="AF22" s="79">
        <v>0</v>
      </c>
      <c r="AG22" s="79">
        <v>99.814748287811611</v>
      </c>
    </row>
    <row r="23" spans="1:33" ht="15" hidden="1" x14ac:dyDescent="0.25">
      <c r="A23" s="77" t="s">
        <v>10</v>
      </c>
      <c r="B23" s="78">
        <v>43862</v>
      </c>
      <c r="C23" s="79">
        <v>0</v>
      </c>
      <c r="D23" s="79">
        <v>1</v>
      </c>
      <c r="E23" s="79">
        <v>1</v>
      </c>
      <c r="F23" s="79">
        <v>0</v>
      </c>
      <c r="G23" s="79">
        <v>34090.909090909088</v>
      </c>
      <c r="H23" s="79">
        <v>100</v>
      </c>
      <c r="I23" s="79">
        <v>51</v>
      </c>
      <c r="J23" s="79">
        <v>923439.90920002246</v>
      </c>
      <c r="K23" s="79">
        <v>3.9215686274509802</v>
      </c>
      <c r="L23" s="79">
        <v>1</v>
      </c>
      <c r="M23" s="79">
        <v>1681.4521363636363</v>
      </c>
      <c r="N23" s="79">
        <v>16154.038310606054</v>
      </c>
      <c r="O23" s="79">
        <v>1.7493329181105381</v>
      </c>
      <c r="P23" s="79">
        <v>1</v>
      </c>
      <c r="Q23" s="79">
        <v>8756.1047727272726</v>
      </c>
      <c r="R23" s="79">
        <v>14652.727553030307</v>
      </c>
      <c r="S23" s="79">
        <v>1.5867548507540667</v>
      </c>
      <c r="T23" s="79">
        <v>0</v>
      </c>
      <c r="U23" s="79">
        <v>0</v>
      </c>
      <c r="V23" s="79">
        <v>0</v>
      </c>
      <c r="W23" s="79">
        <v>1</v>
      </c>
      <c r="X23" s="79">
        <v>34090.909090909088</v>
      </c>
      <c r="Y23" s="79">
        <v>19</v>
      </c>
      <c r="Z23" s="79">
        <v>25</v>
      </c>
      <c r="AA23" s="79">
        <v>0</v>
      </c>
      <c r="AB23" s="79">
        <v>0</v>
      </c>
      <c r="AC23" s="79">
        <v>2</v>
      </c>
      <c r="AD23" s="79">
        <v>0</v>
      </c>
      <c r="AE23" s="79">
        <v>0</v>
      </c>
      <c r="AF23" s="79">
        <v>0</v>
      </c>
      <c r="AG23" s="79">
        <v>98.062205883323628</v>
      </c>
    </row>
    <row r="24" spans="1:33" ht="15" hidden="1" x14ac:dyDescent="0.25">
      <c r="A24" s="77" t="s">
        <v>11</v>
      </c>
      <c r="B24" s="78">
        <v>39417</v>
      </c>
      <c r="C24" s="79">
        <v>1</v>
      </c>
      <c r="D24" s="79">
        <v>8</v>
      </c>
      <c r="E24" s="79">
        <v>10</v>
      </c>
      <c r="F24" s="79">
        <v>3030.3030303030305</v>
      </c>
      <c r="G24" s="79">
        <v>43181.818181818177</v>
      </c>
      <c r="H24" s="79">
        <v>23.076923076923077</v>
      </c>
      <c r="I24" s="79">
        <v>222</v>
      </c>
      <c r="J24" s="79">
        <v>697313.97486840864</v>
      </c>
      <c r="K24" s="79">
        <v>14.414414414414415</v>
      </c>
      <c r="L24" s="79">
        <v>15</v>
      </c>
      <c r="M24" s="79">
        <v>3274.8480568753671</v>
      </c>
      <c r="N24" s="79">
        <v>38395.734327766579</v>
      </c>
      <c r="O24" s="79">
        <v>5.5062333054507215</v>
      </c>
      <c r="P24" s="79">
        <v>6</v>
      </c>
      <c r="Q24" s="79">
        <v>6258.6934118538202</v>
      </c>
      <c r="R24" s="79">
        <v>13939.951290641697</v>
      </c>
      <c r="S24" s="79">
        <v>1.9990924881825769</v>
      </c>
      <c r="T24" s="79">
        <v>1</v>
      </c>
      <c r="U24" s="79">
        <v>1571.2121212121212</v>
      </c>
      <c r="V24" s="79">
        <v>0</v>
      </c>
      <c r="W24" s="79">
        <v>10</v>
      </c>
      <c r="X24" s="79">
        <v>41666.666666666664</v>
      </c>
      <c r="Y24" s="79">
        <v>110</v>
      </c>
      <c r="Z24" s="79">
        <v>237</v>
      </c>
      <c r="AA24" s="79">
        <v>0</v>
      </c>
      <c r="AB24" s="79">
        <v>0</v>
      </c>
      <c r="AC24" s="79">
        <v>32</v>
      </c>
      <c r="AD24" s="79">
        <v>0</v>
      </c>
      <c r="AE24" s="79">
        <v>0</v>
      </c>
      <c r="AF24" s="79">
        <v>0</v>
      </c>
      <c r="AG24" s="79">
        <v>98.127841174580766</v>
      </c>
    </row>
    <row r="25" spans="1:33" ht="15" hidden="1" x14ac:dyDescent="0.25">
      <c r="A25" s="77" t="s">
        <v>12</v>
      </c>
      <c r="B25" s="78">
        <v>40909</v>
      </c>
      <c r="C25" s="79">
        <v>1</v>
      </c>
      <c r="D25" s="79">
        <v>4</v>
      </c>
      <c r="E25" s="79">
        <v>4</v>
      </c>
      <c r="F25" s="79">
        <v>34090.909090909088</v>
      </c>
      <c r="G25" s="79">
        <v>107575.75757575758</v>
      </c>
      <c r="H25" s="79">
        <v>50</v>
      </c>
      <c r="I25" s="79">
        <v>62</v>
      </c>
      <c r="J25" s="79">
        <v>1169531.3124277159</v>
      </c>
      <c r="K25" s="79">
        <v>11.29032258064516</v>
      </c>
      <c r="L25" s="79">
        <v>2</v>
      </c>
      <c r="M25" s="79">
        <v>729.35199242424233</v>
      </c>
      <c r="N25" s="79">
        <v>32702.267280303036</v>
      </c>
      <c r="O25" s="79">
        <v>2.7961856970224757</v>
      </c>
      <c r="P25" s="79">
        <v>1</v>
      </c>
      <c r="Q25" s="79">
        <v>795.51503030303024</v>
      </c>
      <c r="R25" s="79">
        <v>10323.435651515152</v>
      </c>
      <c r="S25" s="79">
        <v>0.88269852562440076</v>
      </c>
      <c r="T25" s="79">
        <v>0</v>
      </c>
      <c r="U25" s="79">
        <v>0</v>
      </c>
      <c r="V25" s="79">
        <v>0</v>
      </c>
      <c r="W25" s="79">
        <v>4</v>
      </c>
      <c r="X25" s="79">
        <v>107575.75757575758</v>
      </c>
      <c r="Y25" s="79">
        <v>32</v>
      </c>
      <c r="Z25" s="79">
        <v>49</v>
      </c>
      <c r="AA25" s="79">
        <v>0</v>
      </c>
      <c r="AB25" s="79">
        <v>0</v>
      </c>
      <c r="AC25" s="79">
        <v>7</v>
      </c>
      <c r="AD25" s="79">
        <v>0</v>
      </c>
      <c r="AE25" s="79">
        <v>0</v>
      </c>
      <c r="AF25" s="79">
        <v>0</v>
      </c>
      <c r="AG25" s="79">
        <v>99.802714075626824</v>
      </c>
    </row>
    <row r="26" spans="1:33" ht="15" hidden="1" x14ac:dyDescent="0.25">
      <c r="A26" s="77" t="s">
        <v>13</v>
      </c>
      <c r="B26" s="78">
        <v>43891</v>
      </c>
      <c r="C26" s="79">
        <v>4</v>
      </c>
      <c r="D26" s="79">
        <v>2</v>
      </c>
      <c r="E26" s="79">
        <v>7</v>
      </c>
      <c r="F26" s="79">
        <v>15303.030303030302</v>
      </c>
      <c r="G26" s="79">
        <v>31969.696969696972</v>
      </c>
      <c r="H26" s="79">
        <v>100</v>
      </c>
      <c r="I26" s="79">
        <v>60</v>
      </c>
      <c r="J26" s="79">
        <v>177440.5303030303</v>
      </c>
      <c r="K26" s="79">
        <v>48.333333333333343</v>
      </c>
      <c r="L26" s="79">
        <v>0</v>
      </c>
      <c r="M26" s="79">
        <v>0</v>
      </c>
      <c r="N26" s="79">
        <v>0</v>
      </c>
      <c r="O26" s="79">
        <v>0</v>
      </c>
      <c r="P26" s="79">
        <v>0</v>
      </c>
      <c r="Q26" s="79">
        <v>0</v>
      </c>
      <c r="R26" s="79">
        <v>0</v>
      </c>
      <c r="S26" s="79">
        <v>0</v>
      </c>
      <c r="T26" s="79">
        <v>0</v>
      </c>
      <c r="U26" s="79">
        <v>0</v>
      </c>
      <c r="V26" s="79">
        <v>0</v>
      </c>
      <c r="W26" s="79">
        <v>7</v>
      </c>
      <c r="X26" s="79">
        <v>31969.696969696968</v>
      </c>
      <c r="Y26" s="79">
        <v>3</v>
      </c>
      <c r="Z26" s="79">
        <v>4</v>
      </c>
      <c r="AA26" s="79">
        <v>0</v>
      </c>
      <c r="AB26" s="79">
        <v>0</v>
      </c>
      <c r="AC26" s="79">
        <v>29</v>
      </c>
      <c r="AD26" s="79">
        <v>0</v>
      </c>
      <c r="AE26" s="79">
        <v>0</v>
      </c>
      <c r="AF26" s="79">
        <v>0</v>
      </c>
      <c r="AG26" s="79">
        <v>100</v>
      </c>
    </row>
    <row r="27" spans="1:33" s="77" customFormat="1" ht="15" x14ac:dyDescent="0.25">
      <c r="A27" s="77" t="s">
        <v>354</v>
      </c>
      <c r="B27" s="78">
        <v>44713</v>
      </c>
      <c r="C27" s="79">
        <v>7</v>
      </c>
      <c r="D27" s="79">
        <v>7</v>
      </c>
      <c r="E27" s="79">
        <v>15</v>
      </c>
      <c r="F27" s="79">
        <v>25757.57575757576</v>
      </c>
      <c r="G27" s="79">
        <v>82575.757575757583</v>
      </c>
      <c r="H27" s="79">
        <v>0</v>
      </c>
      <c r="I27" s="79">
        <v>210</v>
      </c>
      <c r="J27" s="79">
        <v>839475.30958093191</v>
      </c>
      <c r="K27" s="79">
        <v>29.523809523809529</v>
      </c>
      <c r="L27" s="79">
        <v>4</v>
      </c>
      <c r="M27" s="79">
        <v>1061.8514166666689</v>
      </c>
      <c r="N27" s="79">
        <v>6195.3415833333356</v>
      </c>
      <c r="O27" s="79">
        <v>0.73800164372029764</v>
      </c>
      <c r="P27" s="79">
        <v>2</v>
      </c>
      <c r="Q27" s="79">
        <v>10029.188537878788</v>
      </c>
      <c r="R27" s="79">
        <v>32736.117333333335</v>
      </c>
      <c r="S27" s="79">
        <v>3.899592633602921</v>
      </c>
      <c r="T27" s="79">
        <v>0</v>
      </c>
      <c r="U27" s="79">
        <v>0</v>
      </c>
      <c r="V27" s="79">
        <v>0</v>
      </c>
      <c r="W27" s="79">
        <v>15</v>
      </c>
      <c r="X27" s="79">
        <v>89393.939393939392</v>
      </c>
      <c r="Y27" s="79">
        <v>39</v>
      </c>
      <c r="Z27" s="79">
        <v>169</v>
      </c>
      <c r="AA27" s="79">
        <v>0</v>
      </c>
      <c r="AB27" s="79">
        <v>0</v>
      </c>
      <c r="AC27" s="79">
        <v>62</v>
      </c>
      <c r="AD27" s="79">
        <v>0</v>
      </c>
      <c r="AE27" s="79">
        <v>0</v>
      </c>
      <c r="AF27" s="79">
        <v>0</v>
      </c>
      <c r="AG27" s="79">
        <v>98.232002474231237</v>
      </c>
    </row>
    <row r="28" spans="1:33" ht="15" x14ac:dyDescent="0.25">
      <c r="A28" s="77" t="s">
        <v>15</v>
      </c>
      <c r="B28" s="78">
        <v>42317</v>
      </c>
      <c r="C28" s="79">
        <v>0</v>
      </c>
      <c r="D28" s="79">
        <v>0</v>
      </c>
      <c r="E28" s="79">
        <v>0</v>
      </c>
      <c r="F28" s="79">
        <v>0</v>
      </c>
      <c r="G28" s="79">
        <v>0</v>
      </c>
      <c r="H28" s="79">
        <v>0</v>
      </c>
      <c r="I28" s="79">
        <v>46</v>
      </c>
      <c r="J28" s="79">
        <v>698513.50944466656</v>
      </c>
      <c r="K28" s="79">
        <v>6.5217391304347823</v>
      </c>
      <c r="L28" s="79">
        <v>3</v>
      </c>
      <c r="M28" s="79">
        <v>2490.3121060606063</v>
      </c>
      <c r="N28" s="79">
        <v>47517.30092424243</v>
      </c>
      <c r="O28" s="79">
        <v>6.8026316287024606</v>
      </c>
      <c r="P28" s="79">
        <v>6</v>
      </c>
      <c r="Q28" s="79">
        <v>25512.762828273731</v>
      </c>
      <c r="R28" s="79">
        <v>87049.460480338515</v>
      </c>
      <c r="S28" s="79">
        <v>12.462101205393258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14</v>
      </c>
      <c r="Z28" s="79">
        <v>27</v>
      </c>
      <c r="AA28" s="79">
        <v>0</v>
      </c>
      <c r="AB28" s="79">
        <v>0</v>
      </c>
      <c r="AC28" s="79">
        <v>3</v>
      </c>
      <c r="AD28" s="79">
        <v>0</v>
      </c>
      <c r="AE28" s="79">
        <v>0</v>
      </c>
      <c r="AF28" s="79">
        <v>0</v>
      </c>
      <c r="AG28" s="79">
        <v>95.752249488857032</v>
      </c>
    </row>
    <row r="29" spans="1:33" ht="15" hidden="1" x14ac:dyDescent="0.25">
      <c r="A29" s="77" t="s">
        <v>275</v>
      </c>
      <c r="B29" s="78">
        <v>41610</v>
      </c>
      <c r="C29" s="79">
        <v>10</v>
      </c>
      <c r="D29" s="79">
        <v>6</v>
      </c>
      <c r="E29" s="79">
        <v>15</v>
      </c>
      <c r="F29" s="79">
        <v>43863.636363636375</v>
      </c>
      <c r="G29" s="79">
        <v>72803.030303030304</v>
      </c>
      <c r="H29" s="79">
        <v>9.5238095238095237</v>
      </c>
      <c r="I29" s="79">
        <v>398</v>
      </c>
      <c r="J29" s="79">
        <v>1133707.2776055171</v>
      </c>
      <c r="K29" s="79">
        <v>51.005025125628144</v>
      </c>
      <c r="L29" s="79">
        <v>6</v>
      </c>
      <c r="M29" s="79">
        <v>1228.6969144570496</v>
      </c>
      <c r="N29" s="79">
        <v>14310.165787429401</v>
      </c>
      <c r="O29" s="79">
        <v>1.262245208274013</v>
      </c>
      <c r="P29" s="79">
        <v>3</v>
      </c>
      <c r="Q29" s="79">
        <v>1294.0715984848484</v>
      </c>
      <c r="R29" s="79">
        <v>4590.7416590909097</v>
      </c>
      <c r="S29" s="79">
        <v>0.4049318329143069</v>
      </c>
      <c r="T29" s="79">
        <v>1</v>
      </c>
      <c r="U29" s="79">
        <v>2055.0421818181821</v>
      </c>
      <c r="V29" s="79">
        <v>0</v>
      </c>
      <c r="W29" s="79">
        <v>14</v>
      </c>
      <c r="X29" s="79">
        <v>61287.878787878792</v>
      </c>
      <c r="Y29" s="79">
        <v>114</v>
      </c>
      <c r="Z29" s="79">
        <v>343</v>
      </c>
      <c r="AA29" s="79">
        <v>0</v>
      </c>
      <c r="AB29" s="79">
        <v>0</v>
      </c>
      <c r="AC29" s="79">
        <v>203</v>
      </c>
      <c r="AD29" s="79">
        <v>0</v>
      </c>
      <c r="AE29" s="79">
        <v>0</v>
      </c>
      <c r="AF29" s="79">
        <v>0</v>
      </c>
      <c r="AG29" s="79">
        <v>99.628183782542735</v>
      </c>
    </row>
    <row r="30" spans="1:33" ht="15" hidden="1" x14ac:dyDescent="0.25">
      <c r="A30" s="77" t="s">
        <v>369</v>
      </c>
      <c r="B30" s="78">
        <v>42786</v>
      </c>
      <c r="C30" s="79">
        <v>4</v>
      </c>
      <c r="D30" s="79">
        <v>3</v>
      </c>
      <c r="E30" s="79">
        <v>12</v>
      </c>
      <c r="F30" s="79">
        <v>15151.515151515152</v>
      </c>
      <c r="G30" s="79">
        <v>50757.575757575745</v>
      </c>
      <c r="H30" s="79">
        <v>0</v>
      </c>
      <c r="I30" s="79">
        <v>140</v>
      </c>
      <c r="J30" s="79">
        <v>576839.7210681818</v>
      </c>
      <c r="K30" s="79">
        <v>24.285714285714285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  <c r="U30" s="79">
        <v>0</v>
      </c>
      <c r="V30" s="79">
        <v>0</v>
      </c>
      <c r="W30" s="79">
        <v>11</v>
      </c>
      <c r="X30" s="79">
        <v>43181.818181818177</v>
      </c>
      <c r="Y30" s="79">
        <v>4</v>
      </c>
      <c r="Z30" s="79">
        <v>8</v>
      </c>
      <c r="AA30" s="79">
        <v>0</v>
      </c>
      <c r="AB30" s="79">
        <v>0</v>
      </c>
      <c r="AC30" s="79">
        <v>34</v>
      </c>
      <c r="AD30" s="79">
        <v>0</v>
      </c>
      <c r="AE30" s="79">
        <v>0</v>
      </c>
      <c r="AF30" s="79">
        <v>0</v>
      </c>
      <c r="AG30" s="79">
        <v>99.999999999999986</v>
      </c>
    </row>
    <row r="31" spans="1:33" ht="15" hidden="1" x14ac:dyDescent="0.25">
      <c r="A31" s="77" t="s">
        <v>17</v>
      </c>
      <c r="B31" s="78">
        <v>43740</v>
      </c>
      <c r="C31" s="79">
        <v>4</v>
      </c>
      <c r="D31" s="79">
        <v>5</v>
      </c>
      <c r="E31" s="79">
        <v>12</v>
      </c>
      <c r="F31" s="79">
        <v>12500</v>
      </c>
      <c r="G31" s="79">
        <v>60606.060606060622</v>
      </c>
      <c r="H31" s="79">
        <v>50</v>
      </c>
      <c r="I31" s="79">
        <v>232</v>
      </c>
      <c r="J31" s="79">
        <v>822545.11182540329</v>
      </c>
      <c r="K31" s="79">
        <v>34.482758620689658</v>
      </c>
      <c r="L31" s="79">
        <v>11</v>
      </c>
      <c r="M31" s="79">
        <v>1913.2460075757599</v>
      </c>
      <c r="N31" s="79">
        <v>26667.162818181823</v>
      </c>
      <c r="O31" s="79">
        <v>3.2420304290668862</v>
      </c>
      <c r="P31" s="79">
        <v>2</v>
      </c>
      <c r="Q31" s="79">
        <v>4753.4899242424244</v>
      </c>
      <c r="R31" s="79">
        <v>4929.9457348484848</v>
      </c>
      <c r="S31" s="79">
        <v>0.59935262686175139</v>
      </c>
      <c r="T31" s="79">
        <v>1</v>
      </c>
      <c r="U31" s="79">
        <v>946.969696969697</v>
      </c>
      <c r="V31" s="79">
        <v>0</v>
      </c>
      <c r="W31" s="79">
        <v>11</v>
      </c>
      <c r="X31" s="79">
        <v>45454.545454545456</v>
      </c>
      <c r="Y31" s="79">
        <v>114</v>
      </c>
      <c r="Z31" s="79">
        <v>297</v>
      </c>
      <c r="AA31" s="79">
        <v>0</v>
      </c>
      <c r="AB31" s="79">
        <v>0</v>
      </c>
      <c r="AC31" s="79">
        <v>80</v>
      </c>
      <c r="AD31" s="79">
        <v>0</v>
      </c>
      <c r="AE31" s="79">
        <v>0</v>
      </c>
      <c r="AF31" s="79">
        <v>0</v>
      </c>
      <c r="AG31" s="79">
        <v>98.097524392405049</v>
      </c>
    </row>
    <row r="32" spans="1:33" ht="15" hidden="1" x14ac:dyDescent="0.25">
      <c r="A32" s="77" t="s">
        <v>22</v>
      </c>
      <c r="B32" s="78">
        <v>41857</v>
      </c>
      <c r="C32" s="79">
        <v>1</v>
      </c>
      <c r="D32" s="79">
        <v>2</v>
      </c>
      <c r="E32" s="79">
        <v>3</v>
      </c>
      <c r="F32" s="79">
        <v>3030.3030303030305</v>
      </c>
      <c r="G32" s="79">
        <v>21212.121212121212</v>
      </c>
      <c r="H32" s="79">
        <v>25</v>
      </c>
      <c r="I32" s="79">
        <v>117</v>
      </c>
      <c r="J32" s="79">
        <v>460846.48089524789</v>
      </c>
      <c r="K32" s="79">
        <v>36.752136752136757</v>
      </c>
      <c r="L32" s="79">
        <v>1</v>
      </c>
      <c r="M32" s="79">
        <v>172.98472727272733</v>
      </c>
      <c r="N32" s="79">
        <v>1003.5998257575756</v>
      </c>
      <c r="O32" s="79">
        <v>0.21777313430016132</v>
      </c>
      <c r="P32" s="79">
        <v>5</v>
      </c>
      <c r="Q32" s="79">
        <v>12585.489619267575</v>
      </c>
      <c r="R32" s="79">
        <v>22547.714288251169</v>
      </c>
      <c r="S32" s="79">
        <v>4.8926736392669437</v>
      </c>
      <c r="T32" s="79">
        <v>0</v>
      </c>
      <c r="U32" s="79">
        <v>0</v>
      </c>
      <c r="V32" s="79">
        <v>0</v>
      </c>
      <c r="W32" s="79">
        <v>3</v>
      </c>
      <c r="X32" s="79">
        <v>21212.121212121212</v>
      </c>
      <c r="Y32" s="79">
        <v>72</v>
      </c>
      <c r="Z32" s="79">
        <v>142</v>
      </c>
      <c r="AA32" s="79">
        <v>0</v>
      </c>
      <c r="AB32" s="79">
        <v>0</v>
      </c>
      <c r="AC32" s="79">
        <v>43</v>
      </c>
      <c r="AD32" s="79">
        <v>0</v>
      </c>
      <c r="AE32" s="79">
        <v>0</v>
      </c>
      <c r="AF32" s="79">
        <v>0</v>
      </c>
      <c r="AG32" s="79">
        <v>95.963831722611317</v>
      </c>
    </row>
    <row r="33" spans="1:33" ht="15" hidden="1" x14ac:dyDescent="0.25">
      <c r="A33" s="77" t="s">
        <v>350</v>
      </c>
      <c r="B33" s="78">
        <v>44668</v>
      </c>
      <c r="C33" s="79">
        <v>0</v>
      </c>
      <c r="D33" s="79">
        <v>0</v>
      </c>
      <c r="E33" s="79">
        <v>0</v>
      </c>
      <c r="F33" s="79">
        <v>0</v>
      </c>
      <c r="G33" s="79">
        <v>0</v>
      </c>
      <c r="H33" s="79">
        <v>0</v>
      </c>
      <c r="I33" s="79">
        <v>50</v>
      </c>
      <c r="J33" s="79">
        <v>135723.81889851336</v>
      </c>
      <c r="K33" s="79">
        <v>16</v>
      </c>
      <c r="L33" s="79">
        <v>4</v>
      </c>
      <c r="M33" s="79">
        <v>619.86368181818295</v>
      </c>
      <c r="N33" s="79">
        <v>6785.4916287878787</v>
      </c>
      <c r="O33" s="79">
        <v>4.9994847506182296</v>
      </c>
      <c r="P33" s="79">
        <v>9</v>
      </c>
      <c r="Q33" s="79">
        <v>9871.3337463337466</v>
      </c>
      <c r="R33" s="79">
        <v>19624.264072755795</v>
      </c>
      <c r="S33" s="79">
        <v>14.458968390382324</v>
      </c>
      <c r="T33" s="79">
        <v>0</v>
      </c>
      <c r="U33" s="79">
        <v>0</v>
      </c>
      <c r="V33" s="79">
        <v>0</v>
      </c>
      <c r="W33" s="79">
        <v>0</v>
      </c>
      <c r="X33" s="79">
        <v>0</v>
      </c>
      <c r="Y33" s="79">
        <v>13</v>
      </c>
      <c r="Z33" s="79">
        <v>139</v>
      </c>
      <c r="AA33" s="79">
        <v>0</v>
      </c>
      <c r="AB33" s="79">
        <v>0</v>
      </c>
      <c r="AC33" s="79">
        <v>8</v>
      </c>
      <c r="AD33" s="79">
        <v>0</v>
      </c>
      <c r="AE33" s="79">
        <v>0</v>
      </c>
      <c r="AF33" s="79">
        <v>0</v>
      </c>
      <c r="AG33" s="79">
        <v>89.953868665821105</v>
      </c>
    </row>
    <row r="34" spans="1:33" ht="15" hidden="1" x14ac:dyDescent="0.25">
      <c r="A34" s="77" t="s">
        <v>430</v>
      </c>
      <c r="B34" s="78">
        <v>45963</v>
      </c>
      <c r="C34" s="79">
        <v>6</v>
      </c>
      <c r="D34" s="79">
        <v>5</v>
      </c>
      <c r="E34" s="79">
        <v>15</v>
      </c>
      <c r="F34" s="79">
        <v>18181.818181818184</v>
      </c>
      <c r="G34" s="79">
        <v>60606.060606060608</v>
      </c>
      <c r="H34" s="79">
        <v>50</v>
      </c>
      <c r="I34" s="79">
        <v>211</v>
      </c>
      <c r="J34" s="79">
        <v>661722.67761666584</v>
      </c>
      <c r="K34" s="79">
        <v>31.753554502369667</v>
      </c>
      <c r="L34" s="79">
        <v>1</v>
      </c>
      <c r="M34" s="79">
        <v>665.58339837929202</v>
      </c>
      <c r="N34" s="79">
        <v>1345.619393224265</v>
      </c>
      <c r="O34" s="79">
        <v>0.20335095633578676</v>
      </c>
      <c r="P34" s="79">
        <v>0</v>
      </c>
      <c r="Q34" s="79">
        <v>0</v>
      </c>
      <c r="R34" s="79">
        <v>0</v>
      </c>
      <c r="S34" s="79">
        <v>0</v>
      </c>
      <c r="T34" s="79">
        <v>0</v>
      </c>
      <c r="U34" s="79">
        <v>0</v>
      </c>
      <c r="V34" s="79">
        <v>0</v>
      </c>
      <c r="W34" s="79">
        <v>17</v>
      </c>
      <c r="X34" s="79">
        <v>68181.818181818177</v>
      </c>
      <c r="Y34" s="79">
        <v>8</v>
      </c>
      <c r="Z34" s="79">
        <v>47</v>
      </c>
      <c r="AA34" s="79">
        <v>0</v>
      </c>
      <c r="AB34" s="79">
        <v>0</v>
      </c>
      <c r="AC34" s="79">
        <v>67</v>
      </c>
      <c r="AD34" s="79">
        <v>0</v>
      </c>
      <c r="AE34" s="79">
        <v>0</v>
      </c>
      <c r="AF34" s="79">
        <v>0</v>
      </c>
      <c r="AG34" s="79">
        <v>99.716870215159744</v>
      </c>
    </row>
    <row r="35" spans="1:33" ht="15" hidden="1" x14ac:dyDescent="0.25">
      <c r="A35" s="77" t="s">
        <v>25</v>
      </c>
      <c r="B35" s="78">
        <v>41465</v>
      </c>
      <c r="C35" s="79">
        <v>0</v>
      </c>
      <c r="D35" s="79">
        <v>1</v>
      </c>
      <c r="E35" s="79">
        <v>1</v>
      </c>
      <c r="F35" s="79">
        <v>0</v>
      </c>
      <c r="G35" s="79">
        <v>27272.727272727272</v>
      </c>
      <c r="H35" s="79">
        <v>0</v>
      </c>
      <c r="I35" s="79">
        <v>48</v>
      </c>
      <c r="J35" s="79">
        <v>780293.19837961462</v>
      </c>
      <c r="K35" s="79">
        <v>2.083333333333333</v>
      </c>
      <c r="L35" s="79">
        <v>2</v>
      </c>
      <c r="M35" s="79">
        <v>3316.7467348484852</v>
      </c>
      <c r="N35" s="79">
        <v>25605.31422727272</v>
      </c>
      <c r="O35" s="79">
        <v>3.2814990929621901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  <c r="U35" s="79">
        <v>0</v>
      </c>
      <c r="V35" s="79">
        <v>0</v>
      </c>
      <c r="W35" s="79">
        <v>1</v>
      </c>
      <c r="X35" s="79">
        <v>27272.727272727272</v>
      </c>
      <c r="Y35" s="79">
        <v>9</v>
      </c>
      <c r="Z35" s="79">
        <v>21</v>
      </c>
      <c r="AA35" s="79">
        <v>0</v>
      </c>
      <c r="AB35" s="79">
        <v>0</v>
      </c>
      <c r="AC35" s="79">
        <v>1</v>
      </c>
      <c r="AD35" s="79">
        <v>0</v>
      </c>
      <c r="AE35" s="79">
        <v>0</v>
      </c>
      <c r="AF35" s="79">
        <v>0</v>
      </c>
      <c r="AG35" s="79">
        <v>99.53031788852104</v>
      </c>
    </row>
    <row r="36" spans="1:33" ht="15" hidden="1" x14ac:dyDescent="0.25">
      <c r="A36" s="77" t="s">
        <v>26</v>
      </c>
      <c r="B36" s="78">
        <v>40269</v>
      </c>
      <c r="C36" s="79">
        <v>1</v>
      </c>
      <c r="D36" s="79">
        <v>4</v>
      </c>
      <c r="E36" s="79">
        <v>4</v>
      </c>
      <c r="F36" s="79">
        <v>27272.727272727272</v>
      </c>
      <c r="G36" s="79">
        <v>100378.78787878787</v>
      </c>
      <c r="H36" s="79">
        <v>100</v>
      </c>
      <c r="I36" s="79">
        <v>69</v>
      </c>
      <c r="J36" s="79">
        <v>932109.98977164284</v>
      </c>
      <c r="K36" s="79">
        <v>10.144927536231885</v>
      </c>
      <c r="L36" s="79">
        <v>1</v>
      </c>
      <c r="M36" s="79">
        <v>653.030303030303</v>
      </c>
      <c r="N36" s="79">
        <v>6506.0606060606051</v>
      </c>
      <c r="O36" s="79">
        <v>0.69799279885998455</v>
      </c>
      <c r="P36" s="79">
        <v>2</v>
      </c>
      <c r="Q36" s="79">
        <v>7466.617939393941</v>
      </c>
      <c r="R36" s="79">
        <v>19819.469280303034</v>
      </c>
      <c r="S36" s="79">
        <v>2.1263015628830022</v>
      </c>
      <c r="T36" s="79">
        <v>0</v>
      </c>
      <c r="U36" s="79">
        <v>0</v>
      </c>
      <c r="V36" s="79">
        <v>0</v>
      </c>
      <c r="W36" s="79">
        <v>5</v>
      </c>
      <c r="X36" s="79">
        <v>103409.0909090909</v>
      </c>
      <c r="Y36" s="79">
        <v>16</v>
      </c>
      <c r="Z36" s="79">
        <v>28</v>
      </c>
      <c r="AA36" s="79">
        <v>0</v>
      </c>
      <c r="AB36" s="79">
        <v>0</v>
      </c>
      <c r="AC36" s="79">
        <v>7</v>
      </c>
      <c r="AD36" s="79">
        <v>0</v>
      </c>
      <c r="AE36" s="79">
        <v>0</v>
      </c>
      <c r="AF36" s="79">
        <v>0</v>
      </c>
      <c r="AG36" s="79">
        <v>98.667616327330293</v>
      </c>
    </row>
    <row r="37" spans="1:33" ht="15" hidden="1" x14ac:dyDescent="0.25">
      <c r="A37" s="77" t="s">
        <v>344</v>
      </c>
      <c r="B37" s="78">
        <v>44531</v>
      </c>
      <c r="C37" s="79">
        <v>4</v>
      </c>
      <c r="D37" s="79">
        <v>3</v>
      </c>
      <c r="E37" s="79">
        <v>12</v>
      </c>
      <c r="F37" s="79">
        <v>14393.939393939394</v>
      </c>
      <c r="G37" s="79">
        <v>57121.212121212127</v>
      </c>
      <c r="H37" s="79">
        <v>16.666666666666664</v>
      </c>
      <c r="I37" s="79">
        <v>198</v>
      </c>
      <c r="J37" s="79">
        <v>546307.49396540318</v>
      </c>
      <c r="K37" s="79">
        <v>28.28282828282828</v>
      </c>
      <c r="L37" s="79">
        <v>16</v>
      </c>
      <c r="M37" s="79">
        <v>2754.6472196969698</v>
      </c>
      <c r="N37" s="79">
        <v>37658.056204545457</v>
      </c>
      <c r="O37" s="79">
        <v>6.8931978090218697</v>
      </c>
      <c r="P37" s="79">
        <v>4</v>
      </c>
      <c r="Q37" s="79">
        <v>4465.4111666666668</v>
      </c>
      <c r="R37" s="79">
        <v>8833.6170454545463</v>
      </c>
      <c r="S37" s="79">
        <v>1.6169679426022967</v>
      </c>
      <c r="T37" s="79">
        <v>0</v>
      </c>
      <c r="U37" s="79">
        <v>0</v>
      </c>
      <c r="V37" s="79">
        <v>0</v>
      </c>
      <c r="W37" s="79">
        <v>12</v>
      </c>
      <c r="X37" s="79">
        <v>58636.36363636364</v>
      </c>
      <c r="Y37" s="79">
        <v>126</v>
      </c>
      <c r="Z37" s="79">
        <v>242</v>
      </c>
      <c r="AA37" s="79">
        <v>0</v>
      </c>
      <c r="AB37" s="79">
        <v>0</v>
      </c>
      <c r="AC37" s="79">
        <v>56</v>
      </c>
      <c r="AD37" s="79">
        <v>0</v>
      </c>
      <c r="AE37" s="79">
        <v>0</v>
      </c>
      <c r="AF37" s="79">
        <v>0</v>
      </c>
      <c r="AG37" s="79">
        <v>97.348588350293909</v>
      </c>
    </row>
    <row r="38" spans="1:33" ht="15" hidden="1" x14ac:dyDescent="0.25">
      <c r="A38" s="77" t="s">
        <v>27</v>
      </c>
      <c r="B38" s="78">
        <v>41200</v>
      </c>
      <c r="C38" s="79">
        <v>1</v>
      </c>
      <c r="D38" s="79">
        <v>2</v>
      </c>
      <c r="E38" s="79">
        <v>4</v>
      </c>
      <c r="F38" s="79">
        <v>3030.3030303030305</v>
      </c>
      <c r="G38" s="79">
        <v>16666.666666666664</v>
      </c>
      <c r="H38" s="79">
        <v>0</v>
      </c>
      <c r="I38" s="79">
        <v>151</v>
      </c>
      <c r="J38" s="79">
        <v>860723.18648936297</v>
      </c>
      <c r="K38" s="79">
        <v>19.205298013245034</v>
      </c>
      <c r="L38" s="79">
        <v>5</v>
      </c>
      <c r="M38" s="79">
        <v>1511.6043647288266</v>
      </c>
      <c r="N38" s="79">
        <v>26726.54514533675</v>
      </c>
      <c r="O38" s="79">
        <v>3.1051266614933981</v>
      </c>
      <c r="P38" s="79">
        <v>3</v>
      </c>
      <c r="Q38" s="79">
        <v>4681.8346148443297</v>
      </c>
      <c r="R38" s="79">
        <v>6601.6738421170585</v>
      </c>
      <c r="S38" s="79">
        <v>0.76699151896248396</v>
      </c>
      <c r="T38" s="79">
        <v>0</v>
      </c>
      <c r="U38" s="79">
        <v>0</v>
      </c>
      <c r="V38" s="79">
        <v>0</v>
      </c>
      <c r="W38" s="79">
        <v>2</v>
      </c>
      <c r="X38" s="79">
        <v>6060.6060606060601</v>
      </c>
      <c r="Y38" s="79">
        <v>73</v>
      </c>
      <c r="Z38" s="79">
        <v>159</v>
      </c>
      <c r="AA38" s="79">
        <v>0</v>
      </c>
      <c r="AB38" s="79">
        <v>0</v>
      </c>
      <c r="AC38" s="79">
        <v>29</v>
      </c>
      <c r="AD38" s="79">
        <v>0</v>
      </c>
      <c r="AE38" s="79">
        <v>0</v>
      </c>
      <c r="AF38" s="79">
        <v>0</v>
      </c>
      <c r="AG38" s="79">
        <v>98.821600032224936</v>
      </c>
    </row>
    <row r="39" spans="1:33" ht="15" hidden="1" x14ac:dyDescent="0.25">
      <c r="A39" s="77" t="s">
        <v>28</v>
      </c>
      <c r="B39" s="78">
        <v>39513</v>
      </c>
      <c r="C39" s="79">
        <v>6</v>
      </c>
      <c r="D39" s="79">
        <v>5</v>
      </c>
      <c r="E39" s="79">
        <v>13</v>
      </c>
      <c r="F39" s="79">
        <v>21212.121212121216</v>
      </c>
      <c r="G39" s="79">
        <v>61363.636363636375</v>
      </c>
      <c r="H39" s="79">
        <v>6.25</v>
      </c>
      <c r="I39" s="79">
        <v>279</v>
      </c>
      <c r="J39" s="79">
        <v>718744.97469333815</v>
      </c>
      <c r="K39" s="79">
        <v>34.767025089605738</v>
      </c>
      <c r="L39" s="79">
        <v>2</v>
      </c>
      <c r="M39" s="79">
        <v>350.17689617375044</v>
      </c>
      <c r="N39" s="79">
        <v>3773.9205454545458</v>
      </c>
      <c r="O39" s="79">
        <v>0.52507087747844605</v>
      </c>
      <c r="P39" s="79">
        <v>3</v>
      </c>
      <c r="Q39" s="79">
        <v>3325.3965681818181</v>
      </c>
      <c r="R39" s="79">
        <v>9682.9316060606052</v>
      </c>
      <c r="S39" s="79">
        <v>1.3471999035808151</v>
      </c>
      <c r="T39" s="79">
        <v>0</v>
      </c>
      <c r="U39" s="79">
        <v>0</v>
      </c>
      <c r="V39" s="79">
        <v>0</v>
      </c>
      <c r="W39" s="79">
        <v>12</v>
      </c>
      <c r="X39" s="79">
        <v>67424.242424242431</v>
      </c>
      <c r="Y39" s="79">
        <v>100</v>
      </c>
      <c r="Z39" s="79">
        <v>241</v>
      </c>
      <c r="AA39" s="79">
        <v>0</v>
      </c>
      <c r="AB39" s="79">
        <v>0</v>
      </c>
      <c r="AC39" s="79">
        <v>97</v>
      </c>
      <c r="AD39" s="79">
        <v>0</v>
      </c>
      <c r="AE39" s="79">
        <v>0</v>
      </c>
      <c r="AF39" s="79">
        <v>0</v>
      </c>
      <c r="AG39" s="79">
        <v>99.161809300973886</v>
      </c>
    </row>
    <row r="40" spans="1:33" ht="15" hidden="1" x14ac:dyDescent="0.25">
      <c r="A40" s="77" t="s">
        <v>343</v>
      </c>
      <c r="B40" s="78">
        <v>44543</v>
      </c>
      <c r="C40" s="79">
        <v>1</v>
      </c>
      <c r="D40" s="79">
        <v>1</v>
      </c>
      <c r="E40" s="79">
        <v>2</v>
      </c>
      <c r="F40" s="79">
        <v>3787.878787878788</v>
      </c>
      <c r="G40" s="79">
        <v>7424.242424242424</v>
      </c>
      <c r="H40" s="79">
        <v>0</v>
      </c>
      <c r="I40" s="79">
        <v>34</v>
      </c>
      <c r="J40" s="79">
        <v>98458.522727272721</v>
      </c>
      <c r="K40" s="79">
        <v>35.294117647058826</v>
      </c>
      <c r="L40" s="79">
        <v>0</v>
      </c>
      <c r="M40" s="79">
        <v>0</v>
      </c>
      <c r="N40" s="79">
        <v>0</v>
      </c>
      <c r="O40" s="79">
        <v>0</v>
      </c>
      <c r="P40" s="79">
        <v>0</v>
      </c>
      <c r="Q40" s="79">
        <v>0</v>
      </c>
      <c r="R40" s="79">
        <v>0</v>
      </c>
      <c r="S40" s="79">
        <v>0</v>
      </c>
      <c r="T40" s="79">
        <v>0</v>
      </c>
      <c r="U40" s="79">
        <v>0</v>
      </c>
      <c r="V40" s="79">
        <v>0</v>
      </c>
      <c r="W40" s="79">
        <v>1</v>
      </c>
      <c r="X40" s="79">
        <v>3787.878787878788</v>
      </c>
      <c r="Y40" s="79">
        <v>1</v>
      </c>
      <c r="Z40" s="79">
        <v>3</v>
      </c>
      <c r="AA40" s="79">
        <v>0</v>
      </c>
      <c r="AB40" s="79">
        <v>0</v>
      </c>
      <c r="AC40" s="79">
        <v>12</v>
      </c>
      <c r="AD40" s="79">
        <v>0</v>
      </c>
      <c r="AE40" s="79">
        <v>0</v>
      </c>
      <c r="AF40" s="79">
        <v>0</v>
      </c>
      <c r="AG40" s="79">
        <v>100</v>
      </c>
    </row>
    <row r="41" spans="1:33" ht="15" hidden="1" x14ac:dyDescent="0.25">
      <c r="A41" s="77" t="s">
        <v>31</v>
      </c>
      <c r="B41" s="78">
        <v>38578</v>
      </c>
      <c r="C41" s="79">
        <v>3</v>
      </c>
      <c r="D41" s="79">
        <v>8</v>
      </c>
      <c r="E41" s="79">
        <v>10</v>
      </c>
      <c r="F41" s="79">
        <v>10757.575757575756</v>
      </c>
      <c r="G41" s="79">
        <v>99696.969696969667</v>
      </c>
      <c r="H41" s="79">
        <v>40</v>
      </c>
      <c r="I41" s="79">
        <v>222</v>
      </c>
      <c r="J41" s="79">
        <v>1359741.0045703396</v>
      </c>
      <c r="K41" s="79">
        <v>24.774774774774773</v>
      </c>
      <c r="L41" s="79">
        <v>7</v>
      </c>
      <c r="M41" s="79">
        <v>3232.5742054715161</v>
      </c>
      <c r="N41" s="79">
        <v>48713.558420306515</v>
      </c>
      <c r="O41" s="79">
        <v>3.5825615508079327</v>
      </c>
      <c r="P41" s="79">
        <v>2</v>
      </c>
      <c r="Q41" s="79">
        <v>9624.8997196969704</v>
      </c>
      <c r="R41" s="79">
        <v>19931.356371212121</v>
      </c>
      <c r="S41" s="79">
        <v>1.4658200572181883</v>
      </c>
      <c r="T41" s="79">
        <v>0</v>
      </c>
      <c r="U41" s="79">
        <v>0</v>
      </c>
      <c r="V41" s="79">
        <v>0</v>
      </c>
      <c r="W41" s="79">
        <v>11</v>
      </c>
      <c r="X41" s="79">
        <v>145606.06060606061</v>
      </c>
      <c r="Y41" s="79">
        <v>82</v>
      </c>
      <c r="Z41" s="79">
        <v>157</v>
      </c>
      <c r="AA41" s="79">
        <v>0</v>
      </c>
      <c r="AB41" s="79">
        <v>0</v>
      </c>
      <c r="AC41" s="79">
        <v>55</v>
      </c>
      <c r="AD41" s="79">
        <v>0</v>
      </c>
      <c r="AE41" s="79">
        <v>0</v>
      </c>
      <c r="AF41" s="79">
        <v>0</v>
      </c>
      <c r="AG41" s="79">
        <v>98.023684017606726</v>
      </c>
    </row>
    <row r="42" spans="1:33" ht="15" hidden="1" x14ac:dyDescent="0.25">
      <c r="A42" s="77" t="s">
        <v>32</v>
      </c>
      <c r="B42" s="78">
        <v>41708</v>
      </c>
      <c r="C42" s="79">
        <v>7</v>
      </c>
      <c r="D42" s="79">
        <v>9</v>
      </c>
      <c r="E42" s="79">
        <v>17</v>
      </c>
      <c r="F42" s="79">
        <v>22121.212121212124</v>
      </c>
      <c r="G42" s="79">
        <v>72424.242424242417</v>
      </c>
      <c r="H42" s="79">
        <v>10</v>
      </c>
      <c r="I42" s="79">
        <v>238</v>
      </c>
      <c r="J42" s="79">
        <v>612246.39999050274</v>
      </c>
      <c r="K42" s="79">
        <v>35.714285714285715</v>
      </c>
      <c r="L42" s="79">
        <v>0</v>
      </c>
      <c r="M42" s="79">
        <v>0</v>
      </c>
      <c r="N42" s="79">
        <v>0</v>
      </c>
      <c r="O42" s="79">
        <v>0</v>
      </c>
      <c r="P42" s="79">
        <v>0</v>
      </c>
      <c r="Q42" s="79">
        <v>0</v>
      </c>
      <c r="R42" s="79">
        <v>0</v>
      </c>
      <c r="S42" s="79">
        <v>0</v>
      </c>
      <c r="T42" s="79">
        <v>0</v>
      </c>
      <c r="U42" s="79">
        <v>0</v>
      </c>
      <c r="V42" s="79">
        <v>0</v>
      </c>
      <c r="W42" s="79">
        <v>27</v>
      </c>
      <c r="X42" s="79">
        <v>119015.15151515152</v>
      </c>
      <c r="Y42" s="79">
        <v>156</v>
      </c>
      <c r="Z42" s="79">
        <v>338</v>
      </c>
      <c r="AA42" s="79">
        <v>0</v>
      </c>
      <c r="AB42" s="79">
        <v>0</v>
      </c>
      <c r="AC42" s="79">
        <v>85</v>
      </c>
      <c r="AD42" s="79">
        <v>0</v>
      </c>
      <c r="AE42" s="79">
        <v>0</v>
      </c>
      <c r="AF42" s="79">
        <v>0</v>
      </c>
      <c r="AG42" s="79">
        <v>99.999999999999957</v>
      </c>
    </row>
    <row r="43" spans="1:33" ht="15" hidden="1" x14ac:dyDescent="0.25">
      <c r="A43" s="77" t="s">
        <v>352</v>
      </c>
      <c r="B43" s="78">
        <v>44654</v>
      </c>
      <c r="C43" s="79">
        <v>12</v>
      </c>
      <c r="D43" s="79">
        <v>4</v>
      </c>
      <c r="E43" s="79">
        <v>16</v>
      </c>
      <c r="F43" s="79">
        <v>37500.000000000007</v>
      </c>
      <c r="G43" s="79">
        <v>58712.121212121208</v>
      </c>
      <c r="H43" s="79">
        <v>0</v>
      </c>
      <c r="I43" s="79">
        <v>242</v>
      </c>
      <c r="J43" s="79">
        <v>589002.34795218892</v>
      </c>
      <c r="K43" s="79">
        <v>64.876033057851231</v>
      </c>
      <c r="L43" s="79">
        <v>24</v>
      </c>
      <c r="M43" s="79">
        <v>4210.2367519208756</v>
      </c>
      <c r="N43" s="79">
        <v>44920.612354972574</v>
      </c>
      <c r="O43" s="79">
        <v>7.6265591319202883</v>
      </c>
      <c r="P43" s="79">
        <v>7</v>
      </c>
      <c r="Q43" s="79">
        <v>6511.2947405955756</v>
      </c>
      <c r="R43" s="79">
        <v>10081.210445141031</v>
      </c>
      <c r="S43" s="79">
        <v>1.7115738978275434</v>
      </c>
      <c r="T43" s="79">
        <v>0</v>
      </c>
      <c r="U43" s="79">
        <v>0</v>
      </c>
      <c r="V43" s="79">
        <v>0</v>
      </c>
      <c r="W43" s="79">
        <v>17</v>
      </c>
      <c r="X43" s="79">
        <v>60984.84848484848</v>
      </c>
      <c r="Y43" s="79">
        <v>90</v>
      </c>
      <c r="Z43" s="79">
        <v>303</v>
      </c>
      <c r="AA43" s="79">
        <v>0</v>
      </c>
      <c r="AB43" s="79">
        <v>0</v>
      </c>
      <c r="AC43" s="79">
        <v>157</v>
      </c>
      <c r="AD43" s="79">
        <v>0</v>
      </c>
      <c r="AE43" s="79">
        <v>0</v>
      </c>
      <c r="AF43" s="79">
        <v>0</v>
      </c>
      <c r="AG43" s="79">
        <v>96.566211955800938</v>
      </c>
    </row>
    <row r="44" spans="1:33" ht="15" hidden="1" x14ac:dyDescent="0.25">
      <c r="A44" s="77" t="s">
        <v>34</v>
      </c>
      <c r="B44" s="78">
        <v>42786</v>
      </c>
      <c r="C44" s="79">
        <v>0</v>
      </c>
      <c r="D44" s="79">
        <v>0</v>
      </c>
      <c r="E44" s="79">
        <v>2</v>
      </c>
      <c r="F44" s="79">
        <v>0</v>
      </c>
      <c r="G44" s="79">
        <v>8484.8484848484841</v>
      </c>
      <c r="H44" s="79">
        <v>0</v>
      </c>
      <c r="I44" s="79">
        <v>98</v>
      </c>
      <c r="J44" s="79">
        <v>192462.46991498847</v>
      </c>
      <c r="K44" s="79">
        <v>39.795918367346935</v>
      </c>
      <c r="L44" s="79">
        <v>2</v>
      </c>
      <c r="M44" s="79">
        <v>243.77020454545453</v>
      </c>
      <c r="N44" s="79">
        <v>3602.5598484848488</v>
      </c>
      <c r="O44" s="79">
        <v>1.8718245952450445</v>
      </c>
      <c r="P44" s="79">
        <v>2</v>
      </c>
      <c r="Q44" s="79">
        <v>1042.015377109678</v>
      </c>
      <c r="R44" s="79">
        <v>1193.0503771096783</v>
      </c>
      <c r="S44" s="79">
        <v>0.61988728381000935</v>
      </c>
      <c r="T44" s="79">
        <v>0</v>
      </c>
      <c r="U44" s="79">
        <v>0</v>
      </c>
      <c r="V44" s="79">
        <v>0</v>
      </c>
      <c r="W44" s="79">
        <v>3</v>
      </c>
      <c r="X44" s="79">
        <v>12272.727272727272</v>
      </c>
      <c r="Y44" s="79">
        <v>20</v>
      </c>
      <c r="Z44" s="79">
        <v>119</v>
      </c>
      <c r="AA44" s="79">
        <v>0</v>
      </c>
      <c r="AB44" s="79">
        <v>0</v>
      </c>
      <c r="AC44" s="79">
        <v>39</v>
      </c>
      <c r="AD44" s="79">
        <v>0</v>
      </c>
      <c r="AE44" s="79">
        <v>0</v>
      </c>
      <c r="AF44" s="79">
        <v>0</v>
      </c>
      <c r="AG44" s="79">
        <v>99.055632817578214</v>
      </c>
    </row>
    <row r="45" spans="1:33" ht="15" hidden="1" x14ac:dyDescent="0.25">
      <c r="A45" s="77" t="s">
        <v>361</v>
      </c>
      <c r="B45" s="78">
        <v>42607</v>
      </c>
      <c r="C45" s="79">
        <v>3</v>
      </c>
      <c r="D45" s="79">
        <v>8</v>
      </c>
      <c r="E45" s="79">
        <v>12</v>
      </c>
      <c r="F45" s="79">
        <v>15340.909090909092</v>
      </c>
      <c r="G45" s="79">
        <v>68181.818181818177</v>
      </c>
      <c r="H45" s="79">
        <v>66.666666666666657</v>
      </c>
      <c r="I45" s="79">
        <v>170</v>
      </c>
      <c r="J45" s="79">
        <v>638100.4649606772</v>
      </c>
      <c r="K45" s="79">
        <v>31.176470588235293</v>
      </c>
      <c r="L45" s="79">
        <v>4</v>
      </c>
      <c r="M45" s="79">
        <v>946.67836940286372</v>
      </c>
      <c r="N45" s="79">
        <v>14452.50476334226</v>
      </c>
      <c r="O45" s="79">
        <v>2.2649262235270262</v>
      </c>
      <c r="P45" s="79">
        <v>6</v>
      </c>
      <c r="Q45" s="79">
        <v>8800.0146284947841</v>
      </c>
      <c r="R45" s="79">
        <v>12692.012983595398</v>
      </c>
      <c r="S45" s="79">
        <v>1.9890305180043304</v>
      </c>
      <c r="T45" s="79">
        <v>0</v>
      </c>
      <c r="U45" s="79">
        <v>0</v>
      </c>
      <c r="V45" s="79">
        <v>0</v>
      </c>
      <c r="W45" s="79">
        <v>10</v>
      </c>
      <c r="X45" s="79">
        <v>58712.121212121208</v>
      </c>
      <c r="Y45" s="79">
        <v>83</v>
      </c>
      <c r="Z45" s="79">
        <v>193</v>
      </c>
      <c r="AA45" s="79">
        <v>0</v>
      </c>
      <c r="AB45" s="79">
        <v>0</v>
      </c>
      <c r="AC45" s="79">
        <v>53</v>
      </c>
      <c r="AD45" s="79">
        <v>0</v>
      </c>
      <c r="AE45" s="79">
        <v>0</v>
      </c>
      <c r="AF45" s="79">
        <v>0</v>
      </c>
      <c r="AG45" s="79">
        <v>96.609454599588517</v>
      </c>
    </row>
    <row r="46" spans="1:33" ht="15" hidden="1" x14ac:dyDescent="0.25">
      <c r="A46" s="77" t="s">
        <v>36</v>
      </c>
      <c r="B46" s="78">
        <v>41336</v>
      </c>
      <c r="C46" s="79">
        <v>0</v>
      </c>
      <c r="D46" s="79">
        <v>3</v>
      </c>
      <c r="E46" s="79">
        <v>3</v>
      </c>
      <c r="F46" s="79">
        <v>0</v>
      </c>
      <c r="G46" s="79">
        <v>109469.69696969696</v>
      </c>
      <c r="H46" s="79">
        <v>60</v>
      </c>
      <c r="I46" s="79">
        <v>70</v>
      </c>
      <c r="J46" s="79">
        <v>1246533.5092008857</v>
      </c>
      <c r="K46" s="79">
        <v>0</v>
      </c>
      <c r="L46" s="79">
        <v>1</v>
      </c>
      <c r="M46" s="79">
        <v>842.42424242424238</v>
      </c>
      <c r="N46" s="79">
        <v>5872.727272727273</v>
      </c>
      <c r="O46" s="79">
        <v>0.47112470137221563</v>
      </c>
      <c r="P46" s="79">
        <v>0</v>
      </c>
      <c r="Q46" s="79">
        <v>0</v>
      </c>
      <c r="R46" s="79">
        <v>0</v>
      </c>
      <c r="S46" s="79">
        <v>0</v>
      </c>
      <c r="T46" s="79">
        <v>0</v>
      </c>
      <c r="U46" s="79">
        <v>0</v>
      </c>
      <c r="V46" s="79">
        <v>0</v>
      </c>
      <c r="W46" s="79">
        <v>3</v>
      </c>
      <c r="X46" s="79">
        <v>109469.69696969696</v>
      </c>
      <c r="Y46" s="79">
        <v>30</v>
      </c>
      <c r="Z46" s="79">
        <v>38</v>
      </c>
      <c r="AA46" s="79">
        <v>0</v>
      </c>
      <c r="AB46" s="79">
        <v>0</v>
      </c>
      <c r="AC46" s="79">
        <v>0</v>
      </c>
      <c r="AD46" s="79">
        <v>0</v>
      </c>
      <c r="AE46" s="79">
        <v>0</v>
      </c>
      <c r="AF46" s="79">
        <v>0</v>
      </c>
      <c r="AG46" s="79">
        <v>99.89340762736127</v>
      </c>
    </row>
    <row r="47" spans="1:33" ht="15" hidden="1" x14ac:dyDescent="0.25">
      <c r="A47" s="77" t="s">
        <v>37</v>
      </c>
      <c r="B47" s="78">
        <v>41269</v>
      </c>
      <c r="C47" s="79">
        <v>4</v>
      </c>
      <c r="D47" s="79">
        <v>8</v>
      </c>
      <c r="E47" s="79">
        <v>13</v>
      </c>
      <c r="F47" s="79">
        <v>13068.181818181818</v>
      </c>
      <c r="G47" s="79">
        <v>80681.818181818162</v>
      </c>
      <c r="H47" s="79">
        <v>40</v>
      </c>
      <c r="I47" s="79">
        <v>212</v>
      </c>
      <c r="J47" s="79">
        <v>704930.80621185538</v>
      </c>
      <c r="K47" s="79">
        <v>35.377358490566039</v>
      </c>
      <c r="L47" s="79">
        <v>8</v>
      </c>
      <c r="M47" s="79">
        <v>1107.5454924242424</v>
      </c>
      <c r="N47" s="79">
        <v>13878.842621212121</v>
      </c>
      <c r="O47" s="79">
        <v>1.9688233935744703</v>
      </c>
      <c r="P47" s="79">
        <v>5</v>
      </c>
      <c r="Q47" s="79">
        <v>5183.7725075757571</v>
      </c>
      <c r="R47" s="79">
        <v>5183.7725075757589</v>
      </c>
      <c r="S47" s="79">
        <v>0.7353590539520074</v>
      </c>
      <c r="T47" s="79">
        <v>0</v>
      </c>
      <c r="U47" s="79">
        <v>0</v>
      </c>
      <c r="V47" s="79">
        <v>0</v>
      </c>
      <c r="W47" s="79">
        <v>12</v>
      </c>
      <c r="X47" s="79">
        <v>58712.121212121208</v>
      </c>
      <c r="Y47" s="79">
        <v>115</v>
      </c>
      <c r="Z47" s="79">
        <v>223</v>
      </c>
      <c r="AA47" s="79">
        <v>0</v>
      </c>
      <c r="AB47" s="79">
        <v>0</v>
      </c>
      <c r="AC47" s="79">
        <v>75</v>
      </c>
      <c r="AD47" s="79">
        <v>0</v>
      </c>
      <c r="AE47" s="79">
        <v>0</v>
      </c>
      <c r="AF47" s="79">
        <v>0</v>
      </c>
      <c r="AG47" s="79">
        <v>98.324534351142916</v>
      </c>
    </row>
    <row r="48" spans="1:33" ht="15" hidden="1" x14ac:dyDescent="0.25">
      <c r="A48" s="77" t="s">
        <v>40</v>
      </c>
      <c r="B48" s="78">
        <v>41701</v>
      </c>
      <c r="C48" s="79">
        <v>6</v>
      </c>
      <c r="D48" s="79">
        <v>15</v>
      </c>
      <c r="E48" s="79">
        <v>18</v>
      </c>
      <c r="F48" s="79">
        <v>18181.818181818184</v>
      </c>
      <c r="G48" s="79">
        <v>66666.666666666672</v>
      </c>
      <c r="H48" s="79">
        <v>31.578947368421051</v>
      </c>
      <c r="I48" s="79">
        <v>288</v>
      </c>
      <c r="J48" s="79">
        <v>736725.03321212158</v>
      </c>
      <c r="K48" s="79">
        <v>19.444444444444446</v>
      </c>
      <c r="L48" s="79">
        <v>0</v>
      </c>
      <c r="M48" s="79">
        <v>0</v>
      </c>
      <c r="N48" s="79">
        <v>0</v>
      </c>
      <c r="O48" s="79">
        <v>0</v>
      </c>
      <c r="P48" s="79">
        <v>0</v>
      </c>
      <c r="Q48" s="79">
        <v>0</v>
      </c>
      <c r="R48" s="79">
        <v>0</v>
      </c>
      <c r="S48" s="79">
        <v>0</v>
      </c>
      <c r="T48" s="79">
        <v>1</v>
      </c>
      <c r="U48" s="79">
        <v>454.54545454545456</v>
      </c>
      <c r="V48" s="79">
        <v>0</v>
      </c>
      <c r="W48" s="79">
        <v>17</v>
      </c>
      <c r="X48" s="79">
        <v>63636.363636363632</v>
      </c>
      <c r="Y48" s="79">
        <v>145</v>
      </c>
      <c r="Z48" s="79">
        <v>309</v>
      </c>
      <c r="AA48" s="79">
        <v>0</v>
      </c>
      <c r="AB48" s="79">
        <v>0</v>
      </c>
      <c r="AC48" s="79">
        <v>56</v>
      </c>
      <c r="AD48" s="79">
        <v>0</v>
      </c>
      <c r="AE48" s="79">
        <v>0</v>
      </c>
      <c r="AF48" s="79">
        <v>0</v>
      </c>
      <c r="AG48" s="79">
        <v>100.00000000000004</v>
      </c>
    </row>
    <row r="49" spans="1:33" ht="15" hidden="1" x14ac:dyDescent="0.25">
      <c r="A49" s="77" t="s">
        <v>483</v>
      </c>
      <c r="B49" s="78">
        <v>42142</v>
      </c>
      <c r="C49" s="79">
        <v>0</v>
      </c>
      <c r="D49" s="79">
        <v>0</v>
      </c>
      <c r="E49" s="79">
        <v>0</v>
      </c>
      <c r="F49" s="79">
        <v>0</v>
      </c>
      <c r="G49" s="79">
        <v>0</v>
      </c>
      <c r="H49" s="79">
        <v>23.076923076923077</v>
      </c>
      <c r="I49" s="79">
        <v>166</v>
      </c>
      <c r="J49" s="79">
        <v>411171.24174235965</v>
      </c>
      <c r="K49" s="79">
        <v>39.156626506024097</v>
      </c>
      <c r="L49" s="79">
        <v>10</v>
      </c>
      <c r="M49" s="79">
        <v>1814.1246793505406</v>
      </c>
      <c r="N49" s="79">
        <v>28281.416572327522</v>
      </c>
      <c r="O49" s="79">
        <v>6.8782574511980803</v>
      </c>
      <c r="P49" s="79">
        <v>27</v>
      </c>
      <c r="Q49" s="79">
        <v>26923.641510941186</v>
      </c>
      <c r="R49" s="79">
        <v>72128.906988213916</v>
      </c>
      <c r="S49" s="79">
        <v>17.542303465233587</v>
      </c>
      <c r="T49" s="79">
        <v>0</v>
      </c>
      <c r="U49" s="79">
        <v>0</v>
      </c>
      <c r="V49" s="79">
        <v>0</v>
      </c>
      <c r="W49" s="79">
        <v>0</v>
      </c>
      <c r="X49" s="79">
        <v>0</v>
      </c>
      <c r="Y49" s="79">
        <v>91</v>
      </c>
      <c r="Z49" s="79">
        <v>237</v>
      </c>
      <c r="AA49" s="79">
        <v>0</v>
      </c>
      <c r="AB49" s="79">
        <v>0</v>
      </c>
      <c r="AC49" s="79">
        <v>65</v>
      </c>
      <c r="AD49" s="79">
        <v>0</v>
      </c>
      <c r="AE49" s="79">
        <v>0</v>
      </c>
      <c r="AF49" s="79">
        <v>0</v>
      </c>
      <c r="AG49" s="79">
        <v>91.756083867630139</v>
      </c>
    </row>
    <row r="50" spans="1:33" s="77" customFormat="1" ht="15" hidden="1" x14ac:dyDescent="0.25">
      <c r="A50" s="77" t="s">
        <v>43</v>
      </c>
      <c r="B50" s="78">
        <v>40454</v>
      </c>
      <c r="C50" s="79">
        <v>0</v>
      </c>
      <c r="D50" s="79">
        <v>0</v>
      </c>
      <c r="E50" s="79">
        <v>0</v>
      </c>
      <c r="F50" s="79">
        <v>0</v>
      </c>
      <c r="G50" s="79">
        <v>0</v>
      </c>
      <c r="H50" s="79">
        <v>15.384615384615385</v>
      </c>
      <c r="I50" s="79">
        <v>193</v>
      </c>
      <c r="J50" s="79">
        <v>504313.54470163619</v>
      </c>
      <c r="K50" s="79">
        <v>10.880829015544041</v>
      </c>
      <c r="L50" s="79">
        <v>12</v>
      </c>
      <c r="M50" s="79">
        <v>1755.3892042372688</v>
      </c>
      <c r="N50" s="79">
        <v>29917.53620649103</v>
      </c>
      <c r="O50" s="79">
        <v>5.932328512848283</v>
      </c>
      <c r="P50" s="79">
        <v>10</v>
      </c>
      <c r="Q50" s="79">
        <v>14377.458969696971</v>
      </c>
      <c r="R50" s="79">
        <v>28863.099954545454</v>
      </c>
      <c r="S50" s="79">
        <v>5.7232450442356342</v>
      </c>
      <c r="T50" s="79">
        <v>1</v>
      </c>
      <c r="U50" s="79">
        <v>3415.0085833333342</v>
      </c>
      <c r="V50" s="79">
        <v>0</v>
      </c>
      <c r="W50" s="79">
        <v>0</v>
      </c>
      <c r="X50" s="79">
        <v>0</v>
      </c>
      <c r="Y50" s="79">
        <v>91</v>
      </c>
      <c r="Z50" s="79">
        <v>245</v>
      </c>
      <c r="AA50" s="79">
        <v>0</v>
      </c>
      <c r="AB50" s="79">
        <v>0</v>
      </c>
      <c r="AC50" s="79">
        <v>21</v>
      </c>
      <c r="AD50" s="79">
        <v>0</v>
      </c>
      <c r="AE50" s="79">
        <v>0</v>
      </c>
      <c r="AF50" s="79">
        <v>0</v>
      </c>
      <c r="AG50" s="79">
        <v>95.615077093582272</v>
      </c>
    </row>
    <row r="51" spans="1:33" ht="15" hidden="1" x14ac:dyDescent="0.25">
      <c r="A51" s="77" t="s">
        <v>44</v>
      </c>
      <c r="B51" s="78">
        <v>42278</v>
      </c>
      <c r="C51" s="79">
        <v>0</v>
      </c>
      <c r="D51" s="79">
        <v>9</v>
      </c>
      <c r="E51" s="79">
        <v>12</v>
      </c>
      <c r="F51" s="79">
        <v>0</v>
      </c>
      <c r="G51" s="79">
        <v>59469.696969696961</v>
      </c>
      <c r="H51" s="79">
        <v>28.571428571428569</v>
      </c>
      <c r="I51" s="79">
        <v>166</v>
      </c>
      <c r="J51" s="79">
        <v>628551.17606801377</v>
      </c>
      <c r="K51" s="79">
        <v>9.6385542168674707</v>
      </c>
      <c r="L51" s="79">
        <v>6</v>
      </c>
      <c r="M51" s="79">
        <v>2047.8096818181825</v>
      </c>
      <c r="N51" s="79">
        <v>7305.0067499999996</v>
      </c>
      <c r="O51" s="79">
        <v>1.1621976106539884</v>
      </c>
      <c r="P51" s="79">
        <v>6</v>
      </c>
      <c r="Q51" s="79">
        <v>19921.046507575757</v>
      </c>
      <c r="R51" s="79">
        <v>24204.261159090911</v>
      </c>
      <c r="S51" s="79">
        <v>3.8508019840968104</v>
      </c>
      <c r="T51" s="79">
        <v>0</v>
      </c>
      <c r="U51" s="79">
        <v>0</v>
      </c>
      <c r="V51" s="79">
        <v>0</v>
      </c>
      <c r="W51" s="79">
        <v>12</v>
      </c>
      <c r="X51" s="79">
        <v>59469.696969696975</v>
      </c>
      <c r="Y51" s="79">
        <v>79</v>
      </c>
      <c r="Z51" s="79">
        <v>204</v>
      </c>
      <c r="AA51" s="79">
        <v>0</v>
      </c>
      <c r="AB51" s="79">
        <v>0</v>
      </c>
      <c r="AC51" s="79">
        <v>16</v>
      </c>
      <c r="AD51" s="79">
        <v>0</v>
      </c>
      <c r="AE51" s="79">
        <v>0</v>
      </c>
      <c r="AF51" s="79">
        <v>0</v>
      </c>
      <c r="AG51" s="79">
        <v>94.921366863148108</v>
      </c>
    </row>
    <row r="52" spans="1:33" ht="15" hidden="1" x14ac:dyDescent="0.25">
      <c r="A52" s="77" t="s">
        <v>45</v>
      </c>
      <c r="B52" s="78">
        <v>42669</v>
      </c>
      <c r="C52" s="79">
        <v>0</v>
      </c>
      <c r="D52" s="79">
        <v>0</v>
      </c>
      <c r="E52" s="79">
        <v>0</v>
      </c>
      <c r="F52" s="79">
        <v>0</v>
      </c>
      <c r="G52" s="79">
        <v>0</v>
      </c>
      <c r="H52" s="79">
        <v>25</v>
      </c>
      <c r="I52" s="79">
        <v>113</v>
      </c>
      <c r="J52" s="79">
        <v>302708.25494692329</v>
      </c>
      <c r="K52" s="79">
        <v>37.168141592920357</v>
      </c>
      <c r="L52" s="79">
        <v>6</v>
      </c>
      <c r="M52" s="79">
        <v>922.17734848484906</v>
      </c>
      <c r="N52" s="79">
        <v>10911.892613636363</v>
      </c>
      <c r="O52" s="79">
        <v>3.6047555477301563</v>
      </c>
      <c r="P52" s="79">
        <v>30</v>
      </c>
      <c r="Q52" s="79">
        <v>56603.464213111176</v>
      </c>
      <c r="R52" s="79">
        <v>108351.72462734692</v>
      </c>
      <c r="S52" s="79">
        <v>35.794109627550547</v>
      </c>
      <c r="T52" s="79">
        <v>0</v>
      </c>
      <c r="U52" s="79">
        <v>0</v>
      </c>
      <c r="V52" s="79">
        <v>0</v>
      </c>
      <c r="W52" s="79">
        <v>0</v>
      </c>
      <c r="X52" s="79">
        <v>0</v>
      </c>
      <c r="Y52" s="79">
        <v>66</v>
      </c>
      <c r="Z52" s="79">
        <v>235</v>
      </c>
      <c r="AA52" s="79">
        <v>0</v>
      </c>
      <c r="AB52" s="79">
        <v>0</v>
      </c>
      <c r="AC52" s="79">
        <v>42</v>
      </c>
      <c r="AD52" s="79">
        <v>0</v>
      </c>
      <c r="AE52" s="79">
        <v>0</v>
      </c>
      <c r="AF52" s="79">
        <v>0</v>
      </c>
      <c r="AG52" s="79">
        <v>84.893551249996477</v>
      </c>
    </row>
    <row r="53" spans="1:33" ht="15" hidden="1" x14ac:dyDescent="0.25">
      <c r="A53" s="77" t="s">
        <v>46</v>
      </c>
      <c r="B53" s="78">
        <v>43662</v>
      </c>
      <c r="C53" s="79">
        <v>7</v>
      </c>
      <c r="D53" s="79">
        <v>6</v>
      </c>
      <c r="E53" s="79">
        <v>15</v>
      </c>
      <c r="F53" s="79">
        <v>22727.272727272728</v>
      </c>
      <c r="G53" s="79">
        <v>72727.272727272721</v>
      </c>
      <c r="H53" s="79">
        <v>5.5555555555555554</v>
      </c>
      <c r="I53" s="79">
        <v>183</v>
      </c>
      <c r="J53" s="79">
        <v>534911.50862857024</v>
      </c>
      <c r="K53" s="79">
        <v>26.775956284153008</v>
      </c>
      <c r="L53" s="79">
        <v>1</v>
      </c>
      <c r="M53" s="79">
        <v>750.75757575757564</v>
      </c>
      <c r="N53" s="79">
        <v>750.75757575757564</v>
      </c>
      <c r="O53" s="79">
        <v>0.14035173363205464</v>
      </c>
      <c r="P53" s="79">
        <v>4</v>
      </c>
      <c r="Q53" s="79">
        <v>6443.6729090269291</v>
      </c>
      <c r="R53" s="79">
        <v>7029.8673711481415</v>
      </c>
      <c r="S53" s="79">
        <v>1.3142112775198325</v>
      </c>
      <c r="T53" s="79">
        <v>0</v>
      </c>
      <c r="U53" s="79">
        <v>0</v>
      </c>
      <c r="V53" s="79">
        <v>0</v>
      </c>
      <c r="W53" s="79">
        <v>21</v>
      </c>
      <c r="X53" s="79">
        <v>96212.121212121216</v>
      </c>
      <c r="Y53" s="79">
        <v>111</v>
      </c>
      <c r="Z53" s="79">
        <v>344</v>
      </c>
      <c r="AA53" s="79">
        <v>0</v>
      </c>
      <c r="AB53" s="79">
        <v>0</v>
      </c>
      <c r="AC53" s="79">
        <v>49</v>
      </c>
      <c r="AD53" s="79">
        <v>0</v>
      </c>
      <c r="AE53" s="79">
        <v>0</v>
      </c>
      <c r="AF53" s="79">
        <v>0</v>
      </c>
      <c r="AG53" s="79">
        <v>98.118294291351674</v>
      </c>
    </row>
    <row r="54" spans="1:33" ht="15" hidden="1" x14ac:dyDescent="0.25">
      <c r="A54" s="77" t="s">
        <v>47</v>
      </c>
      <c r="B54" s="78">
        <v>39405</v>
      </c>
      <c r="C54" s="79">
        <v>0</v>
      </c>
      <c r="D54" s="79">
        <v>6</v>
      </c>
      <c r="E54" s="79">
        <v>7</v>
      </c>
      <c r="F54" s="79">
        <v>0</v>
      </c>
      <c r="G54" s="79">
        <v>51515.15151515152</v>
      </c>
      <c r="H54" s="79">
        <v>0</v>
      </c>
      <c r="I54" s="79">
        <v>228</v>
      </c>
      <c r="J54" s="79">
        <v>824202.83918234368</v>
      </c>
      <c r="K54" s="79">
        <v>8.3333333333333321</v>
      </c>
      <c r="L54" s="79">
        <v>12</v>
      </c>
      <c r="M54" s="79">
        <v>2563.1655284684516</v>
      </c>
      <c r="N54" s="79">
        <v>30419.240545454541</v>
      </c>
      <c r="O54" s="79">
        <v>3.6907468767800129</v>
      </c>
      <c r="P54" s="79">
        <v>9</v>
      </c>
      <c r="Q54" s="79">
        <v>7588.8541496160433</v>
      </c>
      <c r="R54" s="79">
        <v>21101.984990525132</v>
      </c>
      <c r="S54" s="79">
        <v>2.560290257124024</v>
      </c>
      <c r="T54" s="79">
        <v>0</v>
      </c>
      <c r="U54" s="79">
        <v>0</v>
      </c>
      <c r="V54" s="79">
        <v>0</v>
      </c>
      <c r="W54" s="79">
        <v>7</v>
      </c>
      <c r="X54" s="79">
        <v>51515.151515151512</v>
      </c>
      <c r="Y54" s="79">
        <v>77</v>
      </c>
      <c r="Z54" s="79">
        <v>188</v>
      </c>
      <c r="AA54" s="79">
        <v>0</v>
      </c>
      <c r="AB54" s="79">
        <v>0</v>
      </c>
      <c r="AC54" s="79">
        <v>19</v>
      </c>
      <c r="AD54" s="79">
        <v>0</v>
      </c>
      <c r="AE54" s="79">
        <v>0</v>
      </c>
      <c r="AF54" s="79">
        <v>0</v>
      </c>
      <c r="AG54" s="79">
        <v>98.316546990313796</v>
      </c>
    </row>
    <row r="55" spans="1:33" ht="15" hidden="1" x14ac:dyDescent="0.25">
      <c r="A55" s="77" t="s">
        <v>50</v>
      </c>
      <c r="B55" s="78">
        <v>41431</v>
      </c>
      <c r="C55" s="79">
        <v>5</v>
      </c>
      <c r="D55" s="79">
        <v>4</v>
      </c>
      <c r="E55" s="79">
        <v>13</v>
      </c>
      <c r="F55" s="79">
        <v>24621.21212121212</v>
      </c>
      <c r="G55" s="79">
        <v>68181.818181818191</v>
      </c>
      <c r="H55" s="79">
        <v>0</v>
      </c>
      <c r="I55" s="79">
        <v>151</v>
      </c>
      <c r="J55" s="79">
        <v>581267.33852793439</v>
      </c>
      <c r="K55" s="79">
        <v>33.112582781456958</v>
      </c>
      <c r="L55" s="79">
        <v>6</v>
      </c>
      <c r="M55" s="79">
        <v>926.84471212121252</v>
      </c>
      <c r="N55" s="79">
        <v>9725.0975303030318</v>
      </c>
      <c r="O55" s="79">
        <v>1.6730851513061</v>
      </c>
      <c r="P55" s="79">
        <v>1</v>
      </c>
      <c r="Q55" s="79">
        <v>1152.4654545454546</v>
      </c>
      <c r="R55" s="79">
        <v>6081.9345303030304</v>
      </c>
      <c r="S55" s="79">
        <v>1.0463231162627498</v>
      </c>
      <c r="T55" s="79">
        <v>0</v>
      </c>
      <c r="U55" s="79">
        <v>0</v>
      </c>
      <c r="V55" s="79">
        <v>0</v>
      </c>
      <c r="W55" s="79">
        <v>17</v>
      </c>
      <c r="X55" s="79">
        <v>91666.666666666657</v>
      </c>
      <c r="Y55" s="79">
        <v>80</v>
      </c>
      <c r="Z55" s="79">
        <v>176</v>
      </c>
      <c r="AA55" s="79">
        <v>0</v>
      </c>
      <c r="AB55" s="79">
        <v>0</v>
      </c>
      <c r="AC55" s="79">
        <v>50</v>
      </c>
      <c r="AD55" s="79">
        <v>0</v>
      </c>
      <c r="AE55" s="79">
        <v>0</v>
      </c>
      <c r="AF55" s="79">
        <v>0</v>
      </c>
      <c r="AG55" s="79">
        <v>99.329969131429593</v>
      </c>
    </row>
    <row r="56" spans="1:33" ht="15" hidden="1" x14ac:dyDescent="0.25">
      <c r="A56" s="77" t="s">
        <v>51</v>
      </c>
      <c r="B56" s="78">
        <v>40139</v>
      </c>
      <c r="C56" s="79">
        <v>0</v>
      </c>
      <c r="D56" s="79">
        <v>0</v>
      </c>
      <c r="E56" s="79">
        <v>0</v>
      </c>
      <c r="F56" s="79">
        <v>0</v>
      </c>
      <c r="G56" s="79">
        <v>0</v>
      </c>
      <c r="H56" s="79">
        <v>0</v>
      </c>
      <c r="I56" s="79">
        <v>48</v>
      </c>
      <c r="J56" s="79">
        <v>556762.97115748317</v>
      </c>
      <c r="K56" s="79">
        <v>0</v>
      </c>
      <c r="L56" s="79">
        <v>0</v>
      </c>
      <c r="M56" s="79">
        <v>0</v>
      </c>
      <c r="N56" s="79">
        <v>0</v>
      </c>
      <c r="O56" s="79">
        <v>0</v>
      </c>
      <c r="P56" s="79">
        <v>5</v>
      </c>
      <c r="Q56" s="79">
        <v>36478.53225399596</v>
      </c>
      <c r="R56" s="79">
        <v>55595.255753093326</v>
      </c>
      <c r="S56" s="79">
        <v>9.9854441895648147</v>
      </c>
      <c r="T56" s="79">
        <v>0</v>
      </c>
      <c r="U56" s="79">
        <v>0</v>
      </c>
      <c r="V56" s="79">
        <v>0</v>
      </c>
      <c r="W56" s="79">
        <v>0</v>
      </c>
      <c r="X56" s="79">
        <v>0</v>
      </c>
      <c r="Y56" s="79">
        <v>9</v>
      </c>
      <c r="Z56" s="79">
        <v>33</v>
      </c>
      <c r="AA56" s="79">
        <v>0</v>
      </c>
      <c r="AB56" s="79">
        <v>0</v>
      </c>
      <c r="AC56" s="79">
        <v>0</v>
      </c>
      <c r="AD56" s="79">
        <v>0</v>
      </c>
      <c r="AE56" s="79">
        <v>0</v>
      </c>
      <c r="AF56" s="79">
        <v>0</v>
      </c>
      <c r="AG56" s="79">
        <v>94.052963172561391</v>
      </c>
    </row>
    <row r="57" spans="1:33" ht="15" hidden="1" x14ac:dyDescent="0.25">
      <c r="A57" s="77" t="s">
        <v>225</v>
      </c>
      <c r="B57" s="78">
        <v>39338</v>
      </c>
      <c r="C57" s="79">
        <v>0</v>
      </c>
      <c r="D57" s="79">
        <v>7</v>
      </c>
      <c r="E57" s="79">
        <v>12</v>
      </c>
      <c r="F57" s="79">
        <v>0</v>
      </c>
      <c r="G57" s="79">
        <v>65909.090909090912</v>
      </c>
      <c r="H57" s="79">
        <v>16.666666666666664</v>
      </c>
      <c r="I57" s="79">
        <v>208</v>
      </c>
      <c r="J57" s="79">
        <v>845194.59965879668</v>
      </c>
      <c r="K57" s="79">
        <v>7.2115384615384608</v>
      </c>
      <c r="L57" s="79">
        <v>6</v>
      </c>
      <c r="M57" s="79">
        <v>2035.9841136363634</v>
      </c>
      <c r="N57" s="79">
        <v>41028.916651515159</v>
      </c>
      <c r="O57" s="79">
        <v>4.8543751543228559</v>
      </c>
      <c r="P57" s="79">
        <v>4</v>
      </c>
      <c r="Q57" s="79">
        <v>6548.0416439393921</v>
      </c>
      <c r="R57" s="79">
        <v>25067.171810606058</v>
      </c>
      <c r="S57" s="79">
        <v>2.9658461874609259</v>
      </c>
      <c r="T57" s="79">
        <v>0</v>
      </c>
      <c r="U57" s="79">
        <v>0</v>
      </c>
      <c r="V57" s="79">
        <v>0</v>
      </c>
      <c r="W57" s="79">
        <v>12</v>
      </c>
      <c r="X57" s="79">
        <v>65909.090909090926</v>
      </c>
      <c r="Y57" s="79">
        <v>124</v>
      </c>
      <c r="Z57" s="79">
        <v>250</v>
      </c>
      <c r="AA57" s="79">
        <v>0</v>
      </c>
      <c r="AB57" s="79">
        <v>0</v>
      </c>
      <c r="AC57" s="79">
        <v>15</v>
      </c>
      <c r="AD57" s="79">
        <v>0</v>
      </c>
      <c r="AE57" s="79">
        <v>0</v>
      </c>
      <c r="AF57" s="79">
        <v>0</v>
      </c>
      <c r="AG57" s="79">
        <v>98.2867195690621</v>
      </c>
    </row>
    <row r="58" spans="1:33" ht="15" hidden="1" x14ac:dyDescent="0.25">
      <c r="A58" s="77" t="s">
        <v>55</v>
      </c>
      <c r="B58" s="78">
        <v>42964</v>
      </c>
      <c r="C58" s="79">
        <v>0</v>
      </c>
      <c r="D58" s="79">
        <v>1</v>
      </c>
      <c r="E58" s="79">
        <v>2</v>
      </c>
      <c r="F58" s="79">
        <v>0</v>
      </c>
      <c r="G58" s="79">
        <v>20454.545454545456</v>
      </c>
      <c r="H58" s="79">
        <v>0</v>
      </c>
      <c r="I58" s="79">
        <v>183</v>
      </c>
      <c r="J58" s="79">
        <v>691551.61456154822</v>
      </c>
      <c r="K58" s="79">
        <v>8.7431693989071047</v>
      </c>
      <c r="L58" s="79">
        <v>7</v>
      </c>
      <c r="M58" s="79">
        <v>2008.0363409090905</v>
      </c>
      <c r="N58" s="79">
        <v>21300.689083333338</v>
      </c>
      <c r="O58" s="79">
        <v>3.0801300488378187</v>
      </c>
      <c r="P58" s="79">
        <v>7</v>
      </c>
      <c r="Q58" s="79">
        <v>9316.6681818181823</v>
      </c>
      <c r="R58" s="79">
        <v>22547.815068181815</v>
      </c>
      <c r="S58" s="79">
        <v>3.2604674175299833</v>
      </c>
      <c r="T58" s="79">
        <v>0</v>
      </c>
      <c r="U58" s="79">
        <v>0</v>
      </c>
      <c r="V58" s="79">
        <v>0</v>
      </c>
      <c r="W58" s="79">
        <v>8</v>
      </c>
      <c r="X58" s="79">
        <v>91666.666666666686</v>
      </c>
      <c r="Y58" s="79">
        <v>97</v>
      </c>
      <c r="Z58" s="79">
        <v>221</v>
      </c>
      <c r="AA58" s="79">
        <v>0</v>
      </c>
      <c r="AB58" s="79">
        <v>0</v>
      </c>
      <c r="AC58" s="79">
        <v>16</v>
      </c>
      <c r="AD58" s="79">
        <v>0</v>
      </c>
      <c r="AE58" s="79">
        <v>0</v>
      </c>
      <c r="AF58" s="79">
        <v>0</v>
      </c>
      <c r="AG58" s="79">
        <v>97.294101443658661</v>
      </c>
    </row>
    <row r="59" spans="1:33" ht="15" hidden="1" x14ac:dyDescent="0.25">
      <c r="A59" s="77" t="s">
        <v>249</v>
      </c>
      <c r="B59" s="78">
        <v>44287</v>
      </c>
      <c r="C59" s="79">
        <v>3</v>
      </c>
      <c r="D59" s="79">
        <v>6</v>
      </c>
      <c r="E59" s="79">
        <v>11</v>
      </c>
      <c r="F59" s="79">
        <v>10227.272727272728</v>
      </c>
      <c r="G59" s="79">
        <v>83712.121212121216</v>
      </c>
      <c r="H59" s="79">
        <v>12.5</v>
      </c>
      <c r="I59" s="79">
        <v>215</v>
      </c>
      <c r="J59" s="79">
        <v>1164580.2029126724</v>
      </c>
      <c r="K59" s="79">
        <v>30.697674418604652</v>
      </c>
      <c r="L59" s="79">
        <v>23</v>
      </c>
      <c r="M59" s="79">
        <v>12150.629697261185</v>
      </c>
      <c r="N59" s="79">
        <v>94404.685420205438</v>
      </c>
      <c r="O59" s="79">
        <v>8.1063275147640912</v>
      </c>
      <c r="P59" s="79">
        <v>4</v>
      </c>
      <c r="Q59" s="79">
        <v>6570.0403509865737</v>
      </c>
      <c r="R59" s="79">
        <v>9047.6370555320282</v>
      </c>
      <c r="S59" s="79">
        <v>0.77690115570429952</v>
      </c>
      <c r="T59" s="79">
        <v>0</v>
      </c>
      <c r="U59" s="79">
        <v>0</v>
      </c>
      <c r="V59" s="79">
        <v>0</v>
      </c>
      <c r="W59" s="79">
        <v>10</v>
      </c>
      <c r="X59" s="79">
        <v>81439.393939393936</v>
      </c>
      <c r="Y59" s="79">
        <v>83</v>
      </c>
      <c r="Z59" s="79">
        <v>198</v>
      </c>
      <c r="AA59" s="79">
        <v>0</v>
      </c>
      <c r="AB59" s="79">
        <v>0</v>
      </c>
      <c r="AC59" s="79">
        <v>66</v>
      </c>
      <c r="AD59" s="79">
        <v>0</v>
      </c>
      <c r="AE59" s="79">
        <v>0</v>
      </c>
      <c r="AF59" s="79">
        <v>0</v>
      </c>
      <c r="AG59" s="79">
        <v>97.71546180417532</v>
      </c>
    </row>
    <row r="60" spans="1:33" ht="15" hidden="1" x14ac:dyDescent="0.25">
      <c r="A60" s="77" t="s">
        <v>482</v>
      </c>
      <c r="B60" s="78">
        <v>42990</v>
      </c>
      <c r="C60" s="79">
        <v>0</v>
      </c>
      <c r="D60" s="79">
        <v>0</v>
      </c>
      <c r="E60" s="79">
        <v>0</v>
      </c>
      <c r="F60" s="79">
        <v>0</v>
      </c>
      <c r="G60" s="79">
        <v>0</v>
      </c>
      <c r="H60" s="79">
        <v>25</v>
      </c>
      <c r="I60" s="79">
        <v>1</v>
      </c>
      <c r="J60" s="79">
        <v>2487.4725075757574</v>
      </c>
      <c r="K60" s="79">
        <v>0</v>
      </c>
      <c r="L60" s="79">
        <v>0</v>
      </c>
      <c r="M60" s="79">
        <v>0</v>
      </c>
      <c r="N60" s="79">
        <v>0</v>
      </c>
      <c r="O60" s="79">
        <v>0</v>
      </c>
      <c r="P60" s="79">
        <v>0</v>
      </c>
      <c r="Q60" s="79">
        <v>0</v>
      </c>
      <c r="R60" s="79">
        <v>0</v>
      </c>
      <c r="S60" s="79">
        <v>0</v>
      </c>
      <c r="T60" s="79">
        <v>0</v>
      </c>
      <c r="U60" s="79">
        <v>0</v>
      </c>
      <c r="V60" s="79">
        <v>0</v>
      </c>
      <c r="W60" s="79">
        <v>0</v>
      </c>
      <c r="X60" s="79">
        <v>0</v>
      </c>
      <c r="Y60" s="79">
        <v>2</v>
      </c>
      <c r="Z60" s="79">
        <v>163</v>
      </c>
      <c r="AA60" s="79">
        <v>0</v>
      </c>
      <c r="AB60" s="79">
        <v>0</v>
      </c>
      <c r="AC60" s="79">
        <v>0</v>
      </c>
      <c r="AD60" s="79">
        <v>0</v>
      </c>
      <c r="AE60" s="79">
        <v>0</v>
      </c>
      <c r="AF60" s="79">
        <v>0</v>
      </c>
      <c r="AG60" s="79">
        <v>100</v>
      </c>
    </row>
    <row r="61" spans="1:33" ht="15" hidden="1" x14ac:dyDescent="0.25">
      <c r="A61" s="77" t="s">
        <v>58</v>
      </c>
      <c r="B61" s="78">
        <v>41269</v>
      </c>
      <c r="C61" s="79">
        <v>3</v>
      </c>
      <c r="D61" s="79">
        <v>9</v>
      </c>
      <c r="E61" s="79">
        <v>12</v>
      </c>
      <c r="F61" s="79">
        <v>10606.060606060606</v>
      </c>
      <c r="G61" s="79">
        <v>53787.878787878792</v>
      </c>
      <c r="H61" s="79">
        <v>0</v>
      </c>
      <c r="I61" s="79">
        <v>289</v>
      </c>
      <c r="J61" s="79">
        <v>892400.20514806185</v>
      </c>
      <c r="K61" s="79">
        <v>35.294117647058826</v>
      </c>
      <c r="L61" s="79">
        <v>8</v>
      </c>
      <c r="M61" s="79">
        <v>1561.0221445729144</v>
      </c>
      <c r="N61" s="79">
        <v>10984.035500879447</v>
      </c>
      <c r="O61" s="79">
        <v>1.2308418843378726</v>
      </c>
      <c r="P61" s="79">
        <v>3</v>
      </c>
      <c r="Q61" s="79">
        <v>2898.9335227272722</v>
      </c>
      <c r="R61" s="79">
        <v>9481.7196439393938</v>
      </c>
      <c r="S61" s="79">
        <v>1.0624963541291703</v>
      </c>
      <c r="T61" s="79">
        <v>0</v>
      </c>
      <c r="U61" s="79">
        <v>0</v>
      </c>
      <c r="V61" s="79">
        <v>0</v>
      </c>
      <c r="W61" s="79">
        <v>7</v>
      </c>
      <c r="X61" s="79">
        <v>32575.75757575758</v>
      </c>
      <c r="Y61" s="79">
        <v>110</v>
      </c>
      <c r="Z61" s="79">
        <v>290</v>
      </c>
      <c r="AA61" s="79">
        <v>0</v>
      </c>
      <c r="AB61" s="79">
        <v>0</v>
      </c>
      <c r="AC61" s="79">
        <v>102</v>
      </c>
      <c r="AD61" s="79">
        <v>0</v>
      </c>
      <c r="AE61" s="79">
        <v>0</v>
      </c>
      <c r="AF61" s="79">
        <v>0</v>
      </c>
      <c r="AG61" s="79">
        <v>99.053002482532804</v>
      </c>
    </row>
    <row r="62" spans="1:33" ht="15" hidden="1" x14ac:dyDescent="0.25">
      <c r="A62" s="77" t="s">
        <v>59</v>
      </c>
      <c r="B62" s="78">
        <v>41308</v>
      </c>
      <c r="C62" s="79">
        <v>1</v>
      </c>
      <c r="D62" s="79">
        <v>4</v>
      </c>
      <c r="E62" s="79">
        <v>10</v>
      </c>
      <c r="F62" s="79">
        <v>3030.3030303030305</v>
      </c>
      <c r="G62" s="79">
        <v>74242.424242424255</v>
      </c>
      <c r="H62" s="79">
        <v>42.857142857142854</v>
      </c>
      <c r="I62" s="79">
        <v>187</v>
      </c>
      <c r="J62" s="79">
        <v>789604.059323436</v>
      </c>
      <c r="K62" s="79">
        <v>11.764705882352938</v>
      </c>
      <c r="L62" s="79">
        <v>10</v>
      </c>
      <c r="M62" s="79">
        <v>1526.4619176513145</v>
      </c>
      <c r="N62" s="79">
        <v>20478.450846991982</v>
      </c>
      <c r="O62" s="79">
        <v>2.5935088105472413</v>
      </c>
      <c r="P62" s="79">
        <v>5</v>
      </c>
      <c r="Q62" s="79">
        <v>4303.5319318181819</v>
      </c>
      <c r="R62" s="79">
        <v>7617.5914772727274</v>
      </c>
      <c r="S62" s="79">
        <v>0.96473560227131827</v>
      </c>
      <c r="T62" s="79">
        <v>0</v>
      </c>
      <c r="U62" s="79">
        <v>0</v>
      </c>
      <c r="V62" s="79">
        <v>0</v>
      </c>
      <c r="W62" s="79">
        <v>9</v>
      </c>
      <c r="X62" s="79">
        <v>66666.666666666657</v>
      </c>
      <c r="Y62" s="79">
        <v>96</v>
      </c>
      <c r="Z62" s="79">
        <v>202</v>
      </c>
      <c r="AA62" s="79">
        <v>0</v>
      </c>
      <c r="AB62" s="79">
        <v>0</v>
      </c>
      <c r="AC62" s="79">
        <v>22</v>
      </c>
      <c r="AD62" s="79">
        <v>0</v>
      </c>
      <c r="AE62" s="79">
        <v>0</v>
      </c>
      <c r="AF62" s="79">
        <v>0</v>
      </c>
      <c r="AG62" s="79">
        <v>98.627797224574692</v>
      </c>
    </row>
    <row r="63" spans="1:33" ht="15" hidden="1" x14ac:dyDescent="0.25">
      <c r="A63" s="77" t="s">
        <v>62</v>
      </c>
      <c r="B63" s="78">
        <v>42953</v>
      </c>
      <c r="C63" s="79">
        <v>8</v>
      </c>
      <c r="D63" s="79">
        <v>14</v>
      </c>
      <c r="E63" s="79">
        <v>16</v>
      </c>
      <c r="F63" s="79">
        <v>29242.424242424244</v>
      </c>
      <c r="G63" s="79">
        <v>76439.393939393936</v>
      </c>
      <c r="H63" s="79">
        <v>50</v>
      </c>
      <c r="I63" s="79">
        <v>225</v>
      </c>
      <c r="J63" s="79">
        <v>756561.45054545451</v>
      </c>
      <c r="K63" s="79">
        <v>38.666666666666664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19</v>
      </c>
      <c r="X63" s="79">
        <v>105303.03030303032</v>
      </c>
      <c r="Y63" s="79">
        <v>169</v>
      </c>
      <c r="Z63" s="79">
        <v>362</v>
      </c>
      <c r="AA63" s="79">
        <v>0</v>
      </c>
      <c r="AB63" s="79">
        <v>0</v>
      </c>
      <c r="AC63" s="79">
        <v>87</v>
      </c>
      <c r="AD63" s="79">
        <v>0</v>
      </c>
      <c r="AE63" s="79">
        <v>0</v>
      </c>
      <c r="AF63" s="79">
        <v>0</v>
      </c>
      <c r="AG63" s="79">
        <v>100.00000000000004</v>
      </c>
    </row>
    <row r="64" spans="1:33" ht="15" hidden="1" x14ac:dyDescent="0.25">
      <c r="A64" s="77" t="s">
        <v>63</v>
      </c>
      <c r="B64" s="78">
        <v>43088</v>
      </c>
      <c r="C64" s="79">
        <v>9</v>
      </c>
      <c r="D64" s="79">
        <v>8</v>
      </c>
      <c r="E64" s="79">
        <v>15</v>
      </c>
      <c r="F64" s="79">
        <v>27272.727272727272</v>
      </c>
      <c r="G64" s="79">
        <v>50757.575757575753</v>
      </c>
      <c r="H64" s="79">
        <v>7.6923076923076925</v>
      </c>
      <c r="I64" s="79">
        <v>212</v>
      </c>
      <c r="J64" s="79">
        <v>576423.90321969683</v>
      </c>
      <c r="K64" s="79">
        <v>54.24528301886793</v>
      </c>
      <c r="L64" s="79">
        <v>6</v>
      </c>
      <c r="M64" s="79">
        <v>959.67416666666691</v>
      </c>
      <c r="N64" s="79">
        <v>10272.62262121212</v>
      </c>
      <c r="O64" s="79">
        <v>1.7821298811227189</v>
      </c>
      <c r="P64" s="79">
        <v>2</v>
      </c>
      <c r="Q64" s="79">
        <v>1771.7728106060606</v>
      </c>
      <c r="R64" s="79">
        <v>1771.7728106060606</v>
      </c>
      <c r="S64" s="79">
        <v>0.3073732370759738</v>
      </c>
      <c r="T64" s="79">
        <v>0</v>
      </c>
      <c r="U64" s="79">
        <v>0</v>
      </c>
      <c r="V64" s="79">
        <v>0</v>
      </c>
      <c r="W64" s="79">
        <v>13</v>
      </c>
      <c r="X64" s="79">
        <v>45454.545454545456</v>
      </c>
      <c r="Y64" s="79">
        <v>152</v>
      </c>
      <c r="Z64" s="79">
        <v>327</v>
      </c>
      <c r="AA64" s="79">
        <v>0</v>
      </c>
      <c r="AB64" s="79">
        <v>0</v>
      </c>
      <c r="AC64" s="79">
        <v>115</v>
      </c>
      <c r="AD64" s="79">
        <v>0</v>
      </c>
      <c r="AE64" s="79">
        <v>0</v>
      </c>
      <c r="AF64" s="79">
        <v>0</v>
      </c>
      <c r="AG64" s="79">
        <v>99.060992316729426</v>
      </c>
    </row>
    <row r="65" spans="1:33" ht="15" hidden="1" x14ac:dyDescent="0.25">
      <c r="A65" s="77" t="s">
        <v>64</v>
      </c>
      <c r="B65" s="78">
        <v>41855</v>
      </c>
      <c r="C65" s="79">
        <v>11</v>
      </c>
      <c r="D65" s="79">
        <v>5</v>
      </c>
      <c r="E65" s="79">
        <v>15</v>
      </c>
      <c r="F65" s="79">
        <v>32575.757575757583</v>
      </c>
      <c r="G65" s="79">
        <v>57575.757575757591</v>
      </c>
      <c r="H65" s="79">
        <v>0</v>
      </c>
      <c r="I65" s="79">
        <v>263</v>
      </c>
      <c r="J65" s="79">
        <v>681779.60386209772</v>
      </c>
      <c r="K65" s="79">
        <v>67.300380228136873</v>
      </c>
      <c r="L65" s="79">
        <v>1</v>
      </c>
      <c r="M65" s="79">
        <v>757.57575757575762</v>
      </c>
      <c r="N65" s="79">
        <v>11363.636363636364</v>
      </c>
      <c r="O65" s="79">
        <v>1.6667609736730795</v>
      </c>
      <c r="P65" s="79">
        <v>2</v>
      </c>
      <c r="Q65" s="79">
        <v>3097.9133560606056</v>
      </c>
      <c r="R65" s="79">
        <v>4823.4842196969694</v>
      </c>
      <c r="S65" s="79">
        <v>0.70748438239765921</v>
      </c>
      <c r="T65" s="79">
        <v>0</v>
      </c>
      <c r="U65" s="79">
        <v>0</v>
      </c>
      <c r="V65" s="79">
        <v>0</v>
      </c>
      <c r="W65" s="79">
        <v>15</v>
      </c>
      <c r="X65" s="79">
        <v>57575.757575757591</v>
      </c>
      <c r="Y65" s="79">
        <v>3</v>
      </c>
      <c r="Z65" s="79">
        <v>14</v>
      </c>
      <c r="AA65" s="79">
        <v>0</v>
      </c>
      <c r="AB65" s="79">
        <v>0</v>
      </c>
      <c r="AC65" s="79">
        <v>177</v>
      </c>
      <c r="AD65" s="79">
        <v>0</v>
      </c>
      <c r="AE65" s="79">
        <v>0</v>
      </c>
      <c r="AF65" s="79">
        <v>0</v>
      </c>
      <c r="AG65" s="79">
        <v>99.298694248851675</v>
      </c>
    </row>
    <row r="66" spans="1:33" ht="15" hidden="1" x14ac:dyDescent="0.25">
      <c r="A66" s="77" t="s">
        <v>65</v>
      </c>
      <c r="B66" s="78">
        <v>41857</v>
      </c>
      <c r="C66" s="79">
        <v>3</v>
      </c>
      <c r="D66" s="79">
        <v>7</v>
      </c>
      <c r="E66" s="79">
        <v>9</v>
      </c>
      <c r="F66" s="79">
        <v>17803.030303030304</v>
      </c>
      <c r="G66" s="79">
        <v>66969.696969696975</v>
      </c>
      <c r="H66" s="79">
        <v>18.75</v>
      </c>
      <c r="I66" s="79">
        <v>212</v>
      </c>
      <c r="J66" s="79">
        <v>790068.04258084029</v>
      </c>
      <c r="K66" s="79">
        <v>20.754716981132077</v>
      </c>
      <c r="L66" s="79">
        <v>4</v>
      </c>
      <c r="M66" s="79">
        <v>1381.73946969697</v>
      </c>
      <c r="N66" s="79">
        <v>16890.350053030303</v>
      </c>
      <c r="O66" s="79">
        <v>2.1378348626602079</v>
      </c>
      <c r="P66" s="79">
        <v>6</v>
      </c>
      <c r="Q66" s="79">
        <v>8888.3342783270291</v>
      </c>
      <c r="R66" s="79">
        <v>29415.506754811166</v>
      </c>
      <c r="S66" s="79">
        <v>3.7231611923856986</v>
      </c>
      <c r="T66" s="79">
        <v>0</v>
      </c>
      <c r="U66" s="79">
        <v>0</v>
      </c>
      <c r="V66" s="79">
        <v>0</v>
      </c>
      <c r="W66" s="79">
        <v>9</v>
      </c>
      <c r="X66" s="79">
        <v>66969.696969696975</v>
      </c>
      <c r="Y66" s="79">
        <v>103</v>
      </c>
      <c r="Z66" s="79">
        <v>279</v>
      </c>
      <c r="AA66" s="79">
        <v>0</v>
      </c>
      <c r="AB66" s="79">
        <v>0</v>
      </c>
      <c r="AC66" s="79">
        <v>44</v>
      </c>
      <c r="AD66" s="79">
        <v>0</v>
      </c>
      <c r="AE66" s="79">
        <v>0</v>
      </c>
      <c r="AF66" s="79">
        <v>0</v>
      </c>
      <c r="AG66" s="79">
        <v>98.070819432690854</v>
      </c>
    </row>
    <row r="67" spans="1:33" ht="15" hidden="1" x14ac:dyDescent="0.25">
      <c r="A67" s="77" t="s">
        <v>66</v>
      </c>
      <c r="B67" s="78">
        <v>43704</v>
      </c>
      <c r="C67" s="79">
        <v>9</v>
      </c>
      <c r="D67" s="79">
        <v>9</v>
      </c>
      <c r="E67" s="79">
        <v>13</v>
      </c>
      <c r="F67" s="79">
        <v>31818.18181818182</v>
      </c>
      <c r="G67" s="79">
        <v>50757.575757575774</v>
      </c>
      <c r="H67" s="79">
        <v>33.333333333333329</v>
      </c>
      <c r="I67" s="79">
        <v>318</v>
      </c>
      <c r="J67" s="79">
        <v>747265.09804629837</v>
      </c>
      <c r="K67" s="79">
        <v>61.94968553459119</v>
      </c>
      <c r="L67" s="79">
        <v>35</v>
      </c>
      <c r="M67" s="79">
        <v>5643.2101511138226</v>
      </c>
      <c r="N67" s="79">
        <v>70848.077049142245</v>
      </c>
      <c r="O67" s="79">
        <v>9.4809830185261408</v>
      </c>
      <c r="P67" s="79">
        <v>15</v>
      </c>
      <c r="Q67" s="79">
        <v>16560.436645255511</v>
      </c>
      <c r="R67" s="79">
        <v>41307.697046770656</v>
      </c>
      <c r="S67" s="79">
        <v>5.5278504448780446</v>
      </c>
      <c r="T67" s="79">
        <v>0</v>
      </c>
      <c r="U67" s="79">
        <v>0</v>
      </c>
      <c r="V67" s="79">
        <v>0</v>
      </c>
      <c r="W67" s="79">
        <v>15</v>
      </c>
      <c r="X67" s="79">
        <v>58333.333333333343</v>
      </c>
      <c r="Y67" s="79">
        <v>50</v>
      </c>
      <c r="Z67" s="79">
        <v>163</v>
      </c>
      <c r="AA67" s="79">
        <v>0</v>
      </c>
      <c r="AB67" s="79">
        <v>0</v>
      </c>
      <c r="AC67" s="79">
        <v>197</v>
      </c>
      <c r="AD67" s="79">
        <v>0</v>
      </c>
      <c r="AE67" s="79">
        <v>0</v>
      </c>
      <c r="AF67" s="79">
        <v>0</v>
      </c>
      <c r="AG67" s="79">
        <v>95.6884830436112</v>
      </c>
    </row>
    <row r="68" spans="1:33" ht="15" hidden="1" x14ac:dyDescent="0.25">
      <c r="A68" s="77" t="s">
        <v>67</v>
      </c>
      <c r="B68" s="78">
        <v>41890</v>
      </c>
      <c r="C68" s="79">
        <v>1</v>
      </c>
      <c r="D68" s="79">
        <v>1</v>
      </c>
      <c r="E68" s="79">
        <v>3</v>
      </c>
      <c r="F68" s="79">
        <v>3030.3030303030305</v>
      </c>
      <c r="G68" s="79">
        <v>23484.848484848488</v>
      </c>
      <c r="H68" s="79">
        <v>0</v>
      </c>
      <c r="I68" s="79">
        <v>114</v>
      </c>
      <c r="J68" s="79">
        <v>741034.5637575757</v>
      </c>
      <c r="K68" s="79">
        <v>5.2631578947368416</v>
      </c>
      <c r="L68" s="79">
        <v>6</v>
      </c>
      <c r="M68" s="79">
        <v>1905.3594621212119</v>
      </c>
      <c r="N68" s="79">
        <v>28095.82340909091</v>
      </c>
      <c r="O68" s="79">
        <v>3.7914322466451456</v>
      </c>
      <c r="P68" s="79">
        <v>4</v>
      </c>
      <c r="Q68" s="79">
        <v>5256.8149166666662</v>
      </c>
      <c r="R68" s="79">
        <v>21604.986431818179</v>
      </c>
      <c r="S68" s="79">
        <v>2.91551669631514</v>
      </c>
      <c r="T68" s="79">
        <v>0</v>
      </c>
      <c r="U68" s="79">
        <v>0</v>
      </c>
      <c r="V68" s="79">
        <v>0</v>
      </c>
      <c r="W68" s="79">
        <v>2</v>
      </c>
      <c r="X68" s="79">
        <v>8333.3333333333339</v>
      </c>
      <c r="Y68" s="79">
        <v>34</v>
      </c>
      <c r="Z68" s="79">
        <v>55</v>
      </c>
      <c r="AA68" s="79">
        <v>0</v>
      </c>
      <c r="AB68" s="79">
        <v>0</v>
      </c>
      <c r="AC68" s="79">
        <v>6</v>
      </c>
      <c r="AD68" s="79">
        <v>0</v>
      </c>
      <c r="AE68" s="79">
        <v>0</v>
      </c>
      <c r="AF68" s="79">
        <v>0</v>
      </c>
      <c r="AG68" s="79">
        <v>98.480138854505924</v>
      </c>
    </row>
    <row r="69" spans="1:33" ht="15" hidden="1" x14ac:dyDescent="0.25">
      <c r="A69" s="77" t="s">
        <v>68</v>
      </c>
      <c r="B69" s="78">
        <v>43102</v>
      </c>
      <c r="C69" s="79">
        <v>9</v>
      </c>
      <c r="D69" s="79">
        <v>10</v>
      </c>
      <c r="E69" s="79">
        <v>14</v>
      </c>
      <c r="F69" s="79">
        <v>30871.21212121212</v>
      </c>
      <c r="G69" s="79">
        <v>63446.969696969696</v>
      </c>
      <c r="H69" s="79">
        <v>23.076923076923077</v>
      </c>
      <c r="I69" s="79">
        <v>196</v>
      </c>
      <c r="J69" s="79">
        <v>889815.23687410739</v>
      </c>
      <c r="K69" s="79">
        <v>45.918367346938773</v>
      </c>
      <c r="L69" s="79">
        <v>18</v>
      </c>
      <c r="M69" s="79">
        <v>4034.6013560606066</v>
      </c>
      <c r="N69" s="79">
        <v>51026.361977272725</v>
      </c>
      <c r="O69" s="79">
        <v>5.7344895729732288</v>
      </c>
      <c r="P69" s="79">
        <v>12</v>
      </c>
      <c r="Q69" s="79">
        <v>28450.946422563469</v>
      </c>
      <c r="R69" s="79">
        <v>50494.071807352717</v>
      </c>
      <c r="S69" s="79">
        <v>5.674669270076425</v>
      </c>
      <c r="T69" s="79">
        <v>0</v>
      </c>
      <c r="U69" s="79">
        <v>0</v>
      </c>
      <c r="V69" s="79">
        <v>0</v>
      </c>
      <c r="W69" s="79">
        <v>13</v>
      </c>
      <c r="X69" s="79">
        <v>61477.272727272713</v>
      </c>
      <c r="Y69" s="79">
        <v>91</v>
      </c>
      <c r="Z69" s="79">
        <v>183</v>
      </c>
      <c r="AA69" s="79">
        <v>0</v>
      </c>
      <c r="AB69" s="79">
        <v>0</v>
      </c>
      <c r="AC69" s="79">
        <v>90</v>
      </c>
      <c r="AD69" s="79">
        <v>0</v>
      </c>
      <c r="AE69" s="79">
        <v>0</v>
      </c>
      <c r="AF69" s="79">
        <v>0</v>
      </c>
      <c r="AG69" s="79">
        <v>94.782895830061207</v>
      </c>
    </row>
    <row r="70" spans="1:33" ht="15" hidden="1" x14ac:dyDescent="0.25">
      <c r="A70" s="77" t="s">
        <v>69</v>
      </c>
      <c r="B70" s="78">
        <v>38890</v>
      </c>
      <c r="C70" s="79">
        <v>0</v>
      </c>
      <c r="D70" s="79">
        <v>2</v>
      </c>
      <c r="E70" s="79">
        <v>3</v>
      </c>
      <c r="F70" s="79">
        <v>0</v>
      </c>
      <c r="G70" s="79">
        <v>20454.545454545456</v>
      </c>
      <c r="H70" s="79">
        <v>0</v>
      </c>
      <c r="I70" s="79">
        <v>106</v>
      </c>
      <c r="J70" s="79">
        <v>529524.97764869139</v>
      </c>
      <c r="K70" s="79">
        <v>31.132075471698112</v>
      </c>
      <c r="L70" s="79">
        <v>3</v>
      </c>
      <c r="M70" s="79">
        <v>774.03478676026293</v>
      </c>
      <c r="N70" s="79">
        <v>11021.500298272069</v>
      </c>
      <c r="O70" s="79">
        <v>2.081393846086744</v>
      </c>
      <c r="P70" s="79">
        <v>5</v>
      </c>
      <c r="Q70" s="79">
        <v>7473.7447292071583</v>
      </c>
      <c r="R70" s="79">
        <v>14714.729721631396</v>
      </c>
      <c r="S70" s="79">
        <v>2.7788546985962488</v>
      </c>
      <c r="T70" s="79">
        <v>0</v>
      </c>
      <c r="U70" s="79">
        <v>0</v>
      </c>
      <c r="V70" s="79">
        <v>0</v>
      </c>
      <c r="W70" s="79">
        <v>4</v>
      </c>
      <c r="X70" s="79">
        <v>35227.272727272728</v>
      </c>
      <c r="Y70" s="79">
        <v>41</v>
      </c>
      <c r="Z70" s="79">
        <v>116</v>
      </c>
      <c r="AA70" s="79">
        <v>0</v>
      </c>
      <c r="AB70" s="79">
        <v>0</v>
      </c>
      <c r="AC70" s="79">
        <v>33</v>
      </c>
      <c r="AD70" s="79">
        <v>0</v>
      </c>
      <c r="AE70" s="79">
        <v>0</v>
      </c>
      <c r="AF70" s="79">
        <v>0</v>
      </c>
      <c r="AG70" s="79">
        <v>97.154333324101373</v>
      </c>
    </row>
    <row r="71" spans="1:33" ht="15" hidden="1" x14ac:dyDescent="0.25">
      <c r="A71" s="77" t="s">
        <v>70</v>
      </c>
      <c r="B71" s="78">
        <v>43144</v>
      </c>
      <c r="C71" s="79">
        <v>8</v>
      </c>
      <c r="D71" s="79">
        <v>4</v>
      </c>
      <c r="E71" s="79">
        <v>8</v>
      </c>
      <c r="F71" s="79">
        <v>26704.545454545456</v>
      </c>
      <c r="G71" s="79">
        <v>26704.545454545456</v>
      </c>
      <c r="H71" s="79">
        <v>20</v>
      </c>
      <c r="I71" s="79">
        <v>238</v>
      </c>
      <c r="J71" s="79">
        <v>464710.26003501355</v>
      </c>
      <c r="K71" s="79">
        <v>62.605042016806721</v>
      </c>
      <c r="L71" s="79">
        <v>3</v>
      </c>
      <c r="M71" s="79">
        <v>610.27495454545465</v>
      </c>
      <c r="N71" s="79">
        <v>11084.950363636361</v>
      </c>
      <c r="O71" s="79">
        <v>2.3853465948441013</v>
      </c>
      <c r="P71" s="79">
        <v>6</v>
      </c>
      <c r="Q71" s="79">
        <v>10374.096745482993</v>
      </c>
      <c r="R71" s="79">
        <v>26809.139618513724</v>
      </c>
      <c r="S71" s="79">
        <v>5.769001015061253</v>
      </c>
      <c r="T71" s="79">
        <v>0</v>
      </c>
      <c r="U71" s="79">
        <v>0</v>
      </c>
      <c r="V71" s="79">
        <v>0</v>
      </c>
      <c r="W71" s="79">
        <v>7</v>
      </c>
      <c r="X71" s="79">
        <v>23295.454545454544</v>
      </c>
      <c r="Y71" s="79">
        <v>69</v>
      </c>
      <c r="Z71" s="79">
        <v>285</v>
      </c>
      <c r="AA71" s="79">
        <v>0</v>
      </c>
      <c r="AB71" s="79">
        <v>0</v>
      </c>
      <c r="AC71" s="79">
        <v>149</v>
      </c>
      <c r="AD71" s="79">
        <v>0</v>
      </c>
      <c r="AE71" s="79">
        <v>0</v>
      </c>
      <c r="AF71" s="79">
        <v>0</v>
      </c>
      <c r="AG71" s="79">
        <v>96.987756130022802</v>
      </c>
    </row>
    <row r="72" spans="1:33" ht="15" hidden="1" x14ac:dyDescent="0.25">
      <c r="A72" s="77" t="s">
        <v>72</v>
      </c>
      <c r="B72" s="78">
        <v>39405</v>
      </c>
      <c r="C72" s="79">
        <v>2</v>
      </c>
      <c r="D72" s="79">
        <v>8</v>
      </c>
      <c r="E72" s="79">
        <v>12</v>
      </c>
      <c r="F72" s="79">
        <v>6590.909090909091</v>
      </c>
      <c r="G72" s="79">
        <v>56969.696969696983</v>
      </c>
      <c r="H72" s="79">
        <v>27.27272727272727</v>
      </c>
      <c r="I72" s="79">
        <v>199</v>
      </c>
      <c r="J72" s="79">
        <v>756438.40926782566</v>
      </c>
      <c r="K72" s="79">
        <v>7.0351758793969852</v>
      </c>
      <c r="L72" s="79">
        <v>9</v>
      </c>
      <c r="M72" s="79">
        <v>2081.9888863636365</v>
      </c>
      <c r="N72" s="79">
        <v>22295.461765151515</v>
      </c>
      <c r="O72" s="79">
        <v>2.947425922849662</v>
      </c>
      <c r="P72" s="79">
        <v>5</v>
      </c>
      <c r="Q72" s="79">
        <v>12582.880363636365</v>
      </c>
      <c r="R72" s="79">
        <v>19341.108651515151</v>
      </c>
      <c r="S72" s="79">
        <v>2.5568649627715043</v>
      </c>
      <c r="T72" s="79">
        <v>0</v>
      </c>
      <c r="U72" s="79">
        <v>0</v>
      </c>
      <c r="V72" s="79">
        <v>0</v>
      </c>
      <c r="W72" s="79">
        <v>11</v>
      </c>
      <c r="X72" s="79">
        <v>53787.878787878792</v>
      </c>
      <c r="Y72" s="79">
        <v>96</v>
      </c>
      <c r="Z72" s="79">
        <v>200</v>
      </c>
      <c r="AA72" s="79">
        <v>0</v>
      </c>
      <c r="AB72" s="79">
        <v>0</v>
      </c>
      <c r="AC72" s="79">
        <v>14</v>
      </c>
      <c r="AD72" s="79">
        <v>0</v>
      </c>
      <c r="AE72" s="79">
        <v>0</v>
      </c>
      <c r="AF72" s="79">
        <v>0</v>
      </c>
      <c r="AG72" s="79">
        <v>96.768395486821333</v>
      </c>
    </row>
    <row r="73" spans="1:33" ht="15" hidden="1" x14ac:dyDescent="0.25">
      <c r="A73" s="77" t="s">
        <v>74</v>
      </c>
      <c r="B73" s="78">
        <v>43305</v>
      </c>
      <c r="C73" s="79">
        <v>12</v>
      </c>
      <c r="D73" s="79">
        <v>8</v>
      </c>
      <c r="E73" s="79">
        <v>15</v>
      </c>
      <c r="F73" s="79">
        <v>39393.939393939392</v>
      </c>
      <c r="G73" s="79">
        <v>57575.757575757591</v>
      </c>
      <c r="H73" s="79">
        <v>38.461538461538467</v>
      </c>
      <c r="I73" s="79">
        <v>245</v>
      </c>
      <c r="J73" s="79">
        <v>466281.83719301998</v>
      </c>
      <c r="K73" s="79">
        <v>71.836734693877546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1</v>
      </c>
      <c r="U73" s="79">
        <v>14635.922901618927</v>
      </c>
      <c r="V73" s="79">
        <v>0</v>
      </c>
      <c r="W73" s="79">
        <v>16</v>
      </c>
      <c r="X73" s="79">
        <v>62878.78787878788</v>
      </c>
      <c r="Y73" s="79">
        <v>104</v>
      </c>
      <c r="Z73" s="79">
        <v>284</v>
      </c>
      <c r="AA73" s="79">
        <v>0</v>
      </c>
      <c r="AB73" s="79">
        <v>0</v>
      </c>
      <c r="AC73" s="79">
        <v>176</v>
      </c>
      <c r="AD73" s="79">
        <v>0</v>
      </c>
      <c r="AE73" s="79">
        <v>0</v>
      </c>
      <c r="AF73" s="79">
        <v>0</v>
      </c>
      <c r="AG73" s="79">
        <v>100.00000000000004</v>
      </c>
    </row>
    <row r="74" spans="1:33" ht="15" hidden="1" x14ac:dyDescent="0.25">
      <c r="A74" s="77" t="s">
        <v>75</v>
      </c>
      <c r="B74" s="78">
        <v>43898</v>
      </c>
      <c r="C74" s="79">
        <v>6</v>
      </c>
      <c r="D74" s="79">
        <v>10</v>
      </c>
      <c r="E74" s="79">
        <v>16</v>
      </c>
      <c r="F74" s="79">
        <v>18939.39393939394</v>
      </c>
      <c r="G74" s="79">
        <v>70454.545454545456</v>
      </c>
      <c r="H74" s="79">
        <v>16.666666666666664</v>
      </c>
      <c r="I74" s="79">
        <v>254</v>
      </c>
      <c r="J74" s="79">
        <v>671091.73018172442</v>
      </c>
      <c r="K74" s="79">
        <v>33.464566929133859</v>
      </c>
      <c r="L74" s="79">
        <v>0</v>
      </c>
      <c r="M74" s="79">
        <v>0</v>
      </c>
      <c r="N74" s="79">
        <v>0</v>
      </c>
      <c r="O74" s="79">
        <v>0</v>
      </c>
      <c r="P74" s="79">
        <v>3</v>
      </c>
      <c r="Q74" s="79">
        <v>3797.412102113658</v>
      </c>
      <c r="R74" s="79">
        <v>3797.412102113658</v>
      </c>
      <c r="S74" s="79">
        <v>0.5658558929172558</v>
      </c>
      <c r="T74" s="79">
        <v>0</v>
      </c>
      <c r="U74" s="79">
        <v>0</v>
      </c>
      <c r="V74" s="79">
        <v>0</v>
      </c>
      <c r="W74" s="79">
        <v>28</v>
      </c>
      <c r="X74" s="79">
        <v>109090.90909090909</v>
      </c>
      <c r="Y74" s="79">
        <v>153</v>
      </c>
      <c r="Z74" s="79">
        <v>393</v>
      </c>
      <c r="AA74" s="79">
        <v>0</v>
      </c>
      <c r="AB74" s="79">
        <v>0</v>
      </c>
      <c r="AC74" s="79">
        <v>85</v>
      </c>
      <c r="AD74" s="79">
        <v>0</v>
      </c>
      <c r="AE74" s="79">
        <v>0</v>
      </c>
      <c r="AF74" s="79">
        <v>0</v>
      </c>
      <c r="AG74" s="79">
        <v>99.230423896252617</v>
      </c>
    </row>
    <row r="75" spans="1:33" ht="15" hidden="1" x14ac:dyDescent="0.25">
      <c r="A75" s="77" t="s">
        <v>77</v>
      </c>
      <c r="B75" s="78">
        <v>41827</v>
      </c>
      <c r="C75" s="79">
        <v>7</v>
      </c>
      <c r="D75" s="79">
        <v>6</v>
      </c>
      <c r="E75" s="79">
        <v>12</v>
      </c>
      <c r="F75" s="79">
        <v>23863.636363636368</v>
      </c>
      <c r="G75" s="79">
        <v>57575.757575757591</v>
      </c>
      <c r="H75" s="79">
        <v>50</v>
      </c>
      <c r="I75" s="79">
        <v>205</v>
      </c>
      <c r="J75" s="79">
        <v>744328.23066652054</v>
      </c>
      <c r="K75" s="79">
        <v>20.975609756097562</v>
      </c>
      <c r="L75" s="79">
        <v>16</v>
      </c>
      <c r="M75" s="79">
        <v>3865.9645873943145</v>
      </c>
      <c r="N75" s="79">
        <v>39929.210152598404</v>
      </c>
      <c r="O75" s="79">
        <v>5.3644626802402966</v>
      </c>
      <c r="P75" s="79">
        <v>7</v>
      </c>
      <c r="Q75" s="79">
        <v>5362.8167083642065</v>
      </c>
      <c r="R75" s="79">
        <v>6352.5654469082538</v>
      </c>
      <c r="S75" s="79">
        <v>0.85346291933865626</v>
      </c>
      <c r="T75" s="79">
        <v>0</v>
      </c>
      <c r="U75" s="79">
        <v>0</v>
      </c>
      <c r="V75" s="79">
        <v>0</v>
      </c>
      <c r="W75" s="79">
        <v>15</v>
      </c>
      <c r="X75" s="79">
        <v>75757.575757575745</v>
      </c>
      <c r="Y75" s="79">
        <v>77</v>
      </c>
      <c r="Z75" s="79">
        <v>167</v>
      </c>
      <c r="AA75" s="79">
        <v>0</v>
      </c>
      <c r="AB75" s="79">
        <v>0</v>
      </c>
      <c r="AC75" s="79">
        <v>43</v>
      </c>
      <c r="AD75" s="79">
        <v>0</v>
      </c>
      <c r="AE75" s="79">
        <v>0</v>
      </c>
      <c r="AF75" s="79">
        <v>0</v>
      </c>
      <c r="AG75" s="79">
        <v>98.401183392656591</v>
      </c>
    </row>
    <row r="76" spans="1:33" ht="15" hidden="1" x14ac:dyDescent="0.25">
      <c r="A76" s="77" t="s">
        <v>78</v>
      </c>
      <c r="B76" s="78">
        <v>41858</v>
      </c>
      <c r="C76" s="79">
        <v>7</v>
      </c>
      <c r="D76" s="79">
        <v>6</v>
      </c>
      <c r="E76" s="79">
        <v>12</v>
      </c>
      <c r="F76" s="79">
        <v>23484.848484848488</v>
      </c>
      <c r="G76" s="79">
        <v>59848.484848484855</v>
      </c>
      <c r="H76" s="79">
        <v>66.666666666666657</v>
      </c>
      <c r="I76" s="79">
        <v>110</v>
      </c>
      <c r="J76" s="79">
        <v>288072.26331818174</v>
      </c>
      <c r="K76" s="79">
        <v>49.090909090909093</v>
      </c>
      <c r="L76" s="79">
        <v>2</v>
      </c>
      <c r="M76" s="79">
        <v>358.93637121212066</v>
      </c>
      <c r="N76" s="79">
        <v>1561.5565227272718</v>
      </c>
      <c r="O76" s="79">
        <v>0.54207111255362361</v>
      </c>
      <c r="P76" s="79">
        <v>1</v>
      </c>
      <c r="Q76" s="79">
        <v>1144.4187348484872</v>
      </c>
      <c r="R76" s="79">
        <v>1144.4187348484872</v>
      </c>
      <c r="S76" s="79">
        <v>0.39726793606104771</v>
      </c>
      <c r="T76" s="79">
        <v>0</v>
      </c>
      <c r="U76" s="79">
        <v>0</v>
      </c>
      <c r="V76" s="79">
        <v>0</v>
      </c>
      <c r="W76" s="79">
        <v>12</v>
      </c>
      <c r="X76" s="79">
        <v>59469.696969696975</v>
      </c>
      <c r="Y76" s="79">
        <v>53</v>
      </c>
      <c r="Z76" s="79">
        <v>154</v>
      </c>
      <c r="AA76" s="79">
        <v>0</v>
      </c>
      <c r="AB76" s="79">
        <v>0</v>
      </c>
      <c r="AC76" s="79">
        <v>54</v>
      </c>
      <c r="AD76" s="79">
        <v>0</v>
      </c>
      <c r="AE76" s="79">
        <v>0</v>
      </c>
      <c r="AF76" s="79">
        <v>0</v>
      </c>
      <c r="AG76" s="79">
        <v>98.919991602306325</v>
      </c>
    </row>
    <row r="77" spans="1:33" ht="15" hidden="1" x14ac:dyDescent="0.25">
      <c r="A77" s="77" t="s">
        <v>250</v>
      </c>
      <c r="B77" s="78">
        <v>42501</v>
      </c>
      <c r="C77" s="79">
        <v>4</v>
      </c>
      <c r="D77" s="79">
        <v>2</v>
      </c>
      <c r="E77" s="79">
        <v>9</v>
      </c>
      <c r="F77" s="79">
        <v>20075.757575757572</v>
      </c>
      <c r="G77" s="79">
        <v>39166.666666666672</v>
      </c>
      <c r="H77" s="79">
        <v>0</v>
      </c>
      <c r="I77" s="79">
        <v>222</v>
      </c>
      <c r="J77" s="79">
        <v>873822.38916474197</v>
      </c>
      <c r="K77" s="79">
        <v>38.288288288288285</v>
      </c>
      <c r="L77" s="79">
        <v>2</v>
      </c>
      <c r="M77" s="79">
        <v>475.0396893939394</v>
      </c>
      <c r="N77" s="79">
        <v>4967.9583636363623</v>
      </c>
      <c r="O77" s="79">
        <v>0.56853182354197518</v>
      </c>
      <c r="P77" s="79">
        <v>5</v>
      </c>
      <c r="Q77" s="79">
        <v>10570.273136363634</v>
      </c>
      <c r="R77" s="79">
        <v>16365.193560606062</v>
      </c>
      <c r="S77" s="79">
        <v>1.8728283646118302</v>
      </c>
      <c r="T77" s="79">
        <v>0</v>
      </c>
      <c r="U77" s="79">
        <v>0</v>
      </c>
      <c r="V77" s="79">
        <v>0</v>
      </c>
      <c r="W77" s="79">
        <v>9</v>
      </c>
      <c r="X77" s="79">
        <v>39166.666666666672</v>
      </c>
      <c r="Y77" s="79">
        <v>127</v>
      </c>
      <c r="Z77" s="79">
        <v>247</v>
      </c>
      <c r="AA77" s="79">
        <v>0</v>
      </c>
      <c r="AB77" s="79">
        <v>0</v>
      </c>
      <c r="AC77" s="79">
        <v>85</v>
      </c>
      <c r="AD77" s="79">
        <v>0</v>
      </c>
      <c r="AE77" s="79">
        <v>0</v>
      </c>
      <c r="AF77" s="79">
        <v>0</v>
      </c>
      <c r="AG77" s="79">
        <v>97.303062045648787</v>
      </c>
    </row>
    <row r="78" spans="1:33" ht="15" hidden="1" x14ac:dyDescent="0.25">
      <c r="A78" s="77" t="s">
        <v>79</v>
      </c>
      <c r="B78" s="78">
        <v>41411</v>
      </c>
      <c r="C78" s="79">
        <v>1</v>
      </c>
      <c r="D78" s="79">
        <v>8</v>
      </c>
      <c r="E78" s="79">
        <v>12</v>
      </c>
      <c r="F78" s="79">
        <v>4545.454545454545</v>
      </c>
      <c r="G78" s="79">
        <v>52272.727272727272</v>
      </c>
      <c r="H78" s="79">
        <v>20</v>
      </c>
      <c r="I78" s="79">
        <v>217</v>
      </c>
      <c r="J78" s="79">
        <v>584418.54087293323</v>
      </c>
      <c r="K78" s="79">
        <v>9.216589861751153</v>
      </c>
      <c r="L78" s="79">
        <v>0</v>
      </c>
      <c r="M78" s="79">
        <v>0</v>
      </c>
      <c r="N78" s="79">
        <v>0</v>
      </c>
      <c r="O78" s="79">
        <v>0</v>
      </c>
      <c r="P78" s="79">
        <v>0</v>
      </c>
      <c r="Q78" s="79">
        <v>0</v>
      </c>
      <c r="R78" s="79">
        <v>0</v>
      </c>
      <c r="S78" s="79">
        <v>0</v>
      </c>
      <c r="T78" s="79">
        <v>0</v>
      </c>
      <c r="U78" s="79">
        <v>0</v>
      </c>
      <c r="V78" s="79">
        <v>0</v>
      </c>
      <c r="W78" s="79">
        <v>12</v>
      </c>
      <c r="X78" s="79">
        <v>52272.727272727272</v>
      </c>
      <c r="Y78" s="79">
        <v>124</v>
      </c>
      <c r="Z78" s="79">
        <v>315</v>
      </c>
      <c r="AA78" s="79">
        <v>0</v>
      </c>
      <c r="AB78" s="79">
        <v>0</v>
      </c>
      <c r="AC78" s="79">
        <v>20</v>
      </c>
      <c r="AD78" s="79">
        <v>0</v>
      </c>
      <c r="AE78" s="79">
        <v>0</v>
      </c>
      <c r="AF78" s="79">
        <v>0</v>
      </c>
      <c r="AG78" s="79">
        <v>100.00000000000004</v>
      </c>
    </row>
    <row r="79" spans="1:33" ht="15" hidden="1" x14ac:dyDescent="0.25">
      <c r="A79" s="77" t="s">
        <v>277</v>
      </c>
      <c r="B79" s="78">
        <v>42808</v>
      </c>
      <c r="C79" s="79">
        <v>3</v>
      </c>
      <c r="D79" s="79">
        <v>5</v>
      </c>
      <c r="E79" s="79">
        <v>9</v>
      </c>
      <c r="F79" s="79">
        <v>11363.636363636364</v>
      </c>
      <c r="G79" s="79">
        <v>73863.636363636353</v>
      </c>
      <c r="H79" s="79">
        <v>50</v>
      </c>
      <c r="I79" s="79">
        <v>180</v>
      </c>
      <c r="J79" s="79">
        <v>941756.28318155557</v>
      </c>
      <c r="K79" s="79">
        <v>35</v>
      </c>
      <c r="L79" s="79">
        <v>3</v>
      </c>
      <c r="M79" s="79">
        <v>1633.5819822439398</v>
      </c>
      <c r="N79" s="79">
        <v>25031.233453698485</v>
      </c>
      <c r="O79" s="79">
        <v>2.6579311336405351</v>
      </c>
      <c r="P79" s="79">
        <v>6</v>
      </c>
      <c r="Q79" s="79">
        <v>13325.393765151515</v>
      </c>
      <c r="R79" s="79">
        <v>40375.088075757572</v>
      </c>
      <c r="S79" s="79">
        <v>4.2872119673422873</v>
      </c>
      <c r="T79" s="79">
        <v>0</v>
      </c>
      <c r="U79" s="79">
        <v>0</v>
      </c>
      <c r="V79" s="79">
        <v>0</v>
      </c>
      <c r="W79" s="79">
        <v>10</v>
      </c>
      <c r="X79" s="79">
        <v>76893.939393939392</v>
      </c>
      <c r="Y79" s="79">
        <v>39</v>
      </c>
      <c r="Z79" s="79">
        <v>98</v>
      </c>
      <c r="AA79" s="79">
        <v>0</v>
      </c>
      <c r="AB79" s="79">
        <v>0</v>
      </c>
      <c r="AC79" s="79">
        <v>63</v>
      </c>
      <c r="AD79" s="79">
        <v>0</v>
      </c>
      <c r="AE79" s="79">
        <v>0</v>
      </c>
      <c r="AF79" s="79">
        <v>0</v>
      </c>
      <c r="AG79" s="79">
        <v>97.251918401508519</v>
      </c>
    </row>
    <row r="80" spans="1:33" ht="15" hidden="1" x14ac:dyDescent="0.25">
      <c r="A80" s="77" t="s">
        <v>353</v>
      </c>
      <c r="B80" s="78">
        <v>44724</v>
      </c>
      <c r="C80" s="79">
        <v>0</v>
      </c>
      <c r="D80" s="79">
        <v>0</v>
      </c>
      <c r="E80" s="79">
        <v>0</v>
      </c>
      <c r="F80" s="79">
        <v>0</v>
      </c>
      <c r="G80" s="79">
        <v>0</v>
      </c>
      <c r="H80" s="79">
        <v>0</v>
      </c>
      <c r="I80" s="79">
        <v>29</v>
      </c>
      <c r="J80" s="79">
        <v>52889.980491194598</v>
      </c>
      <c r="K80" s="79">
        <v>24.137931034482758</v>
      </c>
      <c r="L80" s="79">
        <v>2</v>
      </c>
      <c r="M80" s="79">
        <v>730.98723462750695</v>
      </c>
      <c r="N80" s="79">
        <v>4131.1331805885347</v>
      </c>
      <c r="O80" s="79">
        <v>7.8108048863362853</v>
      </c>
      <c r="P80" s="79">
        <v>8</v>
      </c>
      <c r="Q80" s="79">
        <v>17145.194083333332</v>
      </c>
      <c r="R80" s="79">
        <v>25038.510333333332</v>
      </c>
      <c r="S80" s="79">
        <v>47.340744127334055</v>
      </c>
      <c r="T80" s="79">
        <v>0</v>
      </c>
      <c r="U80" s="79">
        <v>0</v>
      </c>
      <c r="V80" s="79">
        <v>0</v>
      </c>
      <c r="W80" s="79">
        <v>0</v>
      </c>
      <c r="X80" s="79">
        <v>0</v>
      </c>
      <c r="Y80" s="79">
        <v>11</v>
      </c>
      <c r="Z80" s="79">
        <v>113</v>
      </c>
      <c r="AA80" s="79">
        <v>0</v>
      </c>
      <c r="AB80" s="79">
        <v>0</v>
      </c>
      <c r="AC80" s="79">
        <v>7</v>
      </c>
      <c r="AD80" s="79">
        <v>0</v>
      </c>
      <c r="AE80" s="79">
        <v>0</v>
      </c>
      <c r="AF80" s="79">
        <v>0</v>
      </c>
      <c r="AG80" s="79">
        <v>85.547946471643485</v>
      </c>
    </row>
    <row r="81" spans="1:33" ht="15" hidden="1" x14ac:dyDescent="0.25">
      <c r="A81" s="77" t="s">
        <v>80</v>
      </c>
      <c r="B81" s="78">
        <v>42773</v>
      </c>
      <c r="C81" s="79">
        <v>6</v>
      </c>
      <c r="D81" s="79">
        <v>5</v>
      </c>
      <c r="E81" s="79">
        <v>14</v>
      </c>
      <c r="F81" s="79">
        <v>18939.39393939394</v>
      </c>
      <c r="G81" s="79">
        <v>63636.36363636364</v>
      </c>
      <c r="H81" s="79">
        <v>10</v>
      </c>
      <c r="I81" s="79">
        <v>273</v>
      </c>
      <c r="J81" s="79">
        <v>715379.01150716189</v>
      </c>
      <c r="K81" s="79">
        <v>46.520146520146518</v>
      </c>
      <c r="L81" s="79">
        <v>24</v>
      </c>
      <c r="M81" s="79">
        <v>4627.9223560606115</v>
      </c>
      <c r="N81" s="79">
        <v>52427.299840909094</v>
      </c>
      <c r="O81" s="79">
        <v>7.3286046973135486</v>
      </c>
      <c r="P81" s="79">
        <v>5</v>
      </c>
      <c r="Q81" s="79">
        <v>4210.7829318181821</v>
      </c>
      <c r="R81" s="79">
        <v>4387.5892424242429</v>
      </c>
      <c r="S81" s="79">
        <v>0.61332373075643654</v>
      </c>
      <c r="T81" s="79">
        <v>0</v>
      </c>
      <c r="U81" s="79">
        <v>0</v>
      </c>
      <c r="V81" s="79">
        <v>0</v>
      </c>
      <c r="W81" s="79">
        <v>14</v>
      </c>
      <c r="X81" s="79">
        <v>63636.363636363632</v>
      </c>
      <c r="Y81" s="79">
        <v>100</v>
      </c>
      <c r="Z81" s="79">
        <v>329</v>
      </c>
      <c r="AA81" s="79">
        <v>0</v>
      </c>
      <c r="AB81" s="79">
        <v>0</v>
      </c>
      <c r="AC81" s="79">
        <v>127</v>
      </c>
      <c r="AD81" s="79">
        <v>0</v>
      </c>
      <c r="AE81" s="79">
        <v>0</v>
      </c>
      <c r="AF81" s="79">
        <v>0</v>
      </c>
      <c r="AG81" s="79">
        <v>98.10222352425663</v>
      </c>
    </row>
    <row r="82" spans="1:33" ht="15" hidden="1" x14ac:dyDescent="0.25">
      <c r="A82" s="77" t="s">
        <v>82</v>
      </c>
      <c r="B82" s="78">
        <v>41827</v>
      </c>
      <c r="C82" s="79">
        <v>4</v>
      </c>
      <c r="D82" s="79">
        <v>6</v>
      </c>
      <c r="E82" s="79">
        <v>12</v>
      </c>
      <c r="F82" s="79">
        <v>17424.242424242424</v>
      </c>
      <c r="G82" s="79">
        <v>85227.272727272735</v>
      </c>
      <c r="H82" s="79">
        <v>30</v>
      </c>
      <c r="I82" s="79">
        <v>226</v>
      </c>
      <c r="J82" s="79">
        <v>742572.29971700604</v>
      </c>
      <c r="K82" s="79">
        <v>25.663716814159294</v>
      </c>
      <c r="L82" s="79">
        <v>41</v>
      </c>
      <c r="M82" s="79">
        <v>8965.1703162091617</v>
      </c>
      <c r="N82" s="79">
        <v>143132.81104791188</v>
      </c>
      <c r="O82" s="79">
        <v>19.275269371407973</v>
      </c>
      <c r="P82" s="79">
        <v>4</v>
      </c>
      <c r="Q82" s="79">
        <v>2108.6844015151519</v>
      </c>
      <c r="R82" s="79">
        <v>8527.3796969696959</v>
      </c>
      <c r="S82" s="79">
        <v>1.1483568266981512</v>
      </c>
      <c r="T82" s="79">
        <v>0</v>
      </c>
      <c r="U82" s="79">
        <v>0</v>
      </c>
      <c r="V82" s="79">
        <v>0</v>
      </c>
      <c r="W82" s="79">
        <v>9</v>
      </c>
      <c r="X82" s="79">
        <v>63636.36363636364</v>
      </c>
      <c r="Y82" s="79">
        <v>86</v>
      </c>
      <c r="Z82" s="79">
        <v>246</v>
      </c>
      <c r="AA82" s="79">
        <v>0</v>
      </c>
      <c r="AB82" s="79">
        <v>0</v>
      </c>
      <c r="AC82" s="79">
        <v>58</v>
      </c>
      <c r="AD82" s="79">
        <v>0</v>
      </c>
      <c r="AE82" s="79">
        <v>0</v>
      </c>
      <c r="AF82" s="79">
        <v>0</v>
      </c>
      <c r="AG82" s="79">
        <v>97.695852259677011</v>
      </c>
    </row>
    <row r="83" spans="1:33" ht="15" hidden="1" x14ac:dyDescent="0.25">
      <c r="A83" s="77" t="s">
        <v>85</v>
      </c>
      <c r="B83" s="78">
        <v>44151</v>
      </c>
      <c r="C83" s="79">
        <v>1</v>
      </c>
      <c r="D83" s="79">
        <v>11</v>
      </c>
      <c r="E83" s="79">
        <v>12</v>
      </c>
      <c r="F83" s="79">
        <v>3030.3030303030305</v>
      </c>
      <c r="G83" s="79">
        <v>75151.515151515152</v>
      </c>
      <c r="H83" s="79">
        <v>8.3333333333333321</v>
      </c>
      <c r="I83" s="79">
        <v>172</v>
      </c>
      <c r="J83" s="79">
        <v>635985.12012878782</v>
      </c>
      <c r="K83" s="79">
        <v>13.372093023255813</v>
      </c>
      <c r="L83" s="79">
        <v>0</v>
      </c>
      <c r="M83" s="79">
        <v>0</v>
      </c>
      <c r="N83" s="79">
        <v>0</v>
      </c>
      <c r="O83" s="79">
        <v>0</v>
      </c>
      <c r="P83" s="79">
        <v>2</v>
      </c>
      <c r="Q83" s="79">
        <v>1766.1408484848494</v>
      </c>
      <c r="R83" s="79">
        <v>1766.140848484848</v>
      </c>
      <c r="S83" s="79">
        <v>0.27770159907628061</v>
      </c>
      <c r="T83" s="79">
        <v>0</v>
      </c>
      <c r="U83" s="79">
        <v>0</v>
      </c>
      <c r="V83" s="79">
        <v>0</v>
      </c>
      <c r="W83" s="79">
        <v>11</v>
      </c>
      <c r="X83" s="79">
        <v>71212.121212121216</v>
      </c>
      <c r="Y83" s="79">
        <v>123</v>
      </c>
      <c r="Z83" s="79">
        <v>320</v>
      </c>
      <c r="AA83" s="79">
        <v>0</v>
      </c>
      <c r="AB83" s="79">
        <v>0</v>
      </c>
      <c r="AC83" s="79">
        <v>23</v>
      </c>
      <c r="AD83" s="79">
        <v>0</v>
      </c>
      <c r="AE83" s="79">
        <v>0</v>
      </c>
      <c r="AF83" s="79">
        <v>0</v>
      </c>
      <c r="AG83" s="79">
        <v>99.504746610036563</v>
      </c>
    </row>
    <row r="84" spans="1:33" ht="15" hidden="1" x14ac:dyDescent="0.25">
      <c r="A84" s="77" t="s">
        <v>87</v>
      </c>
      <c r="B84" s="78">
        <v>41736</v>
      </c>
      <c r="C84" s="79">
        <v>5</v>
      </c>
      <c r="D84" s="79">
        <v>7</v>
      </c>
      <c r="E84" s="79">
        <v>13</v>
      </c>
      <c r="F84" s="79">
        <v>18939.39393939394</v>
      </c>
      <c r="G84" s="79">
        <v>51515.151515151512</v>
      </c>
      <c r="H84" s="79">
        <v>16.666666666666664</v>
      </c>
      <c r="I84" s="79">
        <v>170</v>
      </c>
      <c r="J84" s="79">
        <v>589253.73991887551</v>
      </c>
      <c r="K84" s="79">
        <v>17.058823529411764</v>
      </c>
      <c r="L84" s="79">
        <v>3</v>
      </c>
      <c r="M84" s="79">
        <v>684.07568181818215</v>
      </c>
      <c r="N84" s="79">
        <v>7103.273219696971</v>
      </c>
      <c r="O84" s="79">
        <v>1.2054693485144281</v>
      </c>
      <c r="P84" s="79">
        <v>5</v>
      </c>
      <c r="Q84" s="79">
        <v>15994.91846419956</v>
      </c>
      <c r="R84" s="79">
        <v>15994.91846419956</v>
      </c>
      <c r="S84" s="79">
        <v>2.714436477976641</v>
      </c>
      <c r="T84" s="79">
        <v>0</v>
      </c>
      <c r="U84" s="79">
        <v>0</v>
      </c>
      <c r="V84" s="79">
        <v>0</v>
      </c>
      <c r="W84" s="79">
        <v>13</v>
      </c>
      <c r="X84" s="79">
        <v>51515.151515151512</v>
      </c>
      <c r="Y84" s="79">
        <v>81</v>
      </c>
      <c r="Z84" s="79">
        <v>186</v>
      </c>
      <c r="AA84" s="79">
        <v>0</v>
      </c>
      <c r="AB84" s="79">
        <v>0</v>
      </c>
      <c r="AC84" s="79">
        <v>29</v>
      </c>
      <c r="AD84" s="79">
        <v>0</v>
      </c>
      <c r="AE84" s="79">
        <v>0</v>
      </c>
      <c r="AF84" s="79">
        <v>0</v>
      </c>
      <c r="AG84" s="79">
        <v>95.01077945922674</v>
      </c>
    </row>
    <row r="85" spans="1:33" ht="15" hidden="1" x14ac:dyDescent="0.25">
      <c r="A85" s="77" t="s">
        <v>88</v>
      </c>
      <c r="B85" s="78">
        <v>40603</v>
      </c>
      <c r="C85" s="79">
        <v>5</v>
      </c>
      <c r="D85" s="79">
        <v>6</v>
      </c>
      <c r="E85" s="79">
        <v>14</v>
      </c>
      <c r="F85" s="79">
        <v>16287.87878787879</v>
      </c>
      <c r="G85" s="79">
        <v>56818.181818181816</v>
      </c>
      <c r="H85" s="79">
        <v>12.5</v>
      </c>
      <c r="I85" s="79">
        <v>175</v>
      </c>
      <c r="J85" s="79">
        <v>516911.56169564067</v>
      </c>
      <c r="K85" s="79">
        <v>36.571428571428569</v>
      </c>
      <c r="L85" s="79">
        <v>9</v>
      </c>
      <c r="M85" s="79">
        <v>1877.539568181819</v>
      </c>
      <c r="N85" s="79">
        <v>42460.908325757577</v>
      </c>
      <c r="O85" s="79">
        <v>8.2143467997643107</v>
      </c>
      <c r="P85" s="79">
        <v>6</v>
      </c>
      <c r="Q85" s="79">
        <v>7416.45218939394</v>
      </c>
      <c r="R85" s="79">
        <v>11325.780143939393</v>
      </c>
      <c r="S85" s="79">
        <v>2.1910479438275852</v>
      </c>
      <c r="T85" s="79">
        <v>0</v>
      </c>
      <c r="U85" s="79">
        <v>0</v>
      </c>
      <c r="V85" s="79">
        <v>0</v>
      </c>
      <c r="W85" s="79">
        <v>16</v>
      </c>
      <c r="X85" s="79">
        <v>62121.212121212127</v>
      </c>
      <c r="Y85" s="79">
        <v>81</v>
      </c>
      <c r="Z85" s="79">
        <v>215</v>
      </c>
      <c r="AA85" s="79">
        <v>0</v>
      </c>
      <c r="AB85" s="79">
        <v>0</v>
      </c>
      <c r="AC85" s="79">
        <v>64</v>
      </c>
      <c r="AD85" s="79">
        <v>0</v>
      </c>
      <c r="AE85" s="79">
        <v>0</v>
      </c>
      <c r="AF85" s="79">
        <v>0</v>
      </c>
      <c r="AG85" s="79">
        <v>96.407046352527288</v>
      </c>
    </row>
    <row r="86" spans="1:33" ht="15" hidden="1" x14ac:dyDescent="0.25">
      <c r="A86" s="77" t="s">
        <v>89</v>
      </c>
      <c r="B86" s="78">
        <v>43346</v>
      </c>
      <c r="C86" s="79">
        <v>0</v>
      </c>
      <c r="D86" s="79">
        <v>2</v>
      </c>
      <c r="E86" s="79">
        <v>2</v>
      </c>
      <c r="F86" s="79">
        <v>0</v>
      </c>
      <c r="G86" s="79">
        <v>27651.515151515152</v>
      </c>
      <c r="H86" s="79">
        <v>16.666666666666664</v>
      </c>
      <c r="I86" s="79">
        <v>159</v>
      </c>
      <c r="J86" s="79">
        <v>625178.30662011995</v>
      </c>
      <c r="K86" s="79">
        <v>12.578616352201259</v>
      </c>
      <c r="L86" s="79">
        <v>5</v>
      </c>
      <c r="M86" s="79">
        <v>1478.7712808315514</v>
      </c>
      <c r="N86" s="79">
        <v>14407.577176525527</v>
      </c>
      <c r="O86" s="79">
        <v>2.3045548804175113</v>
      </c>
      <c r="P86" s="79">
        <v>5</v>
      </c>
      <c r="Q86" s="79">
        <v>5854.5704930193642</v>
      </c>
      <c r="R86" s="79">
        <v>5854.5704930193642</v>
      </c>
      <c r="S86" s="79">
        <v>0.9364641144813115</v>
      </c>
      <c r="T86" s="79">
        <v>0</v>
      </c>
      <c r="U86" s="79">
        <v>0</v>
      </c>
      <c r="V86" s="79">
        <v>0</v>
      </c>
      <c r="W86" s="79">
        <v>2</v>
      </c>
      <c r="X86" s="79">
        <v>27651.515151515152</v>
      </c>
      <c r="Y86" s="79">
        <v>99</v>
      </c>
      <c r="Z86" s="79">
        <v>206</v>
      </c>
      <c r="AA86" s="79">
        <v>0</v>
      </c>
      <c r="AB86" s="79">
        <v>0</v>
      </c>
      <c r="AC86" s="79">
        <v>20</v>
      </c>
      <c r="AD86" s="79">
        <v>0</v>
      </c>
      <c r="AE86" s="79">
        <v>0</v>
      </c>
      <c r="AF86" s="79">
        <v>0</v>
      </c>
      <c r="AG86" s="79">
        <v>98.088092410986562</v>
      </c>
    </row>
    <row r="87" spans="1:33" ht="15" hidden="1" x14ac:dyDescent="0.25">
      <c r="A87" s="77" t="s">
        <v>481</v>
      </c>
      <c r="B87" s="78">
        <v>41701</v>
      </c>
      <c r="C87" s="79">
        <v>5</v>
      </c>
      <c r="D87" s="79">
        <v>9</v>
      </c>
      <c r="E87" s="79">
        <v>15</v>
      </c>
      <c r="F87" s="79">
        <v>15530.30303030303</v>
      </c>
      <c r="G87" s="79">
        <v>59090.909090909088</v>
      </c>
      <c r="H87" s="79">
        <v>20</v>
      </c>
      <c r="I87" s="79">
        <v>315</v>
      </c>
      <c r="J87" s="79">
        <v>962297.6908017901</v>
      </c>
      <c r="K87" s="79">
        <v>23.809523809523807</v>
      </c>
      <c r="L87" s="79">
        <v>1</v>
      </c>
      <c r="M87" s="79">
        <v>130.79918181818181</v>
      </c>
      <c r="N87" s="79">
        <v>542.94253787878779</v>
      </c>
      <c r="O87" s="79">
        <v>5.6421473632177789E-2</v>
      </c>
      <c r="P87" s="79">
        <v>1</v>
      </c>
      <c r="Q87" s="79">
        <v>197.34425000000002</v>
      </c>
      <c r="R87" s="79">
        <v>2021.1825454545456</v>
      </c>
      <c r="S87" s="79">
        <v>0.21003713973068863</v>
      </c>
      <c r="T87" s="79">
        <v>0</v>
      </c>
      <c r="U87" s="79">
        <v>0</v>
      </c>
      <c r="V87" s="79">
        <v>0</v>
      </c>
      <c r="W87" s="79">
        <v>16</v>
      </c>
      <c r="X87" s="79">
        <v>68181.818181818177</v>
      </c>
      <c r="Y87" s="79">
        <v>123</v>
      </c>
      <c r="Z87" s="79">
        <v>239</v>
      </c>
      <c r="AA87" s="79">
        <v>0</v>
      </c>
      <c r="AB87" s="79">
        <v>0</v>
      </c>
      <c r="AC87" s="79">
        <v>75</v>
      </c>
      <c r="AD87" s="79">
        <v>0</v>
      </c>
      <c r="AE87" s="79">
        <v>0</v>
      </c>
      <c r="AF87" s="79">
        <v>0</v>
      </c>
      <c r="AG87" s="79">
        <v>99.941656611238656</v>
      </c>
    </row>
    <row r="88" spans="1:33" ht="15" hidden="1" x14ac:dyDescent="0.25">
      <c r="A88" s="77" t="s">
        <v>341</v>
      </c>
      <c r="B88" s="78">
        <v>44501</v>
      </c>
      <c r="C88" s="79">
        <v>0</v>
      </c>
      <c r="D88" s="79">
        <v>0</v>
      </c>
      <c r="E88" s="79">
        <v>0</v>
      </c>
      <c r="F88" s="79">
        <v>0</v>
      </c>
      <c r="G88" s="79">
        <v>0</v>
      </c>
      <c r="H88" s="79">
        <v>0</v>
      </c>
      <c r="I88" s="79">
        <v>161</v>
      </c>
      <c r="J88" s="79">
        <v>415988.72412121214</v>
      </c>
      <c r="K88" s="79">
        <v>39.751552795031053</v>
      </c>
      <c r="L88" s="79">
        <v>12</v>
      </c>
      <c r="M88" s="79">
        <v>1640.557340909091</v>
      </c>
      <c r="N88" s="79">
        <v>20018.518310606061</v>
      </c>
      <c r="O88" s="79">
        <v>4.8122742636584066</v>
      </c>
      <c r="P88" s="79">
        <v>3</v>
      </c>
      <c r="Q88" s="79">
        <v>2707.1723257575759</v>
      </c>
      <c r="R88" s="79">
        <v>3903.0003484848485</v>
      </c>
      <c r="S88" s="79">
        <v>0.93824666924086619</v>
      </c>
      <c r="T88" s="79">
        <v>0</v>
      </c>
      <c r="U88" s="79">
        <v>0</v>
      </c>
      <c r="V88" s="79">
        <v>0</v>
      </c>
      <c r="W88" s="79">
        <v>0</v>
      </c>
      <c r="X88" s="79">
        <v>0</v>
      </c>
      <c r="Y88" s="79">
        <v>101</v>
      </c>
      <c r="Z88" s="79">
        <v>216</v>
      </c>
      <c r="AA88" s="79">
        <v>0</v>
      </c>
      <c r="AB88" s="79">
        <v>0</v>
      </c>
      <c r="AC88" s="79">
        <v>64</v>
      </c>
      <c r="AD88" s="79">
        <v>0</v>
      </c>
      <c r="AE88" s="79">
        <v>0</v>
      </c>
      <c r="AF88" s="79">
        <v>0</v>
      </c>
      <c r="AG88" s="79">
        <v>97.857206438464758</v>
      </c>
    </row>
    <row r="89" spans="1:33" ht="15" hidden="1" x14ac:dyDescent="0.25">
      <c r="A89" s="77" t="s">
        <v>92</v>
      </c>
      <c r="B89" s="78">
        <v>40650</v>
      </c>
      <c r="C89" s="79">
        <v>1</v>
      </c>
      <c r="D89" s="79">
        <v>7</v>
      </c>
      <c r="E89" s="79">
        <v>12</v>
      </c>
      <c r="F89" s="79">
        <v>5303.030303030303</v>
      </c>
      <c r="G89" s="79">
        <v>62878.787878787887</v>
      </c>
      <c r="H89" s="79">
        <v>33.333333333333329</v>
      </c>
      <c r="I89" s="79">
        <v>182</v>
      </c>
      <c r="J89" s="79">
        <v>721507.50067340443</v>
      </c>
      <c r="K89" s="79">
        <v>11.538461538461538</v>
      </c>
      <c r="L89" s="79">
        <v>2</v>
      </c>
      <c r="M89" s="79">
        <v>669.18506060606069</v>
      </c>
      <c r="N89" s="79">
        <v>3517.9434621212117</v>
      </c>
      <c r="O89" s="79">
        <v>0.48758238255843644</v>
      </c>
      <c r="P89" s="79">
        <v>2</v>
      </c>
      <c r="Q89" s="79">
        <v>4653.5709606259361</v>
      </c>
      <c r="R89" s="79">
        <v>9238.3709293142383</v>
      </c>
      <c r="S89" s="79">
        <v>1.2804261800039214</v>
      </c>
      <c r="T89" s="79">
        <v>0</v>
      </c>
      <c r="U89" s="79">
        <v>0</v>
      </c>
      <c r="V89" s="79">
        <v>0</v>
      </c>
      <c r="W89" s="79">
        <v>12</v>
      </c>
      <c r="X89" s="79">
        <v>65151.515151515159</v>
      </c>
      <c r="Y89" s="79">
        <v>112</v>
      </c>
      <c r="Z89" s="79">
        <v>204</v>
      </c>
      <c r="AA89" s="79">
        <v>0</v>
      </c>
      <c r="AB89" s="79">
        <v>0</v>
      </c>
      <c r="AC89" s="79">
        <v>21</v>
      </c>
      <c r="AD89" s="79">
        <v>0</v>
      </c>
      <c r="AE89" s="79">
        <v>0</v>
      </c>
      <c r="AF89" s="79">
        <v>0</v>
      </c>
      <c r="AG89" s="79">
        <v>98.65045940819374</v>
      </c>
    </row>
    <row r="90" spans="1:33" ht="15" hidden="1" x14ac:dyDescent="0.25">
      <c r="A90" s="77" t="s">
        <v>388</v>
      </c>
      <c r="B90" s="78">
        <v>45354</v>
      </c>
      <c r="C90" s="79">
        <v>1</v>
      </c>
      <c r="D90" s="79">
        <v>4</v>
      </c>
      <c r="E90" s="79">
        <v>13</v>
      </c>
      <c r="F90" s="79">
        <v>3030.3030303030305</v>
      </c>
      <c r="G90" s="79">
        <v>49242.42424242424</v>
      </c>
      <c r="H90" s="79">
        <v>50</v>
      </c>
      <c r="I90" s="79">
        <v>202</v>
      </c>
      <c r="J90" s="79">
        <v>635744.60198799649</v>
      </c>
      <c r="K90" s="79">
        <v>13.861386138613863</v>
      </c>
      <c r="L90" s="79">
        <v>2</v>
      </c>
      <c r="M90" s="79">
        <v>337.26228030303025</v>
      </c>
      <c r="N90" s="79">
        <v>2686.9647424242426</v>
      </c>
      <c r="O90" s="79">
        <v>0.42264845568833864</v>
      </c>
      <c r="P90" s="79">
        <v>1</v>
      </c>
      <c r="Q90" s="79">
        <v>2283.5567727272733</v>
      </c>
      <c r="R90" s="79">
        <v>2653.9694545454545</v>
      </c>
      <c r="S90" s="79">
        <v>0.41745843318942788</v>
      </c>
      <c r="T90" s="79">
        <v>0</v>
      </c>
      <c r="U90" s="79">
        <v>0</v>
      </c>
      <c r="V90" s="79">
        <v>0</v>
      </c>
      <c r="W90" s="79">
        <v>13</v>
      </c>
      <c r="X90" s="79">
        <v>49242.42424242424</v>
      </c>
      <c r="Y90" s="79">
        <v>75</v>
      </c>
      <c r="Z90" s="79">
        <v>135</v>
      </c>
      <c r="AA90" s="79">
        <v>0</v>
      </c>
      <c r="AB90" s="79">
        <v>0</v>
      </c>
      <c r="AC90" s="79">
        <v>28</v>
      </c>
      <c r="AD90" s="79">
        <v>0</v>
      </c>
      <c r="AE90" s="79">
        <v>0</v>
      </c>
      <c r="AF90" s="79">
        <v>0</v>
      </c>
      <c r="AG90" s="79">
        <v>99.054266239038739</v>
      </c>
    </row>
    <row r="91" spans="1:33" ht="15" hidden="1" x14ac:dyDescent="0.25">
      <c r="A91" s="77" t="s">
        <v>93</v>
      </c>
      <c r="B91" s="78">
        <v>42786</v>
      </c>
      <c r="C91" s="79">
        <v>8</v>
      </c>
      <c r="D91" s="79">
        <v>6</v>
      </c>
      <c r="E91" s="79">
        <v>12</v>
      </c>
      <c r="F91" s="79">
        <v>39772.727272727279</v>
      </c>
      <c r="G91" s="79">
        <v>76136.363636363632</v>
      </c>
      <c r="H91" s="79">
        <v>0</v>
      </c>
      <c r="I91" s="79">
        <v>288</v>
      </c>
      <c r="J91" s="79">
        <v>815910.42772995715</v>
      </c>
      <c r="K91" s="79">
        <v>56.944444444444443</v>
      </c>
      <c r="L91" s="79">
        <v>2</v>
      </c>
      <c r="M91" s="79">
        <v>261.29616666666669</v>
      </c>
      <c r="N91" s="79">
        <v>1624.3201060606061</v>
      </c>
      <c r="O91" s="79">
        <v>0.19908068960214456</v>
      </c>
      <c r="P91" s="79">
        <v>2</v>
      </c>
      <c r="Q91" s="79">
        <v>762.3298636363636</v>
      </c>
      <c r="R91" s="79">
        <v>1686.4948106060606</v>
      </c>
      <c r="S91" s="79">
        <v>0.20670097516687722</v>
      </c>
      <c r="T91" s="79">
        <v>0</v>
      </c>
      <c r="U91" s="79">
        <v>0</v>
      </c>
      <c r="V91" s="79">
        <v>0</v>
      </c>
      <c r="W91" s="79">
        <v>12</v>
      </c>
      <c r="X91" s="79">
        <v>76136.363636363632</v>
      </c>
      <c r="Y91" s="79">
        <v>126</v>
      </c>
      <c r="Z91" s="79">
        <v>265</v>
      </c>
      <c r="AA91" s="79">
        <v>0</v>
      </c>
      <c r="AB91" s="79">
        <v>0</v>
      </c>
      <c r="AC91" s="79">
        <v>164</v>
      </c>
      <c r="AD91" s="79">
        <v>0</v>
      </c>
      <c r="AE91" s="79">
        <v>0</v>
      </c>
      <c r="AF91" s="79">
        <v>0</v>
      </c>
      <c r="AG91" s="79">
        <v>99.758809700861761</v>
      </c>
    </row>
    <row r="92" spans="1:33" ht="15" hidden="1" x14ac:dyDescent="0.25">
      <c r="A92" s="77" t="s">
        <v>94</v>
      </c>
      <c r="B92" s="78">
        <v>42814</v>
      </c>
      <c r="C92" s="79">
        <v>10</v>
      </c>
      <c r="D92" s="79">
        <v>9</v>
      </c>
      <c r="E92" s="79">
        <v>16</v>
      </c>
      <c r="F92" s="79">
        <v>32575.75757575758</v>
      </c>
      <c r="G92" s="79">
        <v>56818.181818181823</v>
      </c>
      <c r="H92" s="79">
        <v>30</v>
      </c>
      <c r="I92" s="79">
        <v>262</v>
      </c>
      <c r="J92" s="79">
        <v>566758.54878814006</v>
      </c>
      <c r="K92" s="79">
        <v>66.030534351145036</v>
      </c>
      <c r="L92" s="79">
        <v>6</v>
      </c>
      <c r="M92" s="79">
        <v>1150.3195408331972</v>
      </c>
      <c r="N92" s="79">
        <v>18851.833761441812</v>
      </c>
      <c r="O92" s="79">
        <v>3.3262548578669633</v>
      </c>
      <c r="P92" s="79">
        <v>1</v>
      </c>
      <c r="Q92" s="79">
        <v>593.63846969696976</v>
      </c>
      <c r="R92" s="79">
        <v>1389.0218787878787</v>
      </c>
      <c r="S92" s="79">
        <v>0.24508176925746006</v>
      </c>
      <c r="T92" s="79">
        <v>0</v>
      </c>
      <c r="U92" s="79">
        <v>0</v>
      </c>
      <c r="V92" s="79">
        <v>0</v>
      </c>
      <c r="W92" s="79">
        <v>15</v>
      </c>
      <c r="X92" s="79">
        <v>54545.454545454551</v>
      </c>
      <c r="Y92" s="79">
        <v>83</v>
      </c>
      <c r="Z92" s="79">
        <v>272</v>
      </c>
      <c r="AA92" s="79">
        <v>0</v>
      </c>
      <c r="AB92" s="79">
        <v>0</v>
      </c>
      <c r="AC92" s="79">
        <v>173</v>
      </c>
      <c r="AD92" s="79">
        <v>0</v>
      </c>
      <c r="AE92" s="79">
        <v>0</v>
      </c>
      <c r="AF92" s="79">
        <v>0</v>
      </c>
      <c r="AG92" s="79">
        <v>99.443911223362647</v>
      </c>
    </row>
    <row r="93" spans="1:33" ht="15" hidden="1" x14ac:dyDescent="0.25">
      <c r="A93" s="77" t="s">
        <v>95</v>
      </c>
      <c r="B93" s="78">
        <v>42788</v>
      </c>
      <c r="C93" s="79">
        <v>5</v>
      </c>
      <c r="D93" s="79">
        <v>2</v>
      </c>
      <c r="E93" s="79">
        <v>7</v>
      </c>
      <c r="F93" s="79">
        <v>17424.242424242424</v>
      </c>
      <c r="G93" s="79">
        <v>27272.727272727276</v>
      </c>
      <c r="H93" s="79">
        <v>0</v>
      </c>
      <c r="I93" s="79">
        <v>38</v>
      </c>
      <c r="J93" s="79">
        <v>116908.33333333331</v>
      </c>
      <c r="K93" s="79">
        <v>52.631578947368418</v>
      </c>
      <c r="L93" s="79">
        <v>1</v>
      </c>
      <c r="M93" s="79">
        <v>317.42424242424249</v>
      </c>
      <c r="N93" s="79">
        <v>2590.151515151515</v>
      </c>
      <c r="O93" s="79">
        <v>2.2155405361621061</v>
      </c>
      <c r="P93" s="79">
        <v>0</v>
      </c>
      <c r="Q93" s="79">
        <v>0</v>
      </c>
      <c r="R93" s="79">
        <v>0</v>
      </c>
      <c r="S93" s="79">
        <v>0</v>
      </c>
      <c r="T93" s="79">
        <v>0</v>
      </c>
      <c r="U93" s="79">
        <v>0</v>
      </c>
      <c r="V93" s="79">
        <v>0</v>
      </c>
      <c r="W93" s="79">
        <v>4</v>
      </c>
      <c r="X93" s="79">
        <v>12878.78787878788</v>
      </c>
      <c r="Y93" s="79">
        <v>7</v>
      </c>
      <c r="Z93" s="79">
        <v>11</v>
      </c>
      <c r="AA93" s="79">
        <v>0</v>
      </c>
      <c r="AB93" s="79">
        <v>0</v>
      </c>
      <c r="AC93" s="79">
        <v>20</v>
      </c>
      <c r="AD93" s="79">
        <v>0</v>
      </c>
      <c r="AE93" s="79">
        <v>0</v>
      </c>
      <c r="AF93" s="79">
        <v>0</v>
      </c>
      <c r="AG93" s="79">
        <v>99.189217953307477</v>
      </c>
    </row>
    <row r="94" spans="1:33" ht="15" hidden="1" x14ac:dyDescent="0.25">
      <c r="A94" s="77" t="s">
        <v>96</v>
      </c>
      <c r="B94" s="78">
        <v>42612</v>
      </c>
      <c r="C94" s="79">
        <v>0</v>
      </c>
      <c r="D94" s="79">
        <v>0</v>
      </c>
      <c r="E94" s="79">
        <v>0</v>
      </c>
      <c r="F94" s="79">
        <v>0</v>
      </c>
      <c r="G94" s="79">
        <v>0</v>
      </c>
      <c r="H94" s="79">
        <v>40</v>
      </c>
      <c r="I94" s="79">
        <v>82</v>
      </c>
      <c r="J94" s="79">
        <v>295145.9180710169</v>
      </c>
      <c r="K94" s="79">
        <v>53.658536585365852</v>
      </c>
      <c r="L94" s="79">
        <v>24</v>
      </c>
      <c r="M94" s="79">
        <v>5101.3376475794503</v>
      </c>
      <c r="N94" s="79">
        <v>100637.51656654532</v>
      </c>
      <c r="O94" s="79">
        <v>34.097546469312952</v>
      </c>
      <c r="P94" s="79">
        <v>15</v>
      </c>
      <c r="Q94" s="79">
        <v>17119.967237214041</v>
      </c>
      <c r="R94" s="79">
        <v>66857.48712568375</v>
      </c>
      <c r="S94" s="79">
        <v>22.6523502553055</v>
      </c>
      <c r="T94" s="79">
        <v>0</v>
      </c>
      <c r="U94" s="79">
        <v>0</v>
      </c>
      <c r="V94" s="79">
        <v>0</v>
      </c>
      <c r="W94" s="79">
        <v>0</v>
      </c>
      <c r="X94" s="79">
        <v>0</v>
      </c>
      <c r="Y94" s="79">
        <v>29</v>
      </c>
      <c r="Z94" s="79">
        <v>188</v>
      </c>
      <c r="AA94" s="79">
        <v>0</v>
      </c>
      <c r="AB94" s="79">
        <v>0</v>
      </c>
      <c r="AC94" s="79">
        <v>44</v>
      </c>
      <c r="AD94" s="79">
        <v>0</v>
      </c>
      <c r="AE94" s="79">
        <v>0</v>
      </c>
      <c r="AF94" s="79">
        <v>0</v>
      </c>
      <c r="AG94" s="79">
        <v>90.694861936038109</v>
      </c>
    </row>
    <row r="95" spans="1:33" ht="15" hidden="1" x14ac:dyDescent="0.25">
      <c r="A95" s="77" t="s">
        <v>335</v>
      </c>
      <c r="B95" s="78">
        <v>42814</v>
      </c>
      <c r="C95" s="79">
        <v>4</v>
      </c>
      <c r="D95" s="79">
        <v>1</v>
      </c>
      <c r="E95" s="79">
        <v>5</v>
      </c>
      <c r="F95" s="79">
        <v>12121.21212121212</v>
      </c>
      <c r="G95" s="79">
        <v>15909.090909090908</v>
      </c>
      <c r="H95" s="79">
        <v>0</v>
      </c>
      <c r="I95" s="79">
        <v>242</v>
      </c>
      <c r="J95" s="79">
        <v>437711.24467448739</v>
      </c>
      <c r="K95" s="79">
        <v>71.900826446281002</v>
      </c>
      <c r="L95" s="79">
        <v>9</v>
      </c>
      <c r="M95" s="79">
        <v>1156.677700313061</v>
      </c>
      <c r="N95" s="79">
        <v>10606.183548892692</v>
      </c>
      <c r="O95" s="79">
        <v>2.423100543551306</v>
      </c>
      <c r="P95" s="79">
        <v>8</v>
      </c>
      <c r="Q95" s="79">
        <v>3471.9821060606064</v>
      </c>
      <c r="R95" s="79">
        <v>8044.0271742424256</v>
      </c>
      <c r="S95" s="79">
        <v>1.8377474355781112</v>
      </c>
      <c r="T95" s="79">
        <v>0</v>
      </c>
      <c r="U95" s="79">
        <v>0</v>
      </c>
      <c r="V95" s="79">
        <v>0</v>
      </c>
      <c r="W95" s="79">
        <v>8</v>
      </c>
      <c r="X95" s="79">
        <v>23484.848484848488</v>
      </c>
      <c r="Y95" s="79">
        <v>31</v>
      </c>
      <c r="Z95" s="79">
        <v>142</v>
      </c>
      <c r="AA95" s="79">
        <v>0</v>
      </c>
      <c r="AB95" s="79">
        <v>0</v>
      </c>
      <c r="AC95" s="79">
        <v>174</v>
      </c>
      <c r="AD95" s="79">
        <v>0</v>
      </c>
      <c r="AE95" s="79">
        <v>0</v>
      </c>
      <c r="AF95" s="79">
        <v>0</v>
      </c>
      <c r="AG95" s="79">
        <v>98.337355322037354</v>
      </c>
    </row>
    <row r="96" spans="1:33" ht="15" hidden="1" x14ac:dyDescent="0.25">
      <c r="A96" s="77" t="s">
        <v>97</v>
      </c>
      <c r="B96" s="78">
        <v>39561</v>
      </c>
      <c r="C96" s="79">
        <v>2</v>
      </c>
      <c r="D96" s="79">
        <v>6</v>
      </c>
      <c r="E96" s="79">
        <v>14</v>
      </c>
      <c r="F96" s="79">
        <v>6060.606060606061</v>
      </c>
      <c r="G96" s="79">
        <v>72803.030303030318</v>
      </c>
      <c r="H96" s="79">
        <v>16.666666666666664</v>
      </c>
      <c r="I96" s="79">
        <v>191</v>
      </c>
      <c r="J96" s="79">
        <v>728634.96754198754</v>
      </c>
      <c r="K96" s="79">
        <v>30.890052356020941</v>
      </c>
      <c r="L96" s="79">
        <v>1</v>
      </c>
      <c r="M96" s="79">
        <v>308.15198484848491</v>
      </c>
      <c r="N96" s="79">
        <v>4314.4235530303031</v>
      </c>
      <c r="O96" s="79">
        <v>0.59212414243373312</v>
      </c>
      <c r="P96" s="79">
        <v>2</v>
      </c>
      <c r="Q96" s="79">
        <v>1715.1487925609795</v>
      </c>
      <c r="R96" s="79">
        <v>2979.373860742799</v>
      </c>
      <c r="S96" s="79">
        <v>0.40889800702175505</v>
      </c>
      <c r="T96" s="79">
        <v>0</v>
      </c>
      <c r="U96" s="79">
        <v>0</v>
      </c>
      <c r="V96" s="79">
        <v>0</v>
      </c>
      <c r="W96" s="79">
        <v>13</v>
      </c>
      <c r="X96" s="79">
        <v>57575.757575757576</v>
      </c>
      <c r="Y96" s="79">
        <v>100</v>
      </c>
      <c r="Z96" s="79">
        <v>212</v>
      </c>
      <c r="AA96" s="79">
        <v>0</v>
      </c>
      <c r="AB96" s="79">
        <v>0</v>
      </c>
      <c r="AC96" s="79">
        <v>59</v>
      </c>
      <c r="AD96" s="79">
        <v>0</v>
      </c>
      <c r="AE96" s="79">
        <v>0</v>
      </c>
      <c r="AF96" s="79">
        <v>0</v>
      </c>
      <c r="AG96" s="79">
        <v>99.355815506295272</v>
      </c>
    </row>
    <row r="97" spans="1:33" ht="15" hidden="1" x14ac:dyDescent="0.25">
      <c r="A97" s="77" t="s">
        <v>363</v>
      </c>
      <c r="B97" s="78">
        <v>44964</v>
      </c>
      <c r="C97" s="79">
        <v>4</v>
      </c>
      <c r="D97" s="79">
        <v>2</v>
      </c>
      <c r="E97" s="79">
        <v>6</v>
      </c>
      <c r="F97" s="79">
        <v>13636.363636363636</v>
      </c>
      <c r="G97" s="79">
        <v>20454.545454545452</v>
      </c>
      <c r="H97" s="79">
        <v>0</v>
      </c>
      <c r="I97" s="79">
        <v>148</v>
      </c>
      <c r="J97" s="79">
        <v>447793.2178967573</v>
      </c>
      <c r="K97" s="79">
        <v>40.54054054054054</v>
      </c>
      <c r="L97" s="79">
        <v>3</v>
      </c>
      <c r="M97" s="79">
        <v>500.66257575757578</v>
      </c>
      <c r="N97" s="79">
        <v>15751.952340909091</v>
      </c>
      <c r="O97" s="79">
        <v>3.5176844381195709</v>
      </c>
      <c r="P97" s="79">
        <v>3</v>
      </c>
      <c r="Q97" s="79">
        <v>8408.763947716574</v>
      </c>
      <c r="R97" s="79">
        <v>11738.073023474153</v>
      </c>
      <c r="S97" s="79">
        <v>2.6213154988382321</v>
      </c>
      <c r="T97" s="79">
        <v>0</v>
      </c>
      <c r="U97" s="79">
        <v>0</v>
      </c>
      <c r="V97" s="79">
        <v>0</v>
      </c>
      <c r="W97" s="79">
        <v>6</v>
      </c>
      <c r="X97" s="79">
        <v>21969.696969696972</v>
      </c>
      <c r="Y97" s="79">
        <v>97</v>
      </c>
      <c r="Z97" s="79">
        <v>201</v>
      </c>
      <c r="AA97" s="79">
        <v>0</v>
      </c>
      <c r="AB97" s="79">
        <v>0</v>
      </c>
      <c r="AC97" s="79">
        <v>60</v>
      </c>
      <c r="AD97" s="79">
        <v>0</v>
      </c>
      <c r="AE97" s="79">
        <v>0</v>
      </c>
      <c r="AF97" s="79">
        <v>0</v>
      </c>
      <c r="AG97" s="79">
        <v>96.200637917585595</v>
      </c>
    </row>
    <row r="98" spans="1:33" ht="15" hidden="1" x14ac:dyDescent="0.25">
      <c r="A98" s="77" t="s">
        <v>98</v>
      </c>
      <c r="B98" s="78">
        <v>41884</v>
      </c>
      <c r="C98" s="79">
        <v>3</v>
      </c>
      <c r="D98" s="79">
        <v>4</v>
      </c>
      <c r="E98" s="79">
        <v>6</v>
      </c>
      <c r="F98" s="79">
        <v>9090.9090909090919</v>
      </c>
      <c r="G98" s="79">
        <v>20833.333333333332</v>
      </c>
      <c r="H98" s="79">
        <v>0</v>
      </c>
      <c r="I98" s="79">
        <v>253</v>
      </c>
      <c r="J98" s="79">
        <v>837228.99680583482</v>
      </c>
      <c r="K98" s="79">
        <v>29.644268774703558</v>
      </c>
      <c r="L98" s="79">
        <v>22</v>
      </c>
      <c r="M98" s="79">
        <v>4053.003549016029</v>
      </c>
      <c r="N98" s="79">
        <v>60130.975540412095</v>
      </c>
      <c r="O98" s="79">
        <v>7.1821420148873933</v>
      </c>
      <c r="P98" s="79">
        <v>4</v>
      </c>
      <c r="Q98" s="79">
        <v>3983.9530530303032</v>
      </c>
      <c r="R98" s="79">
        <v>15050.398378787877</v>
      </c>
      <c r="S98" s="79">
        <v>1.7976441853074367</v>
      </c>
      <c r="T98" s="79">
        <v>0</v>
      </c>
      <c r="U98" s="79">
        <v>0</v>
      </c>
      <c r="V98" s="79">
        <v>0</v>
      </c>
      <c r="W98" s="79">
        <v>13</v>
      </c>
      <c r="X98" s="79">
        <v>49242.424242424255</v>
      </c>
      <c r="Y98" s="79">
        <v>106</v>
      </c>
      <c r="Z98" s="79">
        <v>236</v>
      </c>
      <c r="AA98" s="79">
        <v>0</v>
      </c>
      <c r="AB98" s="79">
        <v>0</v>
      </c>
      <c r="AC98" s="79">
        <v>75</v>
      </c>
      <c r="AD98" s="79">
        <v>0</v>
      </c>
      <c r="AE98" s="79">
        <v>0</v>
      </c>
      <c r="AF98" s="79">
        <v>0</v>
      </c>
      <c r="AG98" s="79">
        <v>98.274182967064846</v>
      </c>
    </row>
    <row r="99" spans="1:33" ht="15" hidden="1" x14ac:dyDescent="0.25">
      <c r="A99" s="77" t="s">
        <v>99</v>
      </c>
      <c r="B99" s="78">
        <v>42493</v>
      </c>
      <c r="C99" s="79">
        <v>13</v>
      </c>
      <c r="D99" s="79">
        <v>10</v>
      </c>
      <c r="E99" s="79">
        <v>18</v>
      </c>
      <c r="F99" s="79">
        <v>41666.666666666679</v>
      </c>
      <c r="G99" s="79">
        <v>63257.575757575774</v>
      </c>
      <c r="H99" s="79">
        <v>15.789473684210526</v>
      </c>
      <c r="I99" s="79">
        <v>339</v>
      </c>
      <c r="J99" s="79">
        <v>748599.56802059198</v>
      </c>
      <c r="K99" s="79">
        <v>62.536873156342189</v>
      </c>
      <c r="L99" s="79">
        <v>0</v>
      </c>
      <c r="M99" s="79">
        <v>0</v>
      </c>
      <c r="N99" s="79">
        <v>0</v>
      </c>
      <c r="O99" s="79">
        <v>0</v>
      </c>
      <c r="P99" s="79">
        <v>0</v>
      </c>
      <c r="Q99" s="79">
        <v>0</v>
      </c>
      <c r="R99" s="79">
        <v>0</v>
      </c>
      <c r="S99" s="79">
        <v>0</v>
      </c>
      <c r="T99" s="79">
        <v>0</v>
      </c>
      <c r="U99" s="79">
        <v>0</v>
      </c>
      <c r="V99" s="79">
        <v>0</v>
      </c>
      <c r="W99" s="79">
        <v>15</v>
      </c>
      <c r="X99" s="79">
        <v>50378.787878787887</v>
      </c>
      <c r="Y99" s="79">
        <v>143</v>
      </c>
      <c r="Z99" s="79">
        <v>369</v>
      </c>
      <c r="AA99" s="79">
        <v>0</v>
      </c>
      <c r="AB99" s="79">
        <v>0</v>
      </c>
      <c r="AC99" s="79">
        <v>212</v>
      </c>
      <c r="AD99" s="79">
        <v>0</v>
      </c>
      <c r="AE99" s="79">
        <v>0</v>
      </c>
      <c r="AF99" s="79">
        <v>0</v>
      </c>
      <c r="AG99" s="79">
        <v>99.999999999999986</v>
      </c>
    </row>
    <row r="100" spans="1:33" ht="15" hidden="1" x14ac:dyDescent="0.25">
      <c r="A100" s="77" t="s">
        <v>429</v>
      </c>
      <c r="B100" s="78">
        <v>41613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158</v>
      </c>
      <c r="J100" s="79">
        <v>742254.46961127396</v>
      </c>
      <c r="K100" s="79">
        <v>31.0126582278481</v>
      </c>
      <c r="L100" s="79">
        <v>6</v>
      </c>
      <c r="M100" s="79">
        <v>2345.0834209617583</v>
      </c>
      <c r="N100" s="79">
        <v>15155.933840909091</v>
      </c>
      <c r="O100" s="79">
        <v>2.0418784205969689</v>
      </c>
      <c r="P100" s="79">
        <v>15</v>
      </c>
      <c r="Q100" s="79">
        <v>35148.554570745931</v>
      </c>
      <c r="R100" s="79">
        <v>55436.539629597472</v>
      </c>
      <c r="S100" s="79">
        <v>7.4686703683482198</v>
      </c>
      <c r="T100" s="79">
        <v>0</v>
      </c>
      <c r="U100" s="79">
        <v>0</v>
      </c>
      <c r="V100" s="79">
        <v>0</v>
      </c>
      <c r="W100" s="79">
        <v>0</v>
      </c>
      <c r="X100" s="79">
        <v>0</v>
      </c>
      <c r="Y100" s="79">
        <v>90</v>
      </c>
      <c r="Z100" s="79">
        <v>228</v>
      </c>
      <c r="AA100" s="79">
        <v>0</v>
      </c>
      <c r="AB100" s="79">
        <v>0</v>
      </c>
      <c r="AC100" s="79">
        <v>49</v>
      </c>
      <c r="AD100" s="79">
        <v>0</v>
      </c>
      <c r="AE100" s="79">
        <v>0</v>
      </c>
      <c r="AF100" s="79">
        <v>0</v>
      </c>
      <c r="AG100" s="79">
        <v>93.868532831383575</v>
      </c>
    </row>
    <row r="101" spans="1:33" ht="15" hidden="1" x14ac:dyDescent="0.25">
      <c r="A101" s="77" t="s">
        <v>101</v>
      </c>
      <c r="B101" s="78">
        <v>40281</v>
      </c>
      <c r="C101" s="79">
        <v>1</v>
      </c>
      <c r="D101" s="79">
        <v>1</v>
      </c>
      <c r="E101" s="79">
        <v>2</v>
      </c>
      <c r="F101" s="79">
        <v>11363.636363636364</v>
      </c>
      <c r="G101" s="79">
        <v>15909.090909090908</v>
      </c>
      <c r="H101" s="79">
        <v>0</v>
      </c>
      <c r="I101" s="79">
        <v>108</v>
      </c>
      <c r="J101" s="79">
        <v>449583.47685163177</v>
      </c>
      <c r="K101" s="79">
        <v>27.777777777777779</v>
      </c>
      <c r="L101" s="79">
        <v>5</v>
      </c>
      <c r="M101" s="79">
        <v>1361.9786818181819</v>
      </c>
      <c r="N101" s="79">
        <v>11558.023189393938</v>
      </c>
      <c r="O101" s="79">
        <v>2.5708291751140653</v>
      </c>
      <c r="P101" s="79">
        <v>2</v>
      </c>
      <c r="Q101" s="79">
        <v>1888.3600151515152</v>
      </c>
      <c r="R101" s="79">
        <v>10796.436106060606</v>
      </c>
      <c r="S101" s="79">
        <v>2.4014308047231832</v>
      </c>
      <c r="T101" s="79">
        <v>0</v>
      </c>
      <c r="U101" s="79">
        <v>0</v>
      </c>
      <c r="V101" s="79">
        <v>0</v>
      </c>
      <c r="W101" s="79">
        <v>2</v>
      </c>
      <c r="X101" s="79">
        <v>18939.39393939394</v>
      </c>
      <c r="Y101" s="79">
        <v>41</v>
      </c>
      <c r="Z101" s="79">
        <v>102</v>
      </c>
      <c r="AA101" s="79">
        <v>0</v>
      </c>
      <c r="AB101" s="79">
        <v>0</v>
      </c>
      <c r="AC101" s="79">
        <v>30</v>
      </c>
      <c r="AD101" s="79">
        <v>0</v>
      </c>
      <c r="AE101" s="79">
        <v>0</v>
      </c>
      <c r="AF101" s="79">
        <v>0</v>
      </c>
      <c r="AG101" s="79">
        <v>99.20563342612148</v>
      </c>
    </row>
    <row r="102" spans="1:33" s="77" customFormat="1" ht="15" hidden="1" x14ac:dyDescent="0.25">
      <c r="A102" s="77" t="s">
        <v>428</v>
      </c>
      <c r="B102" s="78">
        <v>45718</v>
      </c>
      <c r="C102" s="79">
        <v>9</v>
      </c>
      <c r="D102" s="79">
        <v>7</v>
      </c>
      <c r="E102" s="79">
        <v>16</v>
      </c>
      <c r="F102" s="79">
        <v>28787.878787878795</v>
      </c>
      <c r="G102" s="79">
        <v>60606.060606060615</v>
      </c>
      <c r="H102" s="79">
        <v>40</v>
      </c>
      <c r="I102" s="79">
        <v>271</v>
      </c>
      <c r="J102" s="79">
        <v>684483.0212487058</v>
      </c>
      <c r="K102" s="79">
        <v>35.793357933579337</v>
      </c>
      <c r="L102" s="79">
        <v>0</v>
      </c>
      <c r="M102" s="79">
        <v>0</v>
      </c>
      <c r="N102" s="79">
        <v>0</v>
      </c>
      <c r="O102" s="79">
        <v>0</v>
      </c>
      <c r="P102" s="79">
        <v>0</v>
      </c>
      <c r="Q102" s="79">
        <v>0</v>
      </c>
      <c r="R102" s="79">
        <v>0</v>
      </c>
      <c r="S102" s="79">
        <v>0</v>
      </c>
      <c r="T102" s="79">
        <v>0</v>
      </c>
      <c r="U102" s="79">
        <v>0</v>
      </c>
      <c r="V102" s="79">
        <v>0</v>
      </c>
      <c r="W102" s="79">
        <v>16</v>
      </c>
      <c r="X102" s="79">
        <v>60606.060606060608</v>
      </c>
      <c r="Y102" s="79">
        <v>45</v>
      </c>
      <c r="Z102" s="79">
        <v>112</v>
      </c>
      <c r="AA102" s="79">
        <v>0</v>
      </c>
      <c r="AB102" s="79">
        <v>0</v>
      </c>
      <c r="AC102" s="79">
        <v>97</v>
      </c>
      <c r="AD102" s="79">
        <v>0</v>
      </c>
      <c r="AE102" s="79">
        <v>0</v>
      </c>
      <c r="AF102" s="79">
        <v>0</v>
      </c>
      <c r="AG102" s="79">
        <v>99.999999999999957</v>
      </c>
    </row>
    <row r="103" spans="1:33" ht="15" hidden="1" x14ac:dyDescent="0.25">
      <c r="A103" s="77" t="s">
        <v>102</v>
      </c>
      <c r="B103" s="78">
        <v>40199</v>
      </c>
      <c r="C103" s="79">
        <v>4</v>
      </c>
      <c r="D103" s="79">
        <v>11</v>
      </c>
      <c r="E103" s="79">
        <v>15</v>
      </c>
      <c r="F103" s="79">
        <v>11742.424242424244</v>
      </c>
      <c r="G103" s="79">
        <v>57954.545454545456</v>
      </c>
      <c r="H103" s="79">
        <v>40</v>
      </c>
      <c r="I103" s="79">
        <v>218</v>
      </c>
      <c r="J103" s="79">
        <v>682235.77351674961</v>
      </c>
      <c r="K103" s="79">
        <v>13.761467889908255</v>
      </c>
      <c r="L103" s="79">
        <v>6</v>
      </c>
      <c r="M103" s="79">
        <v>1151.9211893939394</v>
      </c>
      <c r="N103" s="79">
        <v>19197.002484848486</v>
      </c>
      <c r="O103" s="79">
        <v>2.8138369798307239</v>
      </c>
      <c r="P103" s="79">
        <v>6</v>
      </c>
      <c r="Q103" s="79">
        <v>15307.267176780484</v>
      </c>
      <c r="R103" s="79">
        <v>18336.547032841096</v>
      </c>
      <c r="S103" s="79">
        <v>2.687714093079717</v>
      </c>
      <c r="T103" s="79">
        <v>0</v>
      </c>
      <c r="U103" s="79">
        <v>0</v>
      </c>
      <c r="V103" s="79">
        <v>0</v>
      </c>
      <c r="W103" s="79">
        <v>14</v>
      </c>
      <c r="X103" s="79">
        <v>54545.454545454544</v>
      </c>
      <c r="Y103" s="79">
        <v>88</v>
      </c>
      <c r="Z103" s="79">
        <v>261</v>
      </c>
      <c r="AA103" s="79">
        <v>0</v>
      </c>
      <c r="AB103" s="79">
        <v>0</v>
      </c>
      <c r="AC103" s="79">
        <v>30</v>
      </c>
      <c r="AD103" s="79">
        <v>0</v>
      </c>
      <c r="AE103" s="79">
        <v>0</v>
      </c>
      <c r="AF103" s="79">
        <v>0</v>
      </c>
      <c r="AG103" s="79">
        <v>95.958981267377979</v>
      </c>
    </row>
    <row r="104" spans="1:33" ht="15" hidden="1" x14ac:dyDescent="0.25">
      <c r="A104" s="77" t="s">
        <v>103</v>
      </c>
      <c r="B104" s="78">
        <v>41269</v>
      </c>
      <c r="C104" s="79">
        <v>1</v>
      </c>
      <c r="D104" s="79">
        <v>4</v>
      </c>
      <c r="E104" s="79">
        <v>5</v>
      </c>
      <c r="F104" s="79">
        <v>2272.7272727272725</v>
      </c>
      <c r="G104" s="79">
        <v>86363.636363636368</v>
      </c>
      <c r="H104" s="79">
        <v>25</v>
      </c>
      <c r="I104" s="79">
        <v>83</v>
      </c>
      <c r="J104" s="79">
        <v>865489.53938956338</v>
      </c>
      <c r="K104" s="79">
        <v>8.4337349397590362</v>
      </c>
      <c r="L104" s="79">
        <v>0</v>
      </c>
      <c r="M104" s="79">
        <v>0</v>
      </c>
      <c r="N104" s="79">
        <v>0</v>
      </c>
      <c r="O104" s="79">
        <v>0</v>
      </c>
      <c r="P104" s="79">
        <v>1</v>
      </c>
      <c r="Q104" s="79">
        <v>5861.3305862021834</v>
      </c>
      <c r="R104" s="79">
        <v>8242.8172690534448</v>
      </c>
      <c r="S104" s="79">
        <v>0.95238785611056254</v>
      </c>
      <c r="T104" s="79">
        <v>0</v>
      </c>
      <c r="U104" s="79">
        <v>0</v>
      </c>
      <c r="V104" s="79">
        <v>0</v>
      </c>
      <c r="W104" s="79">
        <v>6</v>
      </c>
      <c r="X104" s="79">
        <v>90151.515151515152</v>
      </c>
      <c r="Y104" s="79">
        <v>13</v>
      </c>
      <c r="Z104" s="79">
        <v>29</v>
      </c>
      <c r="AA104" s="79">
        <v>0</v>
      </c>
      <c r="AB104" s="79">
        <v>0</v>
      </c>
      <c r="AC104" s="79">
        <v>7</v>
      </c>
      <c r="AD104" s="79">
        <v>0</v>
      </c>
      <c r="AE104" s="79">
        <v>0</v>
      </c>
      <c r="AF104" s="79">
        <v>0</v>
      </c>
      <c r="AG104" s="79">
        <v>98.965440949820035</v>
      </c>
    </row>
    <row r="105" spans="1:33" ht="15" hidden="1" x14ac:dyDescent="0.25">
      <c r="A105" s="77" t="s">
        <v>104</v>
      </c>
      <c r="B105" s="78">
        <v>42955</v>
      </c>
      <c r="C105" s="79">
        <v>5</v>
      </c>
      <c r="D105" s="79">
        <v>7</v>
      </c>
      <c r="E105" s="79">
        <v>15</v>
      </c>
      <c r="F105" s="79">
        <v>22348.484848484848</v>
      </c>
      <c r="G105" s="79">
        <v>78787.878787878784</v>
      </c>
      <c r="H105" s="79">
        <v>21.052631578947366</v>
      </c>
      <c r="I105" s="79">
        <v>252</v>
      </c>
      <c r="J105" s="79">
        <v>737569.93490036344</v>
      </c>
      <c r="K105" s="79">
        <v>42.857142857142854</v>
      </c>
      <c r="L105" s="79">
        <v>0</v>
      </c>
      <c r="M105" s="79">
        <v>0</v>
      </c>
      <c r="N105" s="79">
        <v>0</v>
      </c>
      <c r="O105" s="79">
        <v>0</v>
      </c>
      <c r="P105" s="79">
        <v>0</v>
      </c>
      <c r="Q105" s="79">
        <v>0</v>
      </c>
      <c r="R105" s="79">
        <v>0</v>
      </c>
      <c r="S105" s="79">
        <v>0</v>
      </c>
      <c r="T105" s="79">
        <v>0</v>
      </c>
      <c r="U105" s="79">
        <v>0</v>
      </c>
      <c r="V105" s="79">
        <v>0</v>
      </c>
      <c r="W105" s="79">
        <v>13</v>
      </c>
      <c r="X105" s="79">
        <v>69318.181818181823</v>
      </c>
      <c r="Y105" s="79">
        <v>127</v>
      </c>
      <c r="Z105" s="79">
        <v>324</v>
      </c>
      <c r="AA105" s="79">
        <v>0</v>
      </c>
      <c r="AB105" s="79">
        <v>0</v>
      </c>
      <c r="AC105" s="79">
        <v>108</v>
      </c>
      <c r="AD105" s="79">
        <v>0</v>
      </c>
      <c r="AE105" s="79">
        <v>0</v>
      </c>
      <c r="AF105" s="79">
        <v>0</v>
      </c>
      <c r="AG105" s="79">
        <v>100</v>
      </c>
    </row>
    <row r="106" spans="1:33" ht="15" hidden="1" x14ac:dyDescent="0.25">
      <c r="A106" s="77" t="s">
        <v>351</v>
      </c>
      <c r="B106" s="78">
        <v>44668</v>
      </c>
      <c r="C106" s="79">
        <v>3</v>
      </c>
      <c r="D106" s="79">
        <v>4</v>
      </c>
      <c r="E106" s="79">
        <v>10</v>
      </c>
      <c r="F106" s="79">
        <v>19696.969696969696</v>
      </c>
      <c r="G106" s="79">
        <v>68560.606060606064</v>
      </c>
      <c r="H106" s="79">
        <v>50</v>
      </c>
      <c r="I106" s="79">
        <v>207</v>
      </c>
      <c r="J106" s="79">
        <v>695638.74932069099</v>
      </c>
      <c r="K106" s="79">
        <v>18.357487922705314</v>
      </c>
      <c r="L106" s="79">
        <v>3</v>
      </c>
      <c r="M106" s="79">
        <v>620.20188728336029</v>
      </c>
      <c r="N106" s="79">
        <v>1839.5334043535381</v>
      </c>
      <c r="O106" s="79">
        <v>0.26443802996165605</v>
      </c>
      <c r="P106" s="79">
        <v>4</v>
      </c>
      <c r="Q106" s="79">
        <v>3060.8579090909097</v>
      </c>
      <c r="R106" s="79">
        <v>8173.2235757575754</v>
      </c>
      <c r="S106" s="79">
        <v>1.1749235625155929</v>
      </c>
      <c r="T106" s="79">
        <v>0</v>
      </c>
      <c r="U106" s="79">
        <v>0</v>
      </c>
      <c r="V106" s="79">
        <v>0</v>
      </c>
      <c r="W106" s="79">
        <v>10</v>
      </c>
      <c r="X106" s="79">
        <v>68560.606060606049</v>
      </c>
      <c r="Y106" s="79">
        <v>95</v>
      </c>
      <c r="Z106" s="79">
        <v>205</v>
      </c>
      <c r="AA106" s="79">
        <v>0</v>
      </c>
      <c r="AB106" s="79">
        <v>0</v>
      </c>
      <c r="AC106" s="79">
        <v>38</v>
      </c>
      <c r="AD106" s="79">
        <v>0</v>
      </c>
      <c r="AE106" s="79">
        <v>0</v>
      </c>
      <c r="AF106" s="79">
        <v>0</v>
      </c>
      <c r="AG106" s="79">
        <v>99.048188408444418</v>
      </c>
    </row>
    <row r="107" spans="1:33" ht="15" hidden="1" x14ac:dyDescent="0.25">
      <c r="A107" s="77" t="s">
        <v>480</v>
      </c>
      <c r="B107" s="78">
        <v>43891</v>
      </c>
      <c r="C107" s="79">
        <v>0</v>
      </c>
      <c r="D107" s="79">
        <v>0</v>
      </c>
      <c r="E107" s="79">
        <v>0</v>
      </c>
      <c r="F107" s="79">
        <v>0</v>
      </c>
      <c r="G107" s="79">
        <v>0</v>
      </c>
      <c r="H107" s="79">
        <v>0</v>
      </c>
      <c r="I107" s="79">
        <v>29</v>
      </c>
      <c r="J107" s="79">
        <v>69899.431818181823</v>
      </c>
      <c r="K107" s="79">
        <v>41.379310344827587</v>
      </c>
      <c r="L107" s="79">
        <v>1</v>
      </c>
      <c r="M107" s="79">
        <v>273.67424242424244</v>
      </c>
      <c r="N107" s="79">
        <v>4376.893939393939</v>
      </c>
      <c r="O107" s="79">
        <v>6.2617017414087881</v>
      </c>
      <c r="P107" s="79">
        <v>0</v>
      </c>
      <c r="Q107" s="79">
        <v>0</v>
      </c>
      <c r="R107" s="79">
        <v>0</v>
      </c>
      <c r="S107" s="79">
        <v>0</v>
      </c>
      <c r="T107" s="79">
        <v>0</v>
      </c>
      <c r="U107" s="79">
        <v>0</v>
      </c>
      <c r="V107" s="79">
        <v>0</v>
      </c>
      <c r="W107" s="79">
        <v>0</v>
      </c>
      <c r="X107" s="79">
        <v>0</v>
      </c>
      <c r="Y107" s="79">
        <v>1</v>
      </c>
      <c r="Z107" s="79">
        <v>6</v>
      </c>
      <c r="AA107" s="79">
        <v>0</v>
      </c>
      <c r="AB107" s="79">
        <v>0</v>
      </c>
      <c r="AC107" s="79">
        <v>12</v>
      </c>
      <c r="AD107" s="79">
        <v>0</v>
      </c>
      <c r="AE107" s="79">
        <v>0</v>
      </c>
      <c r="AF107" s="79">
        <v>0</v>
      </c>
      <c r="AG107" s="79">
        <v>99.410713994421144</v>
      </c>
    </row>
    <row r="108" spans="1:33" ht="15" hidden="1" x14ac:dyDescent="0.25">
      <c r="A108" s="77" t="s">
        <v>106</v>
      </c>
      <c r="B108" s="78">
        <v>42129</v>
      </c>
      <c r="C108" s="79">
        <v>0</v>
      </c>
      <c r="D108" s="79">
        <v>1</v>
      </c>
      <c r="E108" s="79">
        <v>1</v>
      </c>
      <c r="F108" s="79">
        <v>0</v>
      </c>
      <c r="G108" s="79">
        <v>22727.272727272728</v>
      </c>
      <c r="H108" s="79">
        <v>13.333333333333336</v>
      </c>
      <c r="I108" s="79">
        <v>345</v>
      </c>
      <c r="J108" s="79">
        <v>903342.08828446979</v>
      </c>
      <c r="K108" s="79">
        <v>60</v>
      </c>
      <c r="L108" s="79">
        <v>27</v>
      </c>
      <c r="M108" s="79">
        <v>3498.9587895775012</v>
      </c>
      <c r="N108" s="79">
        <v>35271.478486547203</v>
      </c>
      <c r="O108" s="79">
        <v>3.904553872114052</v>
      </c>
      <c r="P108" s="79">
        <v>15</v>
      </c>
      <c r="Q108" s="79">
        <v>15566.177642476179</v>
      </c>
      <c r="R108" s="79">
        <v>36757.515815142484</v>
      </c>
      <c r="S108" s="79">
        <v>4.069058255101166</v>
      </c>
      <c r="T108" s="79">
        <v>0</v>
      </c>
      <c r="U108" s="79">
        <v>0</v>
      </c>
      <c r="V108" s="79">
        <v>0</v>
      </c>
      <c r="W108" s="79">
        <v>1</v>
      </c>
      <c r="X108" s="79">
        <v>22727.272727272728</v>
      </c>
      <c r="Y108" s="79">
        <v>94</v>
      </c>
      <c r="Z108" s="79">
        <v>254</v>
      </c>
      <c r="AA108" s="79">
        <v>0</v>
      </c>
      <c r="AB108" s="79">
        <v>0</v>
      </c>
      <c r="AC108" s="79">
        <v>207</v>
      </c>
      <c r="AD108" s="79">
        <v>0</v>
      </c>
      <c r="AE108" s="79">
        <v>0</v>
      </c>
      <c r="AF108" s="79">
        <v>0</v>
      </c>
      <c r="AG108" s="79">
        <v>97.37552493266179</v>
      </c>
    </row>
    <row r="109" spans="1:33" ht="12.75" hidden="1" customHeight="1" x14ac:dyDescent="0.25">
      <c r="A109" s="77" t="s">
        <v>108</v>
      </c>
      <c r="B109" s="78">
        <v>43123</v>
      </c>
      <c r="C109" s="79">
        <v>2</v>
      </c>
      <c r="D109" s="79">
        <v>5</v>
      </c>
      <c r="E109" s="79">
        <v>9</v>
      </c>
      <c r="F109" s="79">
        <v>7954.545454545454</v>
      </c>
      <c r="G109" s="79">
        <v>61742.424242424247</v>
      </c>
      <c r="H109" s="79">
        <v>20</v>
      </c>
      <c r="I109" s="79">
        <v>105</v>
      </c>
      <c r="J109" s="79">
        <v>503981.93949909427</v>
      </c>
      <c r="K109" s="79">
        <v>11.428571428571429</v>
      </c>
      <c r="L109" s="79">
        <v>2</v>
      </c>
      <c r="M109" s="79">
        <v>689.3955757575759</v>
      </c>
      <c r="N109" s="79">
        <v>6200.436303030303</v>
      </c>
      <c r="O109" s="79">
        <v>1.2302893848126568</v>
      </c>
      <c r="P109" s="79">
        <v>5</v>
      </c>
      <c r="Q109" s="79">
        <v>14918.827780303029</v>
      </c>
      <c r="R109" s="79">
        <v>37411.314257575759</v>
      </c>
      <c r="S109" s="79">
        <v>7.4231458164470574</v>
      </c>
      <c r="T109" s="79">
        <v>0</v>
      </c>
      <c r="U109" s="79">
        <v>0</v>
      </c>
      <c r="V109" s="79">
        <v>0</v>
      </c>
      <c r="W109" s="79">
        <v>10</v>
      </c>
      <c r="X109" s="79">
        <v>64015.15151515152</v>
      </c>
      <c r="Y109" s="79">
        <v>25</v>
      </c>
      <c r="Z109" s="79">
        <v>51</v>
      </c>
      <c r="AA109" s="79">
        <v>0</v>
      </c>
      <c r="AB109" s="79">
        <v>0</v>
      </c>
      <c r="AC109" s="79">
        <v>12</v>
      </c>
      <c r="AD109" s="79">
        <v>0</v>
      </c>
      <c r="AE109" s="79">
        <v>0</v>
      </c>
      <c r="AF109" s="79">
        <v>0</v>
      </c>
      <c r="AG109" s="79">
        <v>95.531335073189851</v>
      </c>
    </row>
    <row r="110" spans="1:33" ht="12.75" hidden="1" customHeight="1" x14ac:dyDescent="0.25">
      <c r="A110" s="77" t="s">
        <v>364</v>
      </c>
      <c r="B110" s="78">
        <v>44958</v>
      </c>
      <c r="C110" s="79">
        <v>1</v>
      </c>
      <c r="D110" s="79">
        <v>0</v>
      </c>
      <c r="E110" s="79">
        <v>1</v>
      </c>
      <c r="F110" s="79">
        <v>3030.3030303030305</v>
      </c>
      <c r="G110" s="79">
        <v>3030.3030303030305</v>
      </c>
      <c r="H110" s="79">
        <v>0</v>
      </c>
      <c r="I110" s="79">
        <v>185</v>
      </c>
      <c r="J110" s="79">
        <v>408747.02575764718</v>
      </c>
      <c r="K110" s="79">
        <v>42.162162162162161</v>
      </c>
      <c r="L110" s="79">
        <v>4</v>
      </c>
      <c r="M110" s="79">
        <v>770.46674999999925</v>
      </c>
      <c r="N110" s="79">
        <v>4384.7648712121209</v>
      </c>
      <c r="O110" s="79">
        <v>1.0727331564271543</v>
      </c>
      <c r="P110" s="79">
        <v>5</v>
      </c>
      <c r="Q110" s="79">
        <v>4091.6516893939393</v>
      </c>
      <c r="R110" s="79">
        <v>6799.9006818181824</v>
      </c>
      <c r="S110" s="79">
        <v>1.6635963697140039</v>
      </c>
      <c r="T110" s="79">
        <v>0</v>
      </c>
      <c r="U110" s="79">
        <v>0</v>
      </c>
      <c r="V110" s="79">
        <v>0</v>
      </c>
      <c r="W110" s="79">
        <v>0</v>
      </c>
      <c r="X110" s="79">
        <v>0</v>
      </c>
      <c r="Y110" s="79">
        <v>88</v>
      </c>
      <c r="Z110" s="79">
        <v>286</v>
      </c>
      <c r="AA110" s="79">
        <v>0</v>
      </c>
      <c r="AB110" s="79">
        <v>0</v>
      </c>
      <c r="AC110" s="79">
        <v>78</v>
      </c>
      <c r="AD110" s="79">
        <v>0</v>
      </c>
      <c r="AE110" s="79">
        <v>0</v>
      </c>
      <c r="AF110" s="79">
        <v>0</v>
      </c>
      <c r="AG110" s="79">
        <v>98.428215491102222</v>
      </c>
    </row>
    <row r="111" spans="1:33" ht="12.75" hidden="1" customHeight="1" x14ac:dyDescent="0.25">
      <c r="A111" s="77" t="s">
        <v>345</v>
      </c>
      <c r="B111" s="78">
        <v>44563</v>
      </c>
      <c r="C111" s="79">
        <v>1</v>
      </c>
      <c r="D111" s="79">
        <v>9</v>
      </c>
      <c r="E111" s="79">
        <v>12</v>
      </c>
      <c r="F111" s="79">
        <v>4545.454545454545</v>
      </c>
      <c r="G111" s="79">
        <v>49242.424242424226</v>
      </c>
      <c r="H111" s="79">
        <v>42.857142857142854</v>
      </c>
      <c r="I111" s="79">
        <v>180</v>
      </c>
      <c r="J111" s="79">
        <v>573797.51471936889</v>
      </c>
      <c r="K111" s="79">
        <v>10.555555555555554</v>
      </c>
      <c r="L111" s="79">
        <v>5</v>
      </c>
      <c r="M111" s="79">
        <v>1586.5481219726976</v>
      </c>
      <c r="N111" s="79">
        <v>16231.823901515148</v>
      </c>
      <c r="O111" s="79">
        <v>2.8288417926406946</v>
      </c>
      <c r="P111" s="79">
        <v>5</v>
      </c>
      <c r="Q111" s="79">
        <v>4480.3559794526809</v>
      </c>
      <c r="R111" s="79">
        <v>9670.6832597557077</v>
      </c>
      <c r="S111" s="79">
        <v>1.6853825629561008</v>
      </c>
      <c r="T111" s="79">
        <v>0</v>
      </c>
      <c r="U111" s="79">
        <v>0</v>
      </c>
      <c r="V111" s="79">
        <v>0</v>
      </c>
      <c r="W111" s="79">
        <v>10</v>
      </c>
      <c r="X111" s="79">
        <v>41666.666666666664</v>
      </c>
      <c r="Y111" s="79">
        <v>95</v>
      </c>
      <c r="Z111" s="79">
        <v>195</v>
      </c>
      <c r="AA111" s="79">
        <v>0</v>
      </c>
      <c r="AB111" s="79">
        <v>0</v>
      </c>
      <c r="AC111" s="79">
        <v>19</v>
      </c>
      <c r="AD111" s="79">
        <v>0</v>
      </c>
      <c r="AE111" s="79">
        <v>0</v>
      </c>
      <c r="AF111" s="79">
        <v>0</v>
      </c>
      <c r="AG111" s="79">
        <v>98.570461281709228</v>
      </c>
    </row>
    <row r="112" spans="1:33" ht="12.75" hidden="1" customHeight="1" x14ac:dyDescent="0.25">
      <c r="A112" s="77" t="s">
        <v>109</v>
      </c>
      <c r="B112" s="78">
        <v>40842</v>
      </c>
      <c r="C112" s="79">
        <v>13</v>
      </c>
      <c r="D112" s="79">
        <v>8</v>
      </c>
      <c r="E112" s="79">
        <v>15</v>
      </c>
      <c r="F112" s="79">
        <v>46212.121212121223</v>
      </c>
      <c r="G112" s="79">
        <v>57575.757575757576</v>
      </c>
      <c r="H112" s="79">
        <v>28.571428571428569</v>
      </c>
      <c r="I112" s="79">
        <v>240</v>
      </c>
      <c r="J112" s="79">
        <v>860720.3520623598</v>
      </c>
      <c r="K112" s="79">
        <v>52.083333333333343</v>
      </c>
      <c r="L112" s="79">
        <v>6</v>
      </c>
      <c r="M112" s="79">
        <v>1608.0385378787878</v>
      </c>
      <c r="N112" s="79">
        <v>20642.551901515148</v>
      </c>
      <c r="O112" s="79">
        <v>2.3982878820111346</v>
      </c>
      <c r="P112" s="79">
        <v>11</v>
      </c>
      <c r="Q112" s="79">
        <v>8755.8672373004501</v>
      </c>
      <c r="R112" s="79">
        <v>18214.588911542873</v>
      </c>
      <c r="S112" s="79">
        <v>2.1162028837704554</v>
      </c>
      <c r="T112" s="79">
        <v>1</v>
      </c>
      <c r="U112" s="79">
        <v>3363.6363636363635</v>
      </c>
      <c r="V112" s="79">
        <v>0</v>
      </c>
      <c r="W112" s="79">
        <v>14</v>
      </c>
      <c r="X112" s="79">
        <v>64772.727272727272</v>
      </c>
      <c r="Y112" s="79">
        <v>125</v>
      </c>
      <c r="Z112" s="79">
        <v>267</v>
      </c>
      <c r="AA112" s="79">
        <v>0</v>
      </c>
      <c r="AB112" s="79">
        <v>0</v>
      </c>
      <c r="AC112" s="79">
        <v>125</v>
      </c>
      <c r="AD112" s="79">
        <v>0</v>
      </c>
      <c r="AE112" s="79">
        <v>0</v>
      </c>
      <c r="AF112" s="79">
        <v>0</v>
      </c>
      <c r="AG112" s="79">
        <v>97.711153430129656</v>
      </c>
    </row>
    <row r="113" spans="1:33" ht="12.75" hidden="1" customHeight="1" x14ac:dyDescent="0.25">
      <c r="A113" s="77" t="s">
        <v>357</v>
      </c>
      <c r="B113" s="78">
        <v>43108</v>
      </c>
      <c r="C113" s="79">
        <v>2</v>
      </c>
      <c r="D113" s="79">
        <v>3</v>
      </c>
      <c r="E113" s="79">
        <v>4</v>
      </c>
      <c r="F113" s="79">
        <v>4545.454545454545</v>
      </c>
      <c r="G113" s="79">
        <v>22727.272727272728</v>
      </c>
      <c r="H113" s="79">
        <v>25</v>
      </c>
      <c r="I113" s="79">
        <v>149</v>
      </c>
      <c r="J113" s="79">
        <v>456818.22117322008</v>
      </c>
      <c r="K113" s="79">
        <v>14.76510067114094</v>
      </c>
      <c r="L113" s="79">
        <v>1</v>
      </c>
      <c r="M113" s="79">
        <v>240.92065151515152</v>
      </c>
      <c r="N113" s="79">
        <v>5218.345159090909</v>
      </c>
      <c r="O113" s="79">
        <v>1.1423242150212249</v>
      </c>
      <c r="P113" s="79">
        <v>7</v>
      </c>
      <c r="Q113" s="79">
        <v>7404.210454545454</v>
      </c>
      <c r="R113" s="79">
        <v>27879.641416666669</v>
      </c>
      <c r="S113" s="79">
        <v>6.1030055554844065</v>
      </c>
      <c r="T113" s="79">
        <v>0</v>
      </c>
      <c r="U113" s="79">
        <v>0</v>
      </c>
      <c r="V113" s="79">
        <v>0</v>
      </c>
      <c r="W113" s="79">
        <v>4</v>
      </c>
      <c r="X113" s="79">
        <v>22727.272727272728</v>
      </c>
      <c r="Y113" s="79">
        <v>53</v>
      </c>
      <c r="Z113" s="79">
        <v>133</v>
      </c>
      <c r="AA113" s="79">
        <v>0</v>
      </c>
      <c r="AB113" s="79">
        <v>0</v>
      </c>
      <c r="AC113" s="79">
        <v>22</v>
      </c>
      <c r="AD113" s="79">
        <v>0</v>
      </c>
      <c r="AE113" s="79">
        <v>0</v>
      </c>
      <c r="AF113" s="79">
        <v>0</v>
      </c>
      <c r="AG113" s="79">
        <v>97.548507087039283</v>
      </c>
    </row>
    <row r="114" spans="1:33" ht="12.75" hidden="1" customHeight="1" x14ac:dyDescent="0.25">
      <c r="A114" s="77" t="s">
        <v>110</v>
      </c>
      <c r="B114" s="78">
        <v>38903</v>
      </c>
      <c r="C114" s="79">
        <v>12</v>
      </c>
      <c r="D114" s="79">
        <v>9</v>
      </c>
      <c r="E114" s="79">
        <v>16</v>
      </c>
      <c r="F114" s="79">
        <v>34848.484848484855</v>
      </c>
      <c r="G114" s="79">
        <v>50757.575757575774</v>
      </c>
      <c r="H114" s="79">
        <v>7.1428571428571423</v>
      </c>
      <c r="I114" s="79">
        <v>328</v>
      </c>
      <c r="J114" s="79">
        <v>669471.94401297998</v>
      </c>
      <c r="K114" s="79">
        <v>58.231707317073166</v>
      </c>
      <c r="L114" s="79">
        <v>11</v>
      </c>
      <c r="M114" s="79">
        <v>2329.5711595780294</v>
      </c>
      <c r="N114" s="79">
        <v>18539.823396089225</v>
      </c>
      <c r="O114" s="79">
        <v>2.7693204415642798</v>
      </c>
      <c r="P114" s="79">
        <v>5</v>
      </c>
      <c r="Q114" s="79">
        <v>9758.984848484848</v>
      </c>
      <c r="R114" s="79">
        <v>17950.651515151512</v>
      </c>
      <c r="S114" s="79">
        <v>2.681314979019267</v>
      </c>
      <c r="T114" s="79">
        <v>0</v>
      </c>
      <c r="U114" s="79">
        <v>0</v>
      </c>
      <c r="V114" s="79">
        <v>0</v>
      </c>
      <c r="W114" s="79">
        <v>16</v>
      </c>
      <c r="X114" s="79">
        <v>50757.57575757576</v>
      </c>
      <c r="Y114" s="79">
        <v>84</v>
      </c>
      <c r="Z114" s="79">
        <v>249</v>
      </c>
      <c r="AA114" s="79">
        <v>0</v>
      </c>
      <c r="AB114" s="79">
        <v>0</v>
      </c>
      <c r="AC114" s="79">
        <v>191</v>
      </c>
      <c r="AD114" s="79">
        <v>0</v>
      </c>
      <c r="AE114" s="79">
        <v>0</v>
      </c>
      <c r="AF114" s="79">
        <v>0</v>
      </c>
      <c r="AG114" s="79">
        <v>97.815987429498804</v>
      </c>
    </row>
    <row r="115" spans="1:33" ht="12.75" hidden="1" customHeight="1" x14ac:dyDescent="0.25">
      <c r="A115" s="77" t="s">
        <v>251</v>
      </c>
      <c r="B115" s="78">
        <v>41715</v>
      </c>
      <c r="C115" s="79">
        <v>6</v>
      </c>
      <c r="D115" s="79">
        <v>7</v>
      </c>
      <c r="E115" s="79">
        <v>17</v>
      </c>
      <c r="F115" s="79">
        <v>18181.818181818184</v>
      </c>
      <c r="G115" s="79">
        <v>68939.393939393936</v>
      </c>
      <c r="H115" s="79">
        <v>25</v>
      </c>
      <c r="I115" s="79">
        <v>340</v>
      </c>
      <c r="J115" s="79">
        <v>874475.87430303055</v>
      </c>
      <c r="K115" s="79">
        <v>30</v>
      </c>
      <c r="L115" s="79">
        <v>0</v>
      </c>
      <c r="M115" s="79">
        <v>0</v>
      </c>
      <c r="N115" s="79">
        <v>0</v>
      </c>
      <c r="O115" s="79">
        <v>0</v>
      </c>
      <c r="P115" s="79">
        <v>0</v>
      </c>
      <c r="Q115" s="79">
        <v>0</v>
      </c>
      <c r="R115" s="79">
        <v>0</v>
      </c>
      <c r="S115" s="79">
        <v>0</v>
      </c>
      <c r="T115" s="79">
        <v>0</v>
      </c>
      <c r="U115" s="79">
        <v>0</v>
      </c>
      <c r="V115" s="79">
        <v>0</v>
      </c>
      <c r="W115" s="79">
        <v>21</v>
      </c>
      <c r="X115" s="79">
        <v>79545.454545454544</v>
      </c>
      <c r="Y115" s="79">
        <v>127</v>
      </c>
      <c r="Z115" s="79">
        <v>300</v>
      </c>
      <c r="AA115" s="79">
        <v>0</v>
      </c>
      <c r="AB115" s="79">
        <v>0</v>
      </c>
      <c r="AC115" s="79">
        <v>102</v>
      </c>
      <c r="AD115" s="79">
        <v>0</v>
      </c>
      <c r="AE115" s="79">
        <v>0</v>
      </c>
      <c r="AF115" s="79">
        <v>0</v>
      </c>
      <c r="AG115" s="79">
        <v>100</v>
      </c>
    </row>
    <row r="116" spans="1:33" ht="12.75" hidden="1" customHeight="1" x14ac:dyDescent="0.25">
      <c r="A116" s="77" t="s">
        <v>113</v>
      </c>
      <c r="B116" s="78">
        <v>41694</v>
      </c>
      <c r="C116" s="79">
        <v>1</v>
      </c>
      <c r="D116" s="79">
        <v>0</v>
      </c>
      <c r="E116" s="79">
        <v>2</v>
      </c>
      <c r="F116" s="79">
        <v>4545.454545454545</v>
      </c>
      <c r="G116" s="79">
        <v>8333.3333333333321</v>
      </c>
      <c r="H116" s="79">
        <v>0</v>
      </c>
      <c r="I116" s="79">
        <v>188</v>
      </c>
      <c r="J116" s="79">
        <v>691665.00719439518</v>
      </c>
      <c r="K116" s="79">
        <v>42.553191489361694</v>
      </c>
      <c r="L116" s="79">
        <v>11</v>
      </c>
      <c r="M116" s="79">
        <v>2423.2329569646695</v>
      </c>
      <c r="N116" s="79">
        <v>24170.006235533532</v>
      </c>
      <c r="O116" s="79">
        <v>3.4944671169030901</v>
      </c>
      <c r="P116" s="79">
        <v>7</v>
      </c>
      <c r="Q116" s="79">
        <v>15114.194441212654</v>
      </c>
      <c r="R116" s="79">
        <v>22037.010672634784</v>
      </c>
      <c r="S116" s="79">
        <v>3.1860814763527854</v>
      </c>
      <c r="T116" s="79">
        <v>0</v>
      </c>
      <c r="U116" s="79">
        <v>0</v>
      </c>
      <c r="V116" s="79">
        <v>0</v>
      </c>
      <c r="W116" s="79">
        <v>2</v>
      </c>
      <c r="X116" s="79">
        <v>8333.3333333333321</v>
      </c>
      <c r="Y116" s="79">
        <v>66</v>
      </c>
      <c r="Z116" s="79">
        <v>150</v>
      </c>
      <c r="AA116" s="79">
        <v>0</v>
      </c>
      <c r="AB116" s="79">
        <v>0</v>
      </c>
      <c r="AC116" s="79">
        <v>80</v>
      </c>
      <c r="AD116" s="79">
        <v>0</v>
      </c>
      <c r="AE116" s="79">
        <v>0</v>
      </c>
      <c r="AF116" s="79">
        <v>0</v>
      </c>
      <c r="AG116" s="79">
        <v>96.42546037257344</v>
      </c>
    </row>
    <row r="117" spans="1:33" ht="12.75" hidden="1" customHeight="1" x14ac:dyDescent="0.25">
      <c r="A117" s="77" t="s">
        <v>114</v>
      </c>
      <c r="B117" s="78">
        <v>42114</v>
      </c>
      <c r="C117" s="79">
        <v>0</v>
      </c>
      <c r="D117" s="79">
        <v>0</v>
      </c>
      <c r="E117" s="79">
        <v>0</v>
      </c>
      <c r="F117" s="79">
        <v>0</v>
      </c>
      <c r="G117" s="79">
        <v>0</v>
      </c>
      <c r="H117" s="79">
        <v>0</v>
      </c>
      <c r="I117" s="79">
        <v>234</v>
      </c>
      <c r="J117" s="79">
        <v>772843.45577778632</v>
      </c>
      <c r="K117" s="79">
        <v>26.068376068376075</v>
      </c>
      <c r="L117" s="79">
        <v>23</v>
      </c>
      <c r="M117" s="79">
        <v>4389.2047348484857</v>
      </c>
      <c r="N117" s="79">
        <v>47681.691128787883</v>
      </c>
      <c r="O117" s="79">
        <v>6.1696441591526741</v>
      </c>
      <c r="P117" s="79">
        <v>16</v>
      </c>
      <c r="Q117" s="79">
        <v>27656.135872902636</v>
      </c>
      <c r="R117" s="79">
        <v>57660.803781993542</v>
      </c>
      <c r="S117" s="79">
        <v>7.4608645969530718</v>
      </c>
      <c r="T117" s="79">
        <v>0</v>
      </c>
      <c r="U117" s="79">
        <v>0</v>
      </c>
      <c r="V117" s="79">
        <v>0</v>
      </c>
      <c r="W117" s="79">
        <v>0</v>
      </c>
      <c r="X117" s="79">
        <v>0</v>
      </c>
      <c r="Y117" s="79">
        <v>154</v>
      </c>
      <c r="Z117" s="79">
        <v>306</v>
      </c>
      <c r="AA117" s="79">
        <v>0</v>
      </c>
      <c r="AB117" s="79">
        <v>0</v>
      </c>
      <c r="AC117" s="79">
        <v>61</v>
      </c>
      <c r="AD117" s="79">
        <v>0</v>
      </c>
      <c r="AE117" s="79">
        <v>0</v>
      </c>
      <c r="AF117" s="79">
        <v>0</v>
      </c>
      <c r="AG117" s="79">
        <v>93.036851819338779</v>
      </c>
    </row>
    <row r="118" spans="1:33" ht="12.75" hidden="1" customHeight="1" x14ac:dyDescent="0.25">
      <c r="A118" s="77" t="s">
        <v>115</v>
      </c>
      <c r="B118" s="78">
        <v>43704</v>
      </c>
      <c r="C118" s="79">
        <v>7</v>
      </c>
      <c r="D118" s="79">
        <v>8</v>
      </c>
      <c r="E118" s="79">
        <v>16</v>
      </c>
      <c r="F118" s="79">
        <v>28484.848484848488</v>
      </c>
      <c r="G118" s="79">
        <v>70909.090909090897</v>
      </c>
      <c r="H118" s="79">
        <v>20</v>
      </c>
      <c r="I118" s="79">
        <v>270</v>
      </c>
      <c r="J118" s="79">
        <v>694210.36604803253</v>
      </c>
      <c r="K118" s="79">
        <v>56.296296296296298</v>
      </c>
      <c r="L118" s="79">
        <v>12</v>
      </c>
      <c r="M118" s="79">
        <v>2537.5016213266181</v>
      </c>
      <c r="N118" s="79">
        <v>29165.003856175099</v>
      </c>
      <c r="O118" s="79">
        <v>4.2011766580502439</v>
      </c>
      <c r="P118" s="79">
        <v>12</v>
      </c>
      <c r="Q118" s="79">
        <v>10414.234358524518</v>
      </c>
      <c r="R118" s="79">
        <v>18361.969623676032</v>
      </c>
      <c r="S118" s="79">
        <v>2.6450151887253099</v>
      </c>
      <c r="T118" s="79">
        <v>0</v>
      </c>
      <c r="U118" s="79">
        <v>0</v>
      </c>
      <c r="V118" s="79">
        <v>0</v>
      </c>
      <c r="W118" s="79">
        <v>17</v>
      </c>
      <c r="X118" s="79">
        <v>86060.606060606049</v>
      </c>
      <c r="Y118" s="79">
        <v>52</v>
      </c>
      <c r="Z118" s="79">
        <v>132</v>
      </c>
      <c r="AA118" s="79">
        <v>0</v>
      </c>
      <c r="AB118" s="79">
        <v>0</v>
      </c>
      <c r="AC118" s="79">
        <v>152</v>
      </c>
      <c r="AD118" s="79">
        <v>0</v>
      </c>
      <c r="AE118" s="79">
        <v>0</v>
      </c>
      <c r="AF118" s="79">
        <v>0</v>
      </c>
      <c r="AG118" s="79">
        <v>96.703039643842189</v>
      </c>
    </row>
    <row r="119" spans="1:33" ht="12.75" hidden="1" customHeight="1" x14ac:dyDescent="0.25">
      <c r="A119" s="77" t="s">
        <v>211</v>
      </c>
      <c r="B119" s="78">
        <v>44173</v>
      </c>
      <c r="C119" s="79">
        <v>13</v>
      </c>
      <c r="D119" s="79">
        <v>9</v>
      </c>
      <c r="E119" s="79">
        <v>17</v>
      </c>
      <c r="F119" s="79">
        <v>42045.454545454551</v>
      </c>
      <c r="G119" s="79">
        <v>71969.696969696961</v>
      </c>
      <c r="H119" s="79">
        <v>0</v>
      </c>
      <c r="I119" s="79">
        <v>249</v>
      </c>
      <c r="J119" s="79">
        <v>639988.72577036335</v>
      </c>
      <c r="K119" s="79">
        <v>64.257028112449802</v>
      </c>
      <c r="L119" s="79">
        <v>12</v>
      </c>
      <c r="M119" s="79">
        <v>2191.1950757575755</v>
      </c>
      <c r="N119" s="79">
        <v>34533.428439393938</v>
      </c>
      <c r="O119" s="79">
        <v>5.3959432485041932</v>
      </c>
      <c r="P119" s="79">
        <v>11</v>
      </c>
      <c r="Q119" s="79">
        <v>6451.1964990645383</v>
      </c>
      <c r="R119" s="79">
        <v>7674.7956054971319</v>
      </c>
      <c r="S119" s="79">
        <v>1.1992079385865546</v>
      </c>
      <c r="T119" s="79">
        <v>0</v>
      </c>
      <c r="U119" s="79">
        <v>0</v>
      </c>
      <c r="V119" s="79">
        <v>0</v>
      </c>
      <c r="W119" s="79">
        <v>11</v>
      </c>
      <c r="X119" s="79">
        <v>52272.727272727272</v>
      </c>
      <c r="Y119" s="79">
        <v>89</v>
      </c>
      <c r="Z119" s="79">
        <v>282</v>
      </c>
      <c r="AA119" s="79">
        <v>0</v>
      </c>
      <c r="AB119" s="79">
        <v>0</v>
      </c>
      <c r="AC119" s="79">
        <v>160</v>
      </c>
      <c r="AD119" s="79">
        <v>0</v>
      </c>
      <c r="AE119" s="79">
        <v>0</v>
      </c>
      <c r="AF119" s="79">
        <v>0</v>
      </c>
      <c r="AG119" s="79">
        <v>97.551415370667371</v>
      </c>
    </row>
    <row r="120" spans="1:33" ht="12.75" hidden="1" customHeight="1" x14ac:dyDescent="0.25">
      <c r="A120" s="77" t="s">
        <v>116</v>
      </c>
      <c r="B120" s="78">
        <v>41857</v>
      </c>
      <c r="C120" s="79">
        <v>3</v>
      </c>
      <c r="D120" s="79">
        <v>5</v>
      </c>
      <c r="E120" s="79">
        <v>9</v>
      </c>
      <c r="F120" s="79">
        <v>9090.9090909090919</v>
      </c>
      <c r="G120" s="79">
        <v>81515.151515151505</v>
      </c>
      <c r="H120" s="79">
        <v>0</v>
      </c>
      <c r="I120" s="79">
        <v>192</v>
      </c>
      <c r="J120" s="79">
        <v>985514.97298871621</v>
      </c>
      <c r="K120" s="79">
        <v>38.541666666666671</v>
      </c>
      <c r="L120" s="79">
        <v>7</v>
      </c>
      <c r="M120" s="79">
        <v>2202.4066455771163</v>
      </c>
      <c r="N120" s="79">
        <v>19908.411715003513</v>
      </c>
      <c r="O120" s="79">
        <v>2.0201024094670408</v>
      </c>
      <c r="P120" s="79">
        <v>3</v>
      </c>
      <c r="Q120" s="79">
        <v>5305.6464613592843</v>
      </c>
      <c r="R120" s="79">
        <v>7643.4647866295254</v>
      </c>
      <c r="S120" s="79">
        <v>0.77558078731666713</v>
      </c>
      <c r="T120" s="79">
        <v>0</v>
      </c>
      <c r="U120" s="79">
        <v>0</v>
      </c>
      <c r="V120" s="79">
        <v>0</v>
      </c>
      <c r="W120" s="79">
        <v>8</v>
      </c>
      <c r="X120" s="79">
        <v>48181.818181818184</v>
      </c>
      <c r="Y120" s="79">
        <v>76</v>
      </c>
      <c r="Z120" s="79">
        <v>193</v>
      </c>
      <c r="AA120" s="79">
        <v>0</v>
      </c>
      <c r="AB120" s="79">
        <v>0</v>
      </c>
      <c r="AC120" s="79">
        <v>74</v>
      </c>
      <c r="AD120" s="79">
        <v>0</v>
      </c>
      <c r="AE120" s="79">
        <v>0</v>
      </c>
      <c r="AF120" s="79">
        <v>0</v>
      </c>
      <c r="AG120" s="79">
        <v>98.749138964489461</v>
      </c>
    </row>
    <row r="121" spans="1:33" ht="12.75" hidden="1" customHeight="1" x14ac:dyDescent="0.25">
      <c r="A121" s="77" t="s">
        <v>365</v>
      </c>
      <c r="B121" s="78">
        <v>44964</v>
      </c>
      <c r="C121" s="79">
        <v>10</v>
      </c>
      <c r="D121" s="79">
        <v>6</v>
      </c>
      <c r="E121" s="79">
        <v>12</v>
      </c>
      <c r="F121" s="79">
        <v>42954.545454545456</v>
      </c>
      <c r="G121" s="79">
        <v>52045.454545454551</v>
      </c>
      <c r="H121" s="79">
        <v>33.333333333333329</v>
      </c>
      <c r="I121" s="79">
        <v>162</v>
      </c>
      <c r="J121" s="79">
        <v>493602.00417865033</v>
      </c>
      <c r="K121" s="79">
        <v>48.76543209876543</v>
      </c>
      <c r="L121" s="79">
        <v>5</v>
      </c>
      <c r="M121" s="79">
        <v>1106.3918106060626</v>
      </c>
      <c r="N121" s="79">
        <v>15607.88450757576</v>
      </c>
      <c r="O121" s="79">
        <v>3.1620383173984781</v>
      </c>
      <c r="P121" s="79">
        <v>2</v>
      </c>
      <c r="Q121" s="79">
        <v>2879.0867392563728</v>
      </c>
      <c r="R121" s="79">
        <v>3627.4292847109186</v>
      </c>
      <c r="S121" s="79">
        <v>0.7348894968015639</v>
      </c>
      <c r="T121" s="79">
        <v>0</v>
      </c>
      <c r="U121" s="79">
        <v>0</v>
      </c>
      <c r="V121" s="79">
        <v>0</v>
      </c>
      <c r="W121" s="79">
        <v>13</v>
      </c>
      <c r="X121" s="79">
        <v>55454.545454545456</v>
      </c>
      <c r="Y121" s="79">
        <v>90</v>
      </c>
      <c r="Z121" s="79">
        <v>178</v>
      </c>
      <c r="AA121" s="79">
        <v>0</v>
      </c>
      <c r="AB121" s="79">
        <v>0</v>
      </c>
      <c r="AC121" s="79">
        <v>79</v>
      </c>
      <c r="AD121" s="79">
        <v>0</v>
      </c>
      <c r="AE121" s="79">
        <v>0</v>
      </c>
      <c r="AF121" s="79">
        <v>0</v>
      </c>
      <c r="AG121" s="79">
        <v>98.349142837464427</v>
      </c>
    </row>
    <row r="122" spans="1:33" ht="12.75" hidden="1" customHeight="1" x14ac:dyDescent="0.25">
      <c r="A122" s="77" t="s">
        <v>432</v>
      </c>
      <c r="B122" s="78">
        <v>0</v>
      </c>
      <c r="C122" s="79">
        <v>2</v>
      </c>
      <c r="D122" s="79">
        <v>2</v>
      </c>
      <c r="E122" s="79">
        <v>5</v>
      </c>
      <c r="F122" s="79">
        <v>6818.181818181818</v>
      </c>
      <c r="G122" s="79">
        <v>25000.000000000004</v>
      </c>
      <c r="H122" s="79">
        <v>0</v>
      </c>
      <c r="I122" s="79">
        <v>24</v>
      </c>
      <c r="J122" s="79">
        <v>89010.853007575744</v>
      </c>
      <c r="K122" s="79">
        <v>41.666666666666671</v>
      </c>
      <c r="L122" s="79">
        <v>0</v>
      </c>
      <c r="M122" s="79">
        <v>0</v>
      </c>
      <c r="N122" s="79">
        <v>0</v>
      </c>
      <c r="O122" s="79">
        <v>0</v>
      </c>
      <c r="P122" s="79">
        <v>0</v>
      </c>
      <c r="Q122" s="79">
        <v>0</v>
      </c>
      <c r="R122" s="79">
        <v>0</v>
      </c>
      <c r="S122" s="79">
        <v>0</v>
      </c>
      <c r="T122" s="79">
        <v>0</v>
      </c>
      <c r="U122" s="79">
        <v>0</v>
      </c>
      <c r="V122" s="79">
        <v>0</v>
      </c>
      <c r="W122" s="79">
        <v>4</v>
      </c>
      <c r="X122" s="79">
        <v>21212.121212121212</v>
      </c>
      <c r="Y122" s="79">
        <v>0</v>
      </c>
      <c r="Z122" s="79">
        <v>0</v>
      </c>
      <c r="AA122" s="79">
        <v>0</v>
      </c>
      <c r="AB122" s="79">
        <v>0</v>
      </c>
      <c r="AC122" s="79">
        <v>10</v>
      </c>
      <c r="AD122" s="79">
        <v>0</v>
      </c>
      <c r="AE122" s="79">
        <v>0</v>
      </c>
      <c r="AF122" s="79">
        <v>0</v>
      </c>
      <c r="AG122" s="79">
        <v>100.00000000000004</v>
      </c>
    </row>
    <row r="123" spans="1:33" ht="12.75" hidden="1" customHeight="1" x14ac:dyDescent="0.25">
      <c r="A123" s="266" t="s">
        <v>431</v>
      </c>
      <c r="B123" s="78">
        <v>0</v>
      </c>
      <c r="C123" s="79">
        <v>7</v>
      </c>
      <c r="D123" s="79">
        <v>7</v>
      </c>
      <c r="E123" s="79">
        <v>13</v>
      </c>
      <c r="F123" s="79">
        <v>25757.57575757576</v>
      </c>
      <c r="G123" s="79">
        <v>52272.727272727272</v>
      </c>
      <c r="H123" s="79">
        <v>0</v>
      </c>
      <c r="I123" s="79">
        <v>54</v>
      </c>
      <c r="J123" s="79">
        <v>211067.20006060609</v>
      </c>
      <c r="K123" s="79">
        <v>50</v>
      </c>
      <c r="L123" s="79">
        <v>0</v>
      </c>
      <c r="M123" s="79">
        <v>0</v>
      </c>
      <c r="N123" s="79">
        <v>0</v>
      </c>
      <c r="O123" s="79">
        <v>0</v>
      </c>
      <c r="P123" s="79">
        <v>0</v>
      </c>
      <c r="Q123" s="79">
        <v>0</v>
      </c>
      <c r="R123" s="79">
        <v>0</v>
      </c>
      <c r="S123" s="79">
        <v>0</v>
      </c>
      <c r="T123" s="79">
        <v>0</v>
      </c>
      <c r="U123" s="79">
        <v>0</v>
      </c>
      <c r="V123" s="79">
        <v>0</v>
      </c>
      <c r="W123" s="79">
        <v>13</v>
      </c>
      <c r="X123" s="79">
        <v>52272.727272727272</v>
      </c>
      <c r="Y123" s="79">
        <v>7</v>
      </c>
      <c r="Z123" s="79">
        <v>50</v>
      </c>
      <c r="AA123" s="79">
        <v>0</v>
      </c>
      <c r="AB123" s="79">
        <v>0</v>
      </c>
      <c r="AC123" s="79">
        <v>27</v>
      </c>
      <c r="AD123" s="79">
        <v>0</v>
      </c>
      <c r="AE123" s="79">
        <v>0</v>
      </c>
      <c r="AF123" s="79">
        <v>0</v>
      </c>
      <c r="AG123" s="79">
        <v>99.999999999999957</v>
      </c>
    </row>
    <row r="124" spans="1:33" ht="12.75" hidden="1" customHeight="1" x14ac:dyDescent="0.25">
      <c r="A124" s="77" t="s">
        <v>437</v>
      </c>
      <c r="B124" s="78">
        <v>46089</v>
      </c>
      <c r="C124" s="79">
        <v>1</v>
      </c>
      <c r="D124" s="79">
        <v>0</v>
      </c>
      <c r="E124" s="79">
        <v>4</v>
      </c>
      <c r="F124" s="79">
        <v>3030.3030303030305</v>
      </c>
      <c r="G124" s="79">
        <v>17803.030303030304</v>
      </c>
      <c r="H124" s="79">
        <v>0</v>
      </c>
      <c r="I124" s="79">
        <v>24</v>
      </c>
      <c r="J124" s="79">
        <v>87633.009075757567</v>
      </c>
      <c r="K124" s="79">
        <v>29.166666666666671</v>
      </c>
      <c r="L124" s="79">
        <v>0</v>
      </c>
      <c r="M124" s="79">
        <v>0</v>
      </c>
      <c r="N124" s="79">
        <v>0</v>
      </c>
      <c r="O124" s="79">
        <v>0</v>
      </c>
      <c r="P124" s="79">
        <v>0</v>
      </c>
      <c r="Q124" s="79">
        <v>0</v>
      </c>
      <c r="R124" s="79">
        <v>0</v>
      </c>
      <c r="S124" s="79">
        <v>0</v>
      </c>
      <c r="T124" s="79">
        <v>0</v>
      </c>
      <c r="U124" s="79">
        <v>0</v>
      </c>
      <c r="V124" s="79">
        <v>0</v>
      </c>
      <c r="W124" s="79">
        <v>4</v>
      </c>
      <c r="X124" s="79">
        <v>17803.030303030304</v>
      </c>
      <c r="Y124" s="79">
        <v>0</v>
      </c>
      <c r="Z124" s="79">
        <v>0</v>
      </c>
      <c r="AA124" s="79">
        <v>0</v>
      </c>
      <c r="AB124" s="79">
        <v>0</v>
      </c>
      <c r="AC124" s="79">
        <v>7</v>
      </c>
      <c r="AD124" s="79">
        <v>0</v>
      </c>
      <c r="AE124" s="79">
        <v>0</v>
      </c>
      <c r="AF124" s="79">
        <v>0</v>
      </c>
      <c r="AG124" s="79">
        <v>100</v>
      </c>
    </row>
    <row r="125" spans="1:33" ht="12.75" hidden="1" customHeight="1" x14ac:dyDescent="0.25">
      <c r="A125" s="77" t="s">
        <v>445</v>
      </c>
      <c r="B125" s="78">
        <v>46068</v>
      </c>
      <c r="C125" s="79">
        <v>0</v>
      </c>
      <c r="D125" s="79">
        <v>0</v>
      </c>
      <c r="E125" s="79">
        <v>0</v>
      </c>
      <c r="F125" s="79">
        <v>0</v>
      </c>
      <c r="G125" s="79">
        <v>0</v>
      </c>
      <c r="H125" s="79">
        <v>0</v>
      </c>
      <c r="I125" s="79">
        <v>24</v>
      </c>
      <c r="J125" s="79">
        <v>91008.882287878761</v>
      </c>
      <c r="K125" s="79">
        <v>16.666666666666664</v>
      </c>
      <c r="L125" s="79">
        <v>0</v>
      </c>
      <c r="M125" s="79">
        <v>0</v>
      </c>
      <c r="N125" s="79">
        <v>0</v>
      </c>
      <c r="O125" s="79">
        <v>0</v>
      </c>
      <c r="P125" s="79">
        <v>0</v>
      </c>
      <c r="Q125" s="79">
        <v>0</v>
      </c>
      <c r="R125" s="79">
        <v>0</v>
      </c>
      <c r="S125" s="79">
        <v>0</v>
      </c>
      <c r="T125" s="79">
        <v>0</v>
      </c>
      <c r="U125" s="79">
        <v>0</v>
      </c>
      <c r="V125" s="79">
        <v>0</v>
      </c>
      <c r="W125" s="79">
        <v>0</v>
      </c>
      <c r="X125" s="79">
        <v>0</v>
      </c>
      <c r="Y125" s="79">
        <v>0</v>
      </c>
      <c r="Z125" s="79">
        <v>0</v>
      </c>
      <c r="AA125" s="79">
        <v>0</v>
      </c>
      <c r="AB125" s="79">
        <v>0</v>
      </c>
      <c r="AC125" s="79">
        <v>4</v>
      </c>
      <c r="AD125" s="79">
        <v>0</v>
      </c>
      <c r="AE125" s="79">
        <v>0</v>
      </c>
      <c r="AF125" s="79">
        <v>0</v>
      </c>
      <c r="AG125" s="79">
        <v>100</v>
      </c>
    </row>
    <row r="126" spans="1:33" ht="12.75" hidden="1" customHeight="1" x14ac:dyDescent="0.25">
      <c r="A126" s="77" t="s">
        <v>433</v>
      </c>
      <c r="B126" s="78">
        <v>46068</v>
      </c>
      <c r="C126" s="79">
        <v>7</v>
      </c>
      <c r="D126" s="79">
        <v>4</v>
      </c>
      <c r="E126" s="79">
        <v>13</v>
      </c>
      <c r="F126" s="79">
        <v>22727.272727272728</v>
      </c>
      <c r="G126" s="79">
        <v>51515.15151515152</v>
      </c>
      <c r="H126" s="79">
        <v>0</v>
      </c>
      <c r="I126" s="79">
        <v>123</v>
      </c>
      <c r="J126" s="79">
        <v>463395.84175757592</v>
      </c>
      <c r="K126" s="79">
        <v>46.341463414634148</v>
      </c>
      <c r="L126" s="79">
        <v>1</v>
      </c>
      <c r="M126" s="79">
        <v>325.41116666666665</v>
      </c>
      <c r="N126" s="79">
        <v>9032.5792424242427</v>
      </c>
      <c r="O126" s="79">
        <v>1.9492145652764854</v>
      </c>
      <c r="P126" s="79">
        <v>0</v>
      </c>
      <c r="Q126" s="79">
        <v>0</v>
      </c>
      <c r="R126" s="79">
        <v>0</v>
      </c>
      <c r="S126" s="79">
        <v>0</v>
      </c>
      <c r="T126" s="79">
        <v>0</v>
      </c>
      <c r="U126" s="79">
        <v>0</v>
      </c>
      <c r="V126" s="79">
        <v>0</v>
      </c>
      <c r="W126" s="79">
        <v>16</v>
      </c>
      <c r="X126" s="79">
        <v>62121.21212121212</v>
      </c>
      <c r="Y126" s="79">
        <v>3</v>
      </c>
      <c r="Z126" s="79">
        <v>13</v>
      </c>
      <c r="AA126" s="79">
        <v>0</v>
      </c>
      <c r="AB126" s="79">
        <v>0</v>
      </c>
      <c r="AC126" s="79">
        <v>57</v>
      </c>
      <c r="AD126" s="79">
        <v>0</v>
      </c>
      <c r="AE126" s="79">
        <v>0</v>
      </c>
      <c r="AF126" s="79">
        <v>0</v>
      </c>
      <c r="AG126" s="79">
        <v>99.680128016463982</v>
      </c>
    </row>
    <row r="127" spans="1:33" ht="12.75" hidden="1" customHeight="1" x14ac:dyDescent="0.25">
      <c r="A127" s="77" t="s">
        <v>438</v>
      </c>
      <c r="B127" s="78">
        <v>46089</v>
      </c>
      <c r="C127" s="79">
        <v>4</v>
      </c>
      <c r="D127" s="79">
        <v>1</v>
      </c>
      <c r="E127" s="79">
        <v>6</v>
      </c>
      <c r="F127" s="79">
        <v>14696.969696969698</v>
      </c>
      <c r="G127" s="79">
        <v>21666.666666666664</v>
      </c>
      <c r="H127" s="79">
        <v>0</v>
      </c>
      <c r="I127" s="79">
        <v>17</v>
      </c>
      <c r="J127" s="79">
        <v>62929.626886363643</v>
      </c>
      <c r="K127" s="79">
        <v>35.294117647058826</v>
      </c>
      <c r="L127" s="79">
        <v>0</v>
      </c>
      <c r="M127" s="79">
        <v>0</v>
      </c>
      <c r="N127" s="79">
        <v>0</v>
      </c>
      <c r="O127" s="79">
        <v>0</v>
      </c>
      <c r="P127" s="79">
        <v>0</v>
      </c>
      <c r="Q127" s="79">
        <v>0</v>
      </c>
      <c r="R127" s="79">
        <v>0</v>
      </c>
      <c r="S127" s="79">
        <v>0</v>
      </c>
      <c r="T127" s="79">
        <v>0</v>
      </c>
      <c r="U127" s="79">
        <v>0</v>
      </c>
      <c r="V127" s="79">
        <v>0</v>
      </c>
      <c r="W127" s="79">
        <v>6</v>
      </c>
      <c r="X127" s="79">
        <v>21666.666666666664</v>
      </c>
      <c r="Y127" s="79">
        <v>0</v>
      </c>
      <c r="Z127" s="79">
        <v>0</v>
      </c>
      <c r="AA127" s="79">
        <v>0</v>
      </c>
      <c r="AB127" s="79">
        <v>0</v>
      </c>
      <c r="AC127" s="79">
        <v>6</v>
      </c>
      <c r="AD127" s="79">
        <v>0</v>
      </c>
      <c r="AE127" s="79">
        <v>0</v>
      </c>
      <c r="AF127" s="79">
        <v>0</v>
      </c>
      <c r="AG127" s="79">
        <v>100</v>
      </c>
    </row>
    <row r="128" spans="1:33" ht="12.75" hidden="1" customHeight="1" x14ac:dyDescent="0.25">
      <c r="A128" s="77" t="s">
        <v>446</v>
      </c>
      <c r="B128" s="78">
        <v>46068</v>
      </c>
      <c r="C128" s="79">
        <v>0</v>
      </c>
      <c r="D128" s="79">
        <v>0</v>
      </c>
      <c r="E128" s="79">
        <v>2</v>
      </c>
      <c r="F128" s="79">
        <v>0</v>
      </c>
      <c r="G128" s="79">
        <v>8333.3333333333321</v>
      </c>
      <c r="H128" s="79">
        <v>0</v>
      </c>
      <c r="I128" s="79">
        <v>28</v>
      </c>
      <c r="J128" s="79">
        <v>117391.75352272726</v>
      </c>
      <c r="K128" s="79">
        <v>10.714285714285714</v>
      </c>
      <c r="L128" s="79">
        <v>0</v>
      </c>
      <c r="M128" s="79">
        <v>0</v>
      </c>
      <c r="N128" s="79">
        <v>0</v>
      </c>
      <c r="O128" s="79">
        <v>0</v>
      </c>
      <c r="P128" s="79">
        <v>0</v>
      </c>
      <c r="Q128" s="79">
        <v>0</v>
      </c>
      <c r="R128" s="79">
        <v>0</v>
      </c>
      <c r="S128" s="79">
        <v>0</v>
      </c>
      <c r="T128" s="79">
        <v>0</v>
      </c>
      <c r="U128" s="79">
        <v>0</v>
      </c>
      <c r="V128" s="79">
        <v>0</v>
      </c>
      <c r="W128" s="79">
        <v>2</v>
      </c>
      <c r="X128" s="79">
        <v>8333.3333333333321</v>
      </c>
      <c r="Y128" s="79">
        <v>0</v>
      </c>
      <c r="Z128" s="79">
        <v>0</v>
      </c>
      <c r="AA128" s="79">
        <v>0</v>
      </c>
      <c r="AB128" s="79">
        <v>0</v>
      </c>
      <c r="AC128" s="79">
        <v>3</v>
      </c>
      <c r="AD128" s="79">
        <v>0</v>
      </c>
      <c r="AE128" s="79">
        <v>0</v>
      </c>
      <c r="AF128" s="79">
        <v>0</v>
      </c>
      <c r="AG128" s="79">
        <v>100.00000000000004</v>
      </c>
    </row>
    <row r="129" spans="1:33" ht="12.75" hidden="1" customHeight="1" x14ac:dyDescent="0.25">
      <c r="A129" s="77" t="s">
        <v>439</v>
      </c>
      <c r="B129" s="78">
        <v>46089</v>
      </c>
      <c r="C129" s="79">
        <v>1</v>
      </c>
      <c r="D129" s="79">
        <v>0</v>
      </c>
      <c r="E129" s="79">
        <v>2</v>
      </c>
      <c r="F129" s="79">
        <v>3030.3030303030305</v>
      </c>
      <c r="G129" s="79">
        <v>7575.757575757576</v>
      </c>
      <c r="H129" s="79">
        <v>0</v>
      </c>
      <c r="I129" s="79">
        <v>14</v>
      </c>
      <c r="J129" s="79">
        <v>52272.706022727274</v>
      </c>
      <c r="K129" s="79">
        <v>71.428571428571431</v>
      </c>
      <c r="L129" s="79">
        <v>0</v>
      </c>
      <c r="M129" s="79">
        <v>0</v>
      </c>
      <c r="N129" s="79">
        <v>0</v>
      </c>
      <c r="O129" s="79">
        <v>0</v>
      </c>
      <c r="P129" s="79">
        <v>0</v>
      </c>
      <c r="Q129" s="79">
        <v>0</v>
      </c>
      <c r="R129" s="79">
        <v>0</v>
      </c>
      <c r="S129" s="79">
        <v>0</v>
      </c>
      <c r="T129" s="79">
        <v>0</v>
      </c>
      <c r="U129" s="79">
        <v>0</v>
      </c>
      <c r="V129" s="79">
        <v>0</v>
      </c>
      <c r="W129" s="79">
        <v>1</v>
      </c>
      <c r="X129" s="79">
        <v>3030.3030303030305</v>
      </c>
      <c r="Y129" s="79">
        <v>0</v>
      </c>
      <c r="Z129" s="79">
        <v>0</v>
      </c>
      <c r="AA129" s="79">
        <v>0</v>
      </c>
      <c r="AB129" s="79">
        <v>0</v>
      </c>
      <c r="AC129" s="79">
        <v>10</v>
      </c>
      <c r="AD129" s="79">
        <v>0</v>
      </c>
      <c r="AE129" s="79">
        <v>0</v>
      </c>
      <c r="AF129" s="79">
        <v>0</v>
      </c>
      <c r="AG129" s="79">
        <v>99.999999999999957</v>
      </c>
    </row>
    <row r="130" spans="1:33" ht="12.75" hidden="1" customHeight="1" x14ac:dyDescent="0.25">
      <c r="A130" s="77" t="s">
        <v>434</v>
      </c>
      <c r="B130" s="78">
        <v>46068</v>
      </c>
      <c r="C130" s="79">
        <v>8</v>
      </c>
      <c r="D130" s="79">
        <v>4</v>
      </c>
      <c r="E130" s="79">
        <v>14</v>
      </c>
      <c r="F130" s="79">
        <v>25757.57575757576</v>
      </c>
      <c r="G130" s="79">
        <v>50757.575757575774</v>
      </c>
      <c r="H130" s="79">
        <v>0</v>
      </c>
      <c r="I130" s="79">
        <v>84</v>
      </c>
      <c r="J130" s="79">
        <v>225234.3097512908</v>
      </c>
      <c r="K130" s="79">
        <v>48.80952380952381</v>
      </c>
      <c r="L130" s="79">
        <v>0</v>
      </c>
      <c r="M130" s="79">
        <v>0</v>
      </c>
      <c r="N130" s="79">
        <v>0</v>
      </c>
      <c r="O130" s="79">
        <v>0</v>
      </c>
      <c r="P130" s="79">
        <v>0</v>
      </c>
      <c r="Q130" s="79">
        <v>0</v>
      </c>
      <c r="R130" s="79">
        <v>0</v>
      </c>
      <c r="S130" s="79">
        <v>0</v>
      </c>
      <c r="T130" s="79">
        <v>0</v>
      </c>
      <c r="U130" s="79">
        <v>0</v>
      </c>
      <c r="V130" s="79">
        <v>0</v>
      </c>
      <c r="W130" s="79">
        <v>12</v>
      </c>
      <c r="X130" s="79">
        <v>43939.393939393936</v>
      </c>
      <c r="Y130" s="79">
        <v>1</v>
      </c>
      <c r="Z130" s="79">
        <v>15</v>
      </c>
      <c r="AA130" s="79">
        <v>0</v>
      </c>
      <c r="AB130" s="79">
        <v>0</v>
      </c>
      <c r="AC130" s="79">
        <v>41</v>
      </c>
      <c r="AD130" s="79">
        <v>0</v>
      </c>
      <c r="AE130" s="79">
        <v>0</v>
      </c>
      <c r="AF130" s="79">
        <v>0</v>
      </c>
      <c r="AG130" s="79">
        <v>100.00000000000004</v>
      </c>
    </row>
    <row r="131" spans="1:33" ht="15.75" hidden="1" customHeight="1" x14ac:dyDescent="0.25">
      <c r="A131" s="77" t="s">
        <v>440</v>
      </c>
      <c r="B131" s="78">
        <v>46084</v>
      </c>
      <c r="C131" s="79">
        <v>7</v>
      </c>
      <c r="D131" s="79">
        <v>13</v>
      </c>
      <c r="E131" s="79">
        <v>17</v>
      </c>
      <c r="F131" s="79">
        <v>25757.575757575756</v>
      </c>
      <c r="G131" s="79">
        <v>67727.272727272735</v>
      </c>
      <c r="H131" s="79">
        <v>100</v>
      </c>
      <c r="I131" s="79">
        <v>36</v>
      </c>
      <c r="J131" s="79">
        <v>139802.77065151514</v>
      </c>
      <c r="K131" s="79">
        <v>41.666666666666671</v>
      </c>
      <c r="L131" s="79">
        <v>0</v>
      </c>
      <c r="M131" s="79">
        <v>0</v>
      </c>
      <c r="N131" s="79">
        <v>0</v>
      </c>
      <c r="O131" s="79">
        <v>0</v>
      </c>
      <c r="P131" s="79">
        <v>1</v>
      </c>
      <c r="Q131" s="79">
        <v>334.63476515151518</v>
      </c>
      <c r="R131" s="79">
        <v>2929.1729772727272</v>
      </c>
      <c r="S131" s="79">
        <v>2.0952181159372336</v>
      </c>
      <c r="T131" s="79">
        <v>0</v>
      </c>
      <c r="U131" s="79">
        <v>0</v>
      </c>
      <c r="V131" s="79">
        <v>0</v>
      </c>
      <c r="W131" s="79">
        <v>16</v>
      </c>
      <c r="X131" s="79">
        <v>66212.121212121201</v>
      </c>
      <c r="Y131" s="79">
        <v>2</v>
      </c>
      <c r="Z131" s="79">
        <v>2</v>
      </c>
      <c r="AA131" s="79">
        <v>0</v>
      </c>
      <c r="AB131" s="79">
        <v>0</v>
      </c>
      <c r="AC131" s="79">
        <v>15</v>
      </c>
      <c r="AD131" s="79">
        <v>0</v>
      </c>
      <c r="AE131" s="79">
        <v>0</v>
      </c>
      <c r="AF131" s="79">
        <v>0</v>
      </c>
      <c r="AG131" s="79">
        <v>95.174501276119585</v>
      </c>
    </row>
    <row r="132" spans="1:33" ht="16.5" hidden="1" customHeight="1" x14ac:dyDescent="0.25">
      <c r="A132" s="77" t="s">
        <v>441</v>
      </c>
      <c r="B132" s="78">
        <v>46084</v>
      </c>
      <c r="C132" s="79">
        <v>5</v>
      </c>
      <c r="D132" s="79">
        <v>1</v>
      </c>
      <c r="E132" s="79">
        <v>9</v>
      </c>
      <c r="F132" s="79">
        <v>16666.666666666668</v>
      </c>
      <c r="G132" s="79">
        <v>31818.18181818182</v>
      </c>
      <c r="H132" s="79">
        <v>0</v>
      </c>
      <c r="I132" s="79">
        <v>40</v>
      </c>
      <c r="J132" s="79">
        <v>156013.16750757574</v>
      </c>
      <c r="K132" s="79">
        <v>50</v>
      </c>
      <c r="L132" s="79">
        <v>1</v>
      </c>
      <c r="M132" s="79">
        <v>144.02715909090909</v>
      </c>
      <c r="N132" s="79">
        <v>4401.4697348484851</v>
      </c>
      <c r="O132" s="79">
        <v>2.8212168275057663</v>
      </c>
      <c r="P132" s="79">
        <v>1</v>
      </c>
      <c r="Q132" s="79">
        <v>359.39616666666666</v>
      </c>
      <c r="R132" s="79">
        <v>2899.6318636363635</v>
      </c>
      <c r="S132" s="79">
        <v>1.858581496651917</v>
      </c>
      <c r="T132" s="79">
        <v>0</v>
      </c>
      <c r="U132" s="79">
        <v>0</v>
      </c>
      <c r="V132" s="79">
        <v>0</v>
      </c>
      <c r="W132" s="79">
        <v>10</v>
      </c>
      <c r="X132" s="79">
        <v>35606.060606060608</v>
      </c>
      <c r="Y132" s="79">
        <v>0</v>
      </c>
      <c r="Z132" s="79">
        <v>0</v>
      </c>
      <c r="AA132" s="79">
        <v>0</v>
      </c>
      <c r="AB132" s="79">
        <v>0</v>
      </c>
      <c r="AC132" s="79">
        <v>20</v>
      </c>
      <c r="AD132" s="79">
        <v>0</v>
      </c>
      <c r="AE132" s="79">
        <v>0</v>
      </c>
      <c r="AF132" s="79">
        <v>0</v>
      </c>
      <c r="AG132" s="79">
        <v>94.650250871625587</v>
      </c>
    </row>
    <row r="133" spans="1:33" ht="16.5" hidden="1" customHeight="1" x14ac:dyDescent="0.25">
      <c r="A133" s="77" t="s">
        <v>442</v>
      </c>
      <c r="B133" s="78">
        <v>46126</v>
      </c>
      <c r="C133" s="79">
        <v>3</v>
      </c>
      <c r="D133" s="79">
        <v>0</v>
      </c>
      <c r="E133" s="79">
        <v>7</v>
      </c>
      <c r="F133" s="79">
        <v>9090.9090909090919</v>
      </c>
      <c r="G133" s="79">
        <v>25000.000000000004</v>
      </c>
      <c r="H133" s="79">
        <v>0</v>
      </c>
      <c r="I133" s="79">
        <v>26</v>
      </c>
      <c r="J133" s="79">
        <v>128127.21156818182</v>
      </c>
      <c r="K133" s="79">
        <v>15.384615384615385</v>
      </c>
      <c r="L133" s="79">
        <v>0</v>
      </c>
      <c r="M133" s="79">
        <v>0</v>
      </c>
      <c r="N133" s="79">
        <v>0</v>
      </c>
      <c r="O133" s="79">
        <v>0</v>
      </c>
      <c r="P133" s="79">
        <v>0</v>
      </c>
      <c r="Q133" s="79">
        <v>0</v>
      </c>
      <c r="R133" s="79">
        <v>0</v>
      </c>
      <c r="S133" s="79">
        <v>0</v>
      </c>
      <c r="T133" s="79">
        <v>0</v>
      </c>
      <c r="U133" s="79">
        <v>0</v>
      </c>
      <c r="V133" s="79">
        <v>0</v>
      </c>
      <c r="W133" s="79">
        <v>7</v>
      </c>
      <c r="X133" s="79">
        <v>25000</v>
      </c>
      <c r="Y133" s="79">
        <v>0</v>
      </c>
      <c r="Z133" s="79">
        <v>0</v>
      </c>
      <c r="AA133" s="79">
        <v>0</v>
      </c>
      <c r="AB133" s="79">
        <v>0</v>
      </c>
      <c r="AC133" s="79">
        <v>4</v>
      </c>
      <c r="AD133" s="79">
        <v>0</v>
      </c>
      <c r="AE133" s="79">
        <v>0</v>
      </c>
      <c r="AF133" s="79">
        <v>0</v>
      </c>
      <c r="AG133" s="79">
        <v>99.999999999999957</v>
      </c>
    </row>
    <row r="134" spans="1:33" ht="16.5" hidden="1" customHeight="1" x14ac:dyDescent="0.25">
      <c r="A134" s="77" t="s">
        <v>444</v>
      </c>
      <c r="B134" s="78">
        <v>46127</v>
      </c>
      <c r="C134" s="79">
        <v>1</v>
      </c>
      <c r="D134" s="79">
        <v>0</v>
      </c>
      <c r="E134" s="79">
        <v>5</v>
      </c>
      <c r="F134" s="79">
        <v>3787.878787878788</v>
      </c>
      <c r="G134" s="79">
        <v>18181.81818181818</v>
      </c>
      <c r="H134" s="79">
        <v>0</v>
      </c>
      <c r="I134" s="79">
        <v>22</v>
      </c>
      <c r="J134" s="79">
        <v>94221.270204545464</v>
      </c>
      <c r="K134" s="79">
        <v>18.181818181818183</v>
      </c>
      <c r="L134" s="79">
        <v>1</v>
      </c>
      <c r="M134" s="79">
        <v>106.16025757575758</v>
      </c>
      <c r="N134" s="79">
        <v>4545.454545454545</v>
      </c>
      <c r="O134" s="79">
        <v>4.824233992586592</v>
      </c>
      <c r="P134" s="79">
        <v>0</v>
      </c>
      <c r="Q134" s="79">
        <v>0</v>
      </c>
      <c r="R134" s="79">
        <v>0</v>
      </c>
      <c r="S134" s="79">
        <v>0</v>
      </c>
      <c r="T134" s="79">
        <v>0</v>
      </c>
      <c r="U134" s="79">
        <v>0</v>
      </c>
      <c r="V134" s="79">
        <v>0</v>
      </c>
      <c r="W134" s="79">
        <v>4</v>
      </c>
      <c r="X134" s="79">
        <v>14393.939393939392</v>
      </c>
      <c r="Y134" s="79">
        <v>0</v>
      </c>
      <c r="Z134" s="79">
        <v>0</v>
      </c>
      <c r="AA134" s="79">
        <v>0</v>
      </c>
      <c r="AB134" s="79">
        <v>0</v>
      </c>
      <c r="AC134" s="79">
        <v>4</v>
      </c>
      <c r="AD134" s="79">
        <v>0</v>
      </c>
      <c r="AE134" s="79">
        <v>0</v>
      </c>
      <c r="AF134" s="79">
        <v>0</v>
      </c>
      <c r="AG134" s="79">
        <v>96.759649048851941</v>
      </c>
    </row>
    <row r="135" spans="1:33" ht="16.5" hidden="1" customHeight="1" x14ac:dyDescent="0.25">
      <c r="A135" s="77" t="s">
        <v>443</v>
      </c>
      <c r="B135" s="78">
        <v>46131</v>
      </c>
      <c r="C135" s="79">
        <v>1</v>
      </c>
      <c r="D135" s="79">
        <v>1</v>
      </c>
      <c r="E135" s="79">
        <v>3</v>
      </c>
      <c r="F135" s="79">
        <v>3787.878787878788</v>
      </c>
      <c r="G135" s="79">
        <v>11363.636363636364</v>
      </c>
      <c r="H135" s="79">
        <v>0</v>
      </c>
      <c r="I135" s="79">
        <v>13</v>
      </c>
      <c r="J135" s="79">
        <v>52626.290537878784</v>
      </c>
      <c r="K135" s="79">
        <v>15.384615384615385</v>
      </c>
      <c r="L135" s="79">
        <v>0</v>
      </c>
      <c r="M135" s="79">
        <v>0</v>
      </c>
      <c r="N135" s="79">
        <v>0</v>
      </c>
      <c r="O135" s="79">
        <v>0</v>
      </c>
      <c r="P135" s="79">
        <v>0</v>
      </c>
      <c r="Q135" s="79">
        <v>0</v>
      </c>
      <c r="R135" s="79">
        <v>0</v>
      </c>
      <c r="S135" s="79">
        <v>0</v>
      </c>
      <c r="T135" s="79">
        <v>0</v>
      </c>
      <c r="U135" s="79">
        <v>0</v>
      </c>
      <c r="V135" s="79">
        <v>0</v>
      </c>
      <c r="W135" s="79">
        <v>3</v>
      </c>
      <c r="X135" s="79">
        <v>11363.636363636364</v>
      </c>
      <c r="Y135" s="79">
        <v>0</v>
      </c>
      <c r="Z135" s="79">
        <v>0</v>
      </c>
      <c r="AA135" s="79">
        <v>0</v>
      </c>
      <c r="AB135" s="79">
        <v>0</v>
      </c>
      <c r="AC135" s="79">
        <v>2</v>
      </c>
      <c r="AD135" s="79">
        <v>0</v>
      </c>
      <c r="AE135" s="79">
        <v>0</v>
      </c>
      <c r="AF135" s="79">
        <v>0</v>
      </c>
      <c r="AG135" s="79">
        <v>100</v>
      </c>
    </row>
    <row r="136" spans="1:33" ht="16.5" hidden="1" customHeight="1" x14ac:dyDescent="0.25">
      <c r="A136" s="77" t="s">
        <v>451</v>
      </c>
      <c r="B136" s="78">
        <v>46145</v>
      </c>
      <c r="C136" s="79">
        <v>4</v>
      </c>
      <c r="D136" s="79">
        <v>4</v>
      </c>
      <c r="E136" s="79">
        <v>8</v>
      </c>
      <c r="F136" s="79">
        <v>12121.212121212122</v>
      </c>
      <c r="G136" s="79">
        <v>26515.151515151512</v>
      </c>
      <c r="H136" s="79">
        <v>0</v>
      </c>
      <c r="I136" s="79">
        <v>23</v>
      </c>
      <c r="J136" s="79">
        <v>80252.528333333335</v>
      </c>
      <c r="K136" s="79">
        <v>43.478260869565219</v>
      </c>
      <c r="L136" s="79">
        <v>0</v>
      </c>
      <c r="M136" s="79">
        <v>0</v>
      </c>
      <c r="N136" s="79">
        <v>0</v>
      </c>
      <c r="O136" s="79">
        <v>0</v>
      </c>
      <c r="P136" s="79">
        <v>0</v>
      </c>
      <c r="Q136" s="79">
        <v>0</v>
      </c>
      <c r="R136" s="79">
        <v>0</v>
      </c>
      <c r="S136" s="79">
        <v>0</v>
      </c>
      <c r="T136" s="79">
        <v>0</v>
      </c>
      <c r="U136" s="79">
        <v>0</v>
      </c>
      <c r="V136" s="79">
        <v>0</v>
      </c>
      <c r="W136" s="79">
        <v>8</v>
      </c>
      <c r="X136" s="79">
        <v>26515.151515151512</v>
      </c>
      <c r="Y136" s="79">
        <v>0</v>
      </c>
      <c r="Z136" s="79">
        <v>0</v>
      </c>
      <c r="AA136" s="79">
        <v>0</v>
      </c>
      <c r="AB136" s="79">
        <v>0</v>
      </c>
      <c r="AC136" s="79">
        <v>10</v>
      </c>
      <c r="AD136" s="79">
        <v>0</v>
      </c>
      <c r="AE136" s="79">
        <v>0</v>
      </c>
      <c r="AF136" s="79">
        <v>0</v>
      </c>
      <c r="AG136" s="79">
        <v>100</v>
      </c>
    </row>
    <row r="137" spans="1:33" ht="16.5" hidden="1" customHeight="1" x14ac:dyDescent="0.25">
      <c r="A137" s="299" t="s">
        <v>463</v>
      </c>
      <c r="B137" s="78">
        <v>46145</v>
      </c>
      <c r="C137" s="79">
        <v>7</v>
      </c>
      <c r="D137" s="79">
        <v>2</v>
      </c>
      <c r="E137" s="79">
        <v>11</v>
      </c>
      <c r="F137" s="79">
        <v>19696.9696969697</v>
      </c>
      <c r="G137" s="79">
        <v>32954.545454545456</v>
      </c>
      <c r="H137" s="79">
        <v>0</v>
      </c>
      <c r="I137" s="79">
        <v>29</v>
      </c>
      <c r="J137" s="79">
        <v>87481.069386363641</v>
      </c>
      <c r="K137" s="79">
        <v>75.862068965517238</v>
      </c>
      <c r="L137" s="79">
        <v>0</v>
      </c>
      <c r="M137" s="79">
        <v>0</v>
      </c>
      <c r="N137" s="79">
        <v>0</v>
      </c>
      <c r="O137" s="79">
        <v>0</v>
      </c>
      <c r="P137" s="79">
        <v>0</v>
      </c>
      <c r="Q137" s="79">
        <v>0</v>
      </c>
      <c r="R137" s="79">
        <v>0</v>
      </c>
      <c r="S137" s="79">
        <v>0</v>
      </c>
      <c r="T137" s="79">
        <v>0</v>
      </c>
      <c r="U137" s="79">
        <v>0</v>
      </c>
      <c r="V137" s="79">
        <v>0</v>
      </c>
      <c r="W137" s="79">
        <v>8</v>
      </c>
      <c r="X137" s="79">
        <v>24242.424242424244</v>
      </c>
      <c r="Y137" s="79">
        <v>0</v>
      </c>
      <c r="Z137" s="79">
        <v>0</v>
      </c>
      <c r="AA137" s="79">
        <v>0</v>
      </c>
      <c r="AB137" s="79">
        <v>0</v>
      </c>
      <c r="AC137" s="79">
        <v>22</v>
      </c>
      <c r="AD137" s="79">
        <v>0</v>
      </c>
      <c r="AE137" s="79">
        <v>0</v>
      </c>
      <c r="AF137" s="79">
        <v>0</v>
      </c>
      <c r="AG137" s="79">
        <v>100</v>
      </c>
    </row>
    <row r="138" spans="1:33" ht="16.5" hidden="1" customHeight="1" x14ac:dyDescent="0.25">
      <c r="A138" s="77" t="s">
        <v>452</v>
      </c>
      <c r="B138" s="78">
        <v>46145</v>
      </c>
      <c r="C138" s="79">
        <v>7</v>
      </c>
      <c r="D138" s="79">
        <v>3</v>
      </c>
      <c r="E138" s="79">
        <v>11</v>
      </c>
      <c r="F138" s="79">
        <v>18939.39393939394</v>
      </c>
      <c r="G138" s="79">
        <v>30303.030303030308</v>
      </c>
      <c r="H138" s="79">
        <v>0</v>
      </c>
      <c r="I138" s="79">
        <v>26</v>
      </c>
      <c r="J138" s="79">
        <v>76587.000681818186</v>
      </c>
      <c r="K138" s="79">
        <v>73.076923076923066</v>
      </c>
      <c r="L138" s="79">
        <v>0</v>
      </c>
      <c r="M138" s="79">
        <v>0</v>
      </c>
      <c r="N138" s="79">
        <v>0</v>
      </c>
      <c r="O138" s="79">
        <v>0</v>
      </c>
      <c r="P138" s="79">
        <v>0</v>
      </c>
      <c r="Q138" s="79">
        <v>0</v>
      </c>
      <c r="R138" s="79">
        <v>0</v>
      </c>
      <c r="S138" s="79">
        <v>0</v>
      </c>
      <c r="T138" s="79">
        <v>0</v>
      </c>
      <c r="U138" s="79">
        <v>0</v>
      </c>
      <c r="V138" s="79">
        <v>0</v>
      </c>
      <c r="W138" s="79">
        <v>9</v>
      </c>
      <c r="X138" s="79">
        <v>27272.727272727276</v>
      </c>
      <c r="Y138" s="79">
        <v>0</v>
      </c>
      <c r="Z138" s="79">
        <v>0</v>
      </c>
      <c r="AA138" s="79">
        <v>0</v>
      </c>
      <c r="AB138" s="79">
        <v>0</v>
      </c>
      <c r="AC138" s="79">
        <v>19</v>
      </c>
      <c r="AD138" s="79">
        <v>0</v>
      </c>
      <c r="AE138" s="79">
        <v>0</v>
      </c>
      <c r="AF138" s="79">
        <v>0</v>
      </c>
      <c r="AG138" s="79">
        <v>100</v>
      </c>
    </row>
    <row r="139" spans="1:33" ht="12.75" customHeight="1" x14ac:dyDescent="0.25">
      <c r="A139" s="39" t="s">
        <v>449</v>
      </c>
      <c r="B139" s="300">
        <v>46145</v>
      </c>
      <c r="C139" s="301">
        <v>4</v>
      </c>
      <c r="D139" s="301">
        <v>5</v>
      </c>
      <c r="E139" s="301">
        <v>8</v>
      </c>
      <c r="F139" s="301">
        <v>21969.696969696968</v>
      </c>
      <c r="G139" s="301">
        <v>42424.242424242431</v>
      </c>
      <c r="H139" s="301">
        <v>0</v>
      </c>
      <c r="I139" s="301">
        <v>11</v>
      </c>
      <c r="J139" s="301">
        <v>51966.342431818171</v>
      </c>
      <c r="K139" s="301">
        <v>36.363636363636367</v>
      </c>
      <c r="L139" s="301">
        <v>0</v>
      </c>
      <c r="M139" s="301">
        <v>0</v>
      </c>
      <c r="N139" s="301">
        <v>0</v>
      </c>
      <c r="O139" s="301">
        <v>0</v>
      </c>
      <c r="P139" s="301">
        <v>0</v>
      </c>
      <c r="Q139" s="301">
        <v>0</v>
      </c>
      <c r="R139" s="301">
        <v>0</v>
      </c>
      <c r="S139" s="301">
        <v>0</v>
      </c>
      <c r="T139" s="301">
        <v>0</v>
      </c>
      <c r="U139" s="301">
        <v>0</v>
      </c>
      <c r="V139" s="301">
        <v>0</v>
      </c>
      <c r="W139" s="301">
        <v>7</v>
      </c>
      <c r="X139" s="301">
        <v>36742.424242424247</v>
      </c>
      <c r="Y139" s="301">
        <v>0</v>
      </c>
      <c r="Z139" s="301">
        <v>0</v>
      </c>
      <c r="AA139" s="301">
        <v>0</v>
      </c>
      <c r="AB139" s="301">
        <v>0</v>
      </c>
      <c r="AC139" s="301">
        <v>4</v>
      </c>
      <c r="AD139" s="301">
        <v>0</v>
      </c>
      <c r="AE139" s="301">
        <v>0</v>
      </c>
      <c r="AF139" s="301">
        <v>0</v>
      </c>
      <c r="AG139" s="301">
        <v>100</v>
      </c>
    </row>
    <row r="140" spans="1:33" s="301" customFormat="1" ht="12.75" hidden="1" customHeight="1" x14ac:dyDescent="0.25">
      <c r="A140" s="301" t="s">
        <v>276</v>
      </c>
      <c r="B140" s="300">
        <v>44013</v>
      </c>
      <c r="C140" s="301">
        <v>0</v>
      </c>
      <c r="D140" s="301">
        <v>0</v>
      </c>
      <c r="E140" s="301">
        <v>0</v>
      </c>
      <c r="F140" s="301">
        <v>0</v>
      </c>
      <c r="G140" s="301">
        <v>0</v>
      </c>
      <c r="H140" s="301">
        <v>16.666666666666664</v>
      </c>
      <c r="I140" s="301">
        <v>7</v>
      </c>
      <c r="J140" s="301">
        <v>22916.413325757574</v>
      </c>
      <c r="K140" s="301">
        <v>0</v>
      </c>
      <c r="L140" s="301">
        <v>0</v>
      </c>
      <c r="M140" s="301">
        <v>0</v>
      </c>
      <c r="N140" s="301">
        <v>0</v>
      </c>
      <c r="O140" s="301">
        <v>0</v>
      </c>
      <c r="P140" s="301">
        <v>0</v>
      </c>
      <c r="Q140" s="301">
        <v>0</v>
      </c>
      <c r="R140" s="301">
        <v>0</v>
      </c>
      <c r="S140" s="301">
        <v>0</v>
      </c>
      <c r="T140" s="301">
        <v>0</v>
      </c>
      <c r="U140" s="301">
        <v>0</v>
      </c>
      <c r="V140" s="301">
        <v>0</v>
      </c>
      <c r="W140" s="301">
        <v>0</v>
      </c>
      <c r="X140" s="301">
        <v>0</v>
      </c>
      <c r="Y140" s="301">
        <v>6</v>
      </c>
      <c r="Z140" s="301">
        <v>151</v>
      </c>
      <c r="AA140" s="301">
        <v>0</v>
      </c>
      <c r="AB140" s="301">
        <v>0</v>
      </c>
      <c r="AC140" s="301">
        <v>0</v>
      </c>
      <c r="AD140" s="301">
        <v>0</v>
      </c>
      <c r="AE140" s="301">
        <v>0</v>
      </c>
      <c r="AF140" s="301">
        <v>0</v>
      </c>
      <c r="AG140" s="301">
        <v>99.999999999999986</v>
      </c>
    </row>
  </sheetData>
  <autoFilter ref="A13:AG140" xr:uid="{00000000-0009-0000-0000-000005000000}">
    <filterColumn colId="0">
      <filters>
        <filter val="Ahmad Hatrosh Muhammad"/>
        <filter val="Ahmed Abdul Hussain Mathkor"/>
        <filter val="Ali Abdul Khaliq Yousif"/>
        <filter val="Ali Abdul Zahra Jasim"/>
        <filter val="Ameer Mansour Thamer"/>
      </filters>
    </filterColumn>
  </autoFilter>
  <pageMargins left="0" right="0" top="0" bottom="0" header="0" footer="0"/>
  <pageSetup paperSize="0"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B9BE-4385-4011-A648-7F8AAB4D2ED7}">
  <dimension ref="A1:J39"/>
  <sheetViews>
    <sheetView workbookViewId="0">
      <selection activeCell="A8" sqref="A8:XFD8"/>
    </sheetView>
  </sheetViews>
  <sheetFormatPr defaultRowHeight="15" x14ac:dyDescent="0.25"/>
  <cols>
    <col min="1" max="1" width="26.7109375" customWidth="1"/>
    <col min="2" max="2" width="13.7109375" customWidth="1"/>
    <col min="4" max="4" width="16.28515625" customWidth="1"/>
    <col min="6" max="6" width="12.7109375" customWidth="1"/>
    <col min="7" max="7" width="12.28515625" customWidth="1"/>
    <col min="9" max="9" width="12.7109375" customWidth="1"/>
  </cols>
  <sheetData>
    <row r="1" spans="1:10" x14ac:dyDescent="0.25">
      <c r="A1" s="77" t="s">
        <v>485</v>
      </c>
      <c r="B1" s="323" t="s">
        <v>486</v>
      </c>
      <c r="C1" s="323" t="s">
        <v>486</v>
      </c>
      <c r="D1" s="323" t="s">
        <v>486</v>
      </c>
      <c r="E1" s="323" t="s">
        <v>486</v>
      </c>
      <c r="F1" s="323" t="s">
        <v>486</v>
      </c>
      <c r="G1" s="323" t="s">
        <v>486</v>
      </c>
      <c r="H1" s="323" t="s">
        <v>486</v>
      </c>
      <c r="I1" s="323" t="s">
        <v>486</v>
      </c>
      <c r="J1" s="323" t="s">
        <v>486</v>
      </c>
    </row>
    <row r="2" spans="1:10" x14ac:dyDescent="0.25">
      <c r="A2" s="308" t="s">
        <v>487</v>
      </c>
      <c r="B2" s="309" t="s">
        <v>488</v>
      </c>
      <c r="C2" s="308" t="s">
        <v>489</v>
      </c>
      <c r="D2" s="309" t="s">
        <v>490</v>
      </c>
      <c r="E2" s="308" t="s">
        <v>491</v>
      </c>
      <c r="F2" s="308" t="s">
        <v>492</v>
      </c>
      <c r="G2" s="308" t="s">
        <v>493</v>
      </c>
      <c r="H2" s="308" t="s">
        <v>494</v>
      </c>
      <c r="I2" s="309" t="s">
        <v>495</v>
      </c>
      <c r="J2" s="308" t="s">
        <v>496</v>
      </c>
    </row>
    <row r="3" spans="1:10" x14ac:dyDescent="0.25">
      <c r="A3" s="310" t="s">
        <v>465</v>
      </c>
      <c r="B3" s="311">
        <v>3380141.2653868459</v>
      </c>
      <c r="C3" s="312">
        <v>1094</v>
      </c>
      <c r="D3" s="311">
        <v>221136.36363636365</v>
      </c>
      <c r="E3" s="312">
        <v>39</v>
      </c>
      <c r="F3" s="313">
        <v>387627.67182999157</v>
      </c>
      <c r="G3" s="313">
        <v>35237.15616754612</v>
      </c>
      <c r="H3" s="314">
        <v>1.04247584349151E-2</v>
      </c>
      <c r="I3" s="311">
        <v>27407.468519053444</v>
      </c>
      <c r="J3" s="314">
        <v>8.10837961114526E-3</v>
      </c>
    </row>
    <row r="4" spans="1:10" x14ac:dyDescent="0.25">
      <c r="A4" s="310" t="s">
        <v>471</v>
      </c>
      <c r="B4" s="311">
        <v>2761599.8670226447</v>
      </c>
      <c r="C4" s="312">
        <v>656</v>
      </c>
      <c r="D4" s="311">
        <v>422840.90909090906</v>
      </c>
      <c r="E4" s="312">
        <v>79</v>
      </c>
      <c r="F4" s="313">
        <v>220593.61029024178</v>
      </c>
      <c r="G4" s="313">
        <v>50109.241569579171</v>
      </c>
      <c r="H4" s="314">
        <v>1.8145004338953455E-2</v>
      </c>
      <c r="I4" s="311">
        <v>50652.857113275822</v>
      </c>
      <c r="J4" s="314">
        <v>1.8341852387140371E-2</v>
      </c>
    </row>
    <row r="5" spans="1:10" x14ac:dyDescent="0.25">
      <c r="A5" s="310" t="s">
        <v>497</v>
      </c>
      <c r="B5" s="311">
        <v>2633977.0554833631</v>
      </c>
      <c r="C5" s="312">
        <v>747</v>
      </c>
      <c r="D5" s="311">
        <v>34090.909090909088</v>
      </c>
      <c r="E5" s="312">
        <v>1</v>
      </c>
      <c r="F5" s="313">
        <v>273463.58842309006</v>
      </c>
      <c r="G5" s="313">
        <v>153599.19886298684</v>
      </c>
      <c r="H5" s="314">
        <v>5.8314554617409052E-2</v>
      </c>
      <c r="I5" s="311">
        <v>28126.866746168227</v>
      </c>
      <c r="J5" s="314">
        <v>1.0678478268295563E-2</v>
      </c>
    </row>
    <row r="6" spans="1:10" x14ac:dyDescent="0.25">
      <c r="A6" s="310" t="s">
        <v>473</v>
      </c>
      <c r="B6" s="311">
        <v>2501386.0379366009</v>
      </c>
      <c r="C6" s="312">
        <v>798</v>
      </c>
      <c r="D6" s="311">
        <v>272045.45454545459</v>
      </c>
      <c r="E6" s="312">
        <v>54</v>
      </c>
      <c r="F6" s="313">
        <v>230742.60506918031</v>
      </c>
      <c r="G6" s="313">
        <v>98471.218983255298</v>
      </c>
      <c r="H6" s="314">
        <v>3.9366662118448713E-2</v>
      </c>
      <c r="I6" s="311">
        <v>29242.490601221929</v>
      </c>
      <c r="J6" s="314">
        <v>1.1690514841661196E-2</v>
      </c>
    </row>
    <row r="7" spans="1:10" x14ac:dyDescent="0.25">
      <c r="A7" s="310" t="s">
        <v>472</v>
      </c>
      <c r="B7" s="311">
        <v>4000682.7260071589</v>
      </c>
      <c r="C7" s="312">
        <v>733</v>
      </c>
      <c r="D7" s="311"/>
      <c r="E7" s="312"/>
      <c r="F7" s="313">
        <v>358786.90557971119</v>
      </c>
      <c r="G7" s="313">
        <v>188391.89059505481</v>
      </c>
      <c r="H7" s="314">
        <v>4.7089935267892999E-2</v>
      </c>
      <c r="I7" s="311">
        <v>190342.1787469429</v>
      </c>
      <c r="J7" s="314">
        <v>4.7577424100538959E-2</v>
      </c>
    </row>
    <row r="8" spans="1:10" x14ac:dyDescent="0.25">
      <c r="A8" s="310" t="s">
        <v>464</v>
      </c>
      <c r="B8" s="311">
        <v>2253151.1438712566</v>
      </c>
      <c r="C8" s="312">
        <v>601</v>
      </c>
      <c r="D8" s="311">
        <v>182196.96969696973</v>
      </c>
      <c r="E8" s="312">
        <v>38</v>
      </c>
      <c r="F8" s="313">
        <v>189766.47030155934</v>
      </c>
      <c r="G8" s="313">
        <v>67343.862030074422</v>
      </c>
      <c r="H8" s="314">
        <v>2.9888745907372827E-2</v>
      </c>
      <c r="I8" s="311">
        <v>109549.54531396873</v>
      </c>
      <c r="J8" s="314">
        <v>4.8620593257559248E-2</v>
      </c>
    </row>
    <row r="9" spans="1:10" x14ac:dyDescent="0.25">
      <c r="A9" s="310" t="s">
        <v>20</v>
      </c>
      <c r="B9" s="311">
        <v>2383676.611388199</v>
      </c>
      <c r="C9" s="312">
        <v>1083</v>
      </c>
      <c r="D9" s="311">
        <v>175000.00000000003</v>
      </c>
      <c r="E9" s="312">
        <v>52</v>
      </c>
      <c r="F9" s="313">
        <v>192136.76515159916</v>
      </c>
      <c r="G9" s="313">
        <v>77513.51641295696</v>
      </c>
      <c r="H9" s="314">
        <v>3.2518470015030623E-2</v>
      </c>
      <c r="I9" s="311">
        <v>12450.135977272728</v>
      </c>
      <c r="J9" s="314">
        <v>5.2230809824584607E-3</v>
      </c>
    </row>
    <row r="10" spans="1:10" x14ac:dyDescent="0.25">
      <c r="A10" s="310" t="s">
        <v>468</v>
      </c>
      <c r="B10" s="311">
        <v>3525029.2949219774</v>
      </c>
      <c r="C10" s="312">
        <v>1062</v>
      </c>
      <c r="D10" s="311">
        <v>318181.81818181823</v>
      </c>
      <c r="E10" s="312">
        <v>65</v>
      </c>
      <c r="F10" s="313">
        <v>271709.74602282245</v>
      </c>
      <c r="G10" s="313">
        <v>272345.10414436471</v>
      </c>
      <c r="H10" s="314">
        <v>7.7260380370936119E-2</v>
      </c>
      <c r="I10" s="311">
        <v>51047.975631264497</v>
      </c>
      <c r="J10" s="314">
        <v>1.448157486373298E-2</v>
      </c>
    </row>
    <row r="11" spans="1:10" x14ac:dyDescent="0.25">
      <c r="A11" s="310" t="s">
        <v>21</v>
      </c>
      <c r="B11" s="311">
        <v>3176382.3162081554</v>
      </c>
      <c r="C11" s="312">
        <v>848</v>
      </c>
      <c r="D11" s="311">
        <v>209848.48484848486</v>
      </c>
      <c r="E11" s="312">
        <v>37</v>
      </c>
      <c r="F11" s="313">
        <v>265886.45451410388</v>
      </c>
      <c r="G11" s="313">
        <v>103565.4637822486</v>
      </c>
      <c r="H11" s="314">
        <v>3.2604848369097182E-2</v>
      </c>
      <c r="I11" s="311">
        <v>121438.35921969698</v>
      </c>
      <c r="J11" s="314">
        <v>3.823165700175081E-2</v>
      </c>
    </row>
    <row r="12" spans="1:10" x14ac:dyDescent="0.25">
      <c r="A12" s="310" t="s">
        <v>475</v>
      </c>
      <c r="B12" s="311">
        <v>3217501.6878142944</v>
      </c>
      <c r="C12" s="312">
        <v>756</v>
      </c>
      <c r="D12" s="311">
        <v>233484.84848484848</v>
      </c>
      <c r="E12" s="312">
        <v>38</v>
      </c>
      <c r="F12" s="313">
        <v>261355.09861857977</v>
      </c>
      <c r="G12" s="313">
        <v>105834.43111214352</v>
      </c>
      <c r="H12" s="314">
        <v>3.2893356828054596E-2</v>
      </c>
      <c r="I12" s="311">
        <v>69892.186702646344</v>
      </c>
      <c r="J12" s="314">
        <v>2.1722501954653313E-2</v>
      </c>
    </row>
    <row r="13" spans="1:10" x14ac:dyDescent="0.25">
      <c r="A13" s="310" t="s">
        <v>134</v>
      </c>
      <c r="B13" s="311">
        <v>6064178.1130558383</v>
      </c>
      <c r="C13" s="312">
        <v>1959</v>
      </c>
      <c r="D13" s="311">
        <v>77045.454545454544</v>
      </c>
      <c r="E13" s="312">
        <v>18</v>
      </c>
      <c r="F13" s="313">
        <v>510872.86316501873</v>
      </c>
      <c r="G13" s="313">
        <v>353359.63121509081</v>
      </c>
      <c r="H13" s="314">
        <v>5.8269995476275205E-2</v>
      </c>
      <c r="I13" s="311">
        <v>403666.83381634904</v>
      </c>
      <c r="J13" s="314">
        <v>6.6565794455686708E-2</v>
      </c>
    </row>
    <row r="14" spans="1:10" x14ac:dyDescent="0.25">
      <c r="A14" s="310" t="s">
        <v>477</v>
      </c>
      <c r="B14" s="311">
        <v>1444438.606502159</v>
      </c>
      <c r="C14" s="312">
        <v>199</v>
      </c>
      <c r="D14" s="311">
        <v>26515.151515151516</v>
      </c>
      <c r="E14" s="312">
        <v>1</v>
      </c>
      <c r="F14" s="313">
        <v>114243.32623958074</v>
      </c>
      <c r="G14" s="313">
        <v>73888.471657493559</v>
      </c>
      <c r="H14" s="314">
        <v>5.1153764047072441E-2</v>
      </c>
      <c r="I14" s="311">
        <v>33910.765773028717</v>
      </c>
      <c r="J14" s="314">
        <v>2.3476778881690759E-2</v>
      </c>
    </row>
    <row r="15" spans="1:10" x14ac:dyDescent="0.25">
      <c r="A15" s="310" t="s">
        <v>474</v>
      </c>
      <c r="B15" s="311">
        <v>612814.96212121216</v>
      </c>
      <c r="C15" s="312">
        <v>210</v>
      </c>
      <c r="D15" s="311">
        <v>70757.57575757576</v>
      </c>
      <c r="E15" s="312">
        <v>17</v>
      </c>
      <c r="F15" s="313">
        <v>54338.82575757576</v>
      </c>
      <c r="G15" s="313">
        <v>6967.045454545455</v>
      </c>
      <c r="H15" s="314">
        <v>1.1368921918011858E-2</v>
      </c>
      <c r="I15" s="311"/>
      <c r="J15" s="314"/>
    </row>
    <row r="16" spans="1:10" x14ac:dyDescent="0.25">
      <c r="A16" s="310" t="s">
        <v>150</v>
      </c>
      <c r="B16" s="311">
        <v>1489149.6444346227</v>
      </c>
      <c r="C16" s="312">
        <v>474</v>
      </c>
      <c r="D16" s="311"/>
      <c r="E16" s="312"/>
      <c r="F16" s="313">
        <v>148030.55625903947</v>
      </c>
      <c r="G16" s="313">
        <v>67128.873469696962</v>
      </c>
      <c r="H16" s="314">
        <v>4.5078661987112391E-2</v>
      </c>
      <c r="I16" s="311">
        <v>370667.19868247939</v>
      </c>
      <c r="J16" s="314">
        <v>0.24891198817242344</v>
      </c>
    </row>
    <row r="17" spans="1:10" x14ac:dyDescent="0.25">
      <c r="A17" s="310" t="s">
        <v>478</v>
      </c>
      <c r="B17" s="311">
        <v>478954.7307878788</v>
      </c>
      <c r="C17" s="312">
        <v>80</v>
      </c>
      <c r="D17" s="311">
        <v>53030.303030303032</v>
      </c>
      <c r="E17" s="312">
        <v>4</v>
      </c>
      <c r="F17" s="313">
        <v>23434.848484848484</v>
      </c>
      <c r="G17" s="313"/>
      <c r="H17" s="314"/>
      <c r="I17" s="311">
        <v>24085.866090909094</v>
      </c>
      <c r="J17" s="314">
        <v>5.0288397927060732E-2</v>
      </c>
    </row>
    <row r="18" spans="1:10" x14ac:dyDescent="0.25">
      <c r="A18" s="310" t="s">
        <v>479</v>
      </c>
      <c r="B18" s="311">
        <v>174859.96512878788</v>
      </c>
      <c r="C18" s="312">
        <v>29</v>
      </c>
      <c r="D18" s="311">
        <v>51515.151515151512</v>
      </c>
      <c r="E18" s="312">
        <v>9</v>
      </c>
      <c r="F18" s="313">
        <v>332.00757575757575</v>
      </c>
      <c r="G18" s="313"/>
      <c r="H18" s="314"/>
      <c r="I18" s="311"/>
      <c r="J18" s="314"/>
    </row>
    <row r="19" spans="1:10" x14ac:dyDescent="0.25">
      <c r="A19" s="310" t="s">
        <v>276</v>
      </c>
      <c r="B19" s="311">
        <v>1752378.3536666669</v>
      </c>
      <c r="C19" s="312">
        <v>456</v>
      </c>
      <c r="D19" s="311">
        <v>287878.7878787879</v>
      </c>
      <c r="E19" s="312">
        <v>62</v>
      </c>
      <c r="F19" s="313">
        <v>103322.12621212123</v>
      </c>
      <c r="G19" s="313">
        <v>3384.7947727272726</v>
      </c>
      <c r="H19" s="314">
        <v>1.9315433597116437E-3</v>
      </c>
      <c r="I19" s="311"/>
      <c r="J19" s="314"/>
    </row>
    <row r="20" spans="1:10" x14ac:dyDescent="0.25">
      <c r="A20" s="310" t="s">
        <v>466</v>
      </c>
      <c r="B20" s="311">
        <v>4964667.1364876004</v>
      </c>
      <c r="C20" s="312">
        <v>1078</v>
      </c>
      <c r="D20" s="311">
        <v>421742.42424242414</v>
      </c>
      <c r="E20" s="312">
        <v>85</v>
      </c>
      <c r="F20" s="313">
        <v>418599.61578984646</v>
      </c>
      <c r="G20" s="313">
        <v>116205.98623643635</v>
      </c>
      <c r="H20" s="314">
        <v>2.3406601699917731E-2</v>
      </c>
      <c r="I20" s="311">
        <v>184662.89081325248</v>
      </c>
      <c r="J20" s="314">
        <v>3.7195422318664788E-2</v>
      </c>
    </row>
    <row r="21" spans="1:10" x14ac:dyDescent="0.25">
      <c r="A21" s="310" t="s">
        <v>144</v>
      </c>
      <c r="B21" s="311">
        <v>3626471.7226129663</v>
      </c>
      <c r="C21" s="312">
        <v>1552</v>
      </c>
      <c r="D21" s="311">
        <v>310871.21212121216</v>
      </c>
      <c r="E21" s="312">
        <v>82</v>
      </c>
      <c r="F21" s="313">
        <v>336136.26231715962</v>
      </c>
      <c r="G21" s="313">
        <v>40351.913969247587</v>
      </c>
      <c r="H21" s="314">
        <v>1.1127044978079408E-2</v>
      </c>
      <c r="I21" s="311">
        <v>48977.460753852363</v>
      </c>
      <c r="J21" s="314">
        <v>1.3505540508823502E-2</v>
      </c>
    </row>
    <row r="22" spans="1:10" x14ac:dyDescent="0.25">
      <c r="A22" s="310" t="s">
        <v>498</v>
      </c>
      <c r="B22" s="311">
        <v>167844.48800757577</v>
      </c>
      <c r="C22" s="312">
        <v>42</v>
      </c>
      <c r="D22" s="311"/>
      <c r="E22" s="312"/>
      <c r="F22" s="313">
        <v>12922.727272727276</v>
      </c>
      <c r="G22" s="313"/>
      <c r="H22" s="314"/>
      <c r="I22" s="311"/>
      <c r="J22" s="314"/>
    </row>
    <row r="23" spans="1:10" x14ac:dyDescent="0.25">
      <c r="A23" s="310" t="s">
        <v>499</v>
      </c>
      <c r="B23" s="311">
        <v>63256.627556784631</v>
      </c>
      <c r="C23" s="312">
        <v>67</v>
      </c>
      <c r="D23" s="311"/>
      <c r="E23" s="312"/>
      <c r="F23" s="313">
        <v>17996.765264218535</v>
      </c>
      <c r="G23" s="313">
        <v>6583.9509980122148</v>
      </c>
      <c r="H23" s="314">
        <v>0.10408318072445279</v>
      </c>
      <c r="I23" s="311">
        <v>31652.688911792127</v>
      </c>
      <c r="J23" s="314">
        <v>0.50038533722617329</v>
      </c>
    </row>
    <row r="24" spans="1:10" x14ac:dyDescent="0.25">
      <c r="A24" s="310" t="s">
        <v>227</v>
      </c>
      <c r="B24" s="311">
        <v>1252335.483892692</v>
      </c>
      <c r="C24" s="312">
        <v>262</v>
      </c>
      <c r="D24" s="311">
        <v>379772.72727272735</v>
      </c>
      <c r="E24" s="312">
        <v>55</v>
      </c>
      <c r="F24" s="313">
        <v>61392.424243717433</v>
      </c>
      <c r="G24" s="313">
        <v>20836.621864548888</v>
      </c>
      <c r="H24" s="314">
        <v>1.6638210872841723E-2</v>
      </c>
      <c r="I24" s="311">
        <v>24890.220578054072</v>
      </c>
      <c r="J24" s="314">
        <v>1.9875042189722719E-2</v>
      </c>
    </row>
    <row r="25" spans="1:10" x14ac:dyDescent="0.25">
      <c r="A25" s="310" t="s">
        <v>147</v>
      </c>
      <c r="B25" s="311">
        <v>3338265.9263560669</v>
      </c>
      <c r="C25" s="312">
        <v>738</v>
      </c>
      <c r="D25" s="311">
        <v>269696.96969696973</v>
      </c>
      <c r="E25" s="312">
        <v>32</v>
      </c>
      <c r="F25" s="313">
        <v>319053.62413793185</v>
      </c>
      <c r="G25" s="313">
        <v>36136.657191677041</v>
      </c>
      <c r="H25" s="314">
        <v>1.0824978593338889E-2</v>
      </c>
      <c r="I25" s="311">
        <v>55918.229867886344</v>
      </c>
      <c r="J25" s="314">
        <v>1.6750681671703939E-2</v>
      </c>
    </row>
    <row r="26" spans="1:10" x14ac:dyDescent="0.25">
      <c r="A26" s="310" t="s">
        <v>476</v>
      </c>
      <c r="B26" s="311">
        <v>749326.19878787873</v>
      </c>
      <c r="C26" s="312">
        <v>150</v>
      </c>
      <c r="D26" s="311">
        <v>271666.66666666669</v>
      </c>
      <c r="E26" s="312">
        <v>58</v>
      </c>
      <c r="F26" s="313">
        <v>15173.295454545456</v>
      </c>
      <c r="G26" s="313"/>
      <c r="H26" s="314"/>
      <c r="I26" s="311"/>
      <c r="J26" s="314"/>
    </row>
    <row r="27" spans="1:10" x14ac:dyDescent="0.25">
      <c r="A27" s="310" t="s">
        <v>71</v>
      </c>
      <c r="B27" s="311">
        <v>3445304.6193098691</v>
      </c>
      <c r="C27" s="312">
        <v>1095</v>
      </c>
      <c r="D27" s="311">
        <v>293787.87878787878</v>
      </c>
      <c r="E27" s="312">
        <v>61</v>
      </c>
      <c r="F27" s="313">
        <v>372923.00953593611</v>
      </c>
      <c r="G27" s="313">
        <v>5135.5224469696968</v>
      </c>
      <c r="H27" s="314">
        <v>1.4905858884542975E-3</v>
      </c>
      <c r="I27" s="311">
        <v>98743.098335447328</v>
      </c>
      <c r="J27" s="314">
        <v>2.8660193871398985E-2</v>
      </c>
    </row>
    <row r="28" spans="1:10" x14ac:dyDescent="0.25">
      <c r="A28" s="310" t="s">
        <v>470</v>
      </c>
      <c r="B28" s="311">
        <v>3064143.5396651994</v>
      </c>
      <c r="C28" s="312">
        <v>734</v>
      </c>
      <c r="D28" s="311">
        <v>188257.57575757583</v>
      </c>
      <c r="E28" s="312">
        <v>36</v>
      </c>
      <c r="F28" s="313">
        <v>257287.01849011282</v>
      </c>
      <c r="G28" s="313">
        <v>75606.855527574677</v>
      </c>
      <c r="H28" s="314">
        <v>2.4674710746689036E-2</v>
      </c>
      <c r="I28" s="311">
        <v>82173.247518509554</v>
      </c>
      <c r="J28" s="314">
        <v>2.6817688680305145E-2</v>
      </c>
    </row>
    <row r="29" spans="1:10" x14ac:dyDescent="0.25">
      <c r="A29" s="310" t="s">
        <v>467</v>
      </c>
      <c r="B29" s="311">
        <v>4385422.665237966</v>
      </c>
      <c r="C29" s="312">
        <v>1165</v>
      </c>
      <c r="D29" s="311">
        <v>154469.69696969699</v>
      </c>
      <c r="E29" s="312">
        <v>27</v>
      </c>
      <c r="F29" s="313">
        <v>353197.59221074969</v>
      </c>
      <c r="G29" s="313">
        <v>79873.033400390923</v>
      </c>
      <c r="H29" s="314">
        <v>1.8213303368344036E-2</v>
      </c>
      <c r="I29" s="311">
        <v>88751.685573269235</v>
      </c>
      <c r="J29" s="314">
        <v>2.0237886367665159E-2</v>
      </c>
    </row>
    <row r="30" spans="1:10" x14ac:dyDescent="0.25">
      <c r="A30" s="310" t="s">
        <v>469</v>
      </c>
      <c r="B30" s="311">
        <v>4207827.3125215089</v>
      </c>
      <c r="C30" s="312">
        <v>1069</v>
      </c>
      <c r="D30" s="311">
        <v>291212.12121212122</v>
      </c>
      <c r="E30" s="312">
        <v>46</v>
      </c>
      <c r="F30" s="313">
        <v>367242.02850670257</v>
      </c>
      <c r="G30" s="313">
        <v>130783.55054798785</v>
      </c>
      <c r="H30" s="314">
        <v>3.1081016599423323E-2</v>
      </c>
      <c r="I30" s="311">
        <v>44659.570600563195</v>
      </c>
      <c r="J30" s="314">
        <v>1.0613451380874583E-2</v>
      </c>
    </row>
    <row r="31" spans="1:10" x14ac:dyDescent="0.25">
      <c r="A31" s="310" t="s">
        <v>500</v>
      </c>
      <c r="B31" s="311">
        <v>719.69696969696975</v>
      </c>
      <c r="C31" s="312">
        <v>1</v>
      </c>
      <c r="D31" s="311"/>
      <c r="E31" s="312"/>
      <c r="F31" s="313"/>
      <c r="G31" s="313"/>
      <c r="H31" s="314"/>
      <c r="I31" s="311">
        <v>719.69696969696975</v>
      </c>
      <c r="J31" s="314">
        <v>1</v>
      </c>
    </row>
    <row r="32" spans="1:10" x14ac:dyDescent="0.25">
      <c r="A32" s="310" t="s">
        <v>501</v>
      </c>
      <c r="B32" s="311">
        <v>178688.63636363635</v>
      </c>
      <c r="C32" s="312">
        <v>64</v>
      </c>
      <c r="D32" s="311"/>
      <c r="E32" s="312"/>
      <c r="F32" s="313">
        <v>22134.848484848484</v>
      </c>
      <c r="G32" s="313">
        <v>11118.939393939394</v>
      </c>
      <c r="H32" s="314">
        <v>6.2225218235546005E-2</v>
      </c>
      <c r="I32" s="311">
        <v>129684.84848484848</v>
      </c>
      <c r="J32" s="314">
        <v>0.72575878983673148</v>
      </c>
    </row>
    <row r="33" spans="1:10" x14ac:dyDescent="0.25">
      <c r="A33" s="310" t="s">
        <v>502</v>
      </c>
      <c r="B33" s="311">
        <v>1919328.6506404609</v>
      </c>
      <c r="C33" s="312">
        <v>384</v>
      </c>
      <c r="D33" s="311"/>
      <c r="E33" s="312"/>
      <c r="F33" s="313">
        <v>158941.49376850188</v>
      </c>
      <c r="G33" s="313">
        <v>92380.494090819455</v>
      </c>
      <c r="H33" s="314">
        <v>4.8131670446326637E-2</v>
      </c>
      <c r="I33" s="311">
        <v>589499.13182091026</v>
      </c>
      <c r="J33" s="314">
        <v>0.30713819210910037</v>
      </c>
    </row>
    <row r="34" spans="1:10" x14ac:dyDescent="0.25">
      <c r="A34" s="310" t="s">
        <v>503</v>
      </c>
      <c r="B34" s="311">
        <v>46681.060606060608</v>
      </c>
      <c r="C34" s="312">
        <v>20</v>
      </c>
      <c r="D34" s="311"/>
      <c r="E34" s="312"/>
      <c r="F34" s="313">
        <v>11814.39393939394</v>
      </c>
      <c r="G34" s="313">
        <v>2187.121212121212</v>
      </c>
      <c r="H34" s="314">
        <v>4.6852431879777334E-2</v>
      </c>
      <c r="I34" s="311">
        <v>26315.909090909092</v>
      </c>
      <c r="J34" s="314">
        <v>0.5637384572940165</v>
      </c>
    </row>
    <row r="35" spans="1:10" x14ac:dyDescent="0.25">
      <c r="A35" s="310" t="s">
        <v>96</v>
      </c>
      <c r="B35" s="311">
        <v>103787.87878787878</v>
      </c>
      <c r="C35" s="312">
        <v>24</v>
      </c>
      <c r="D35" s="311">
        <v>103787.87878787878</v>
      </c>
      <c r="E35" s="312">
        <v>24</v>
      </c>
      <c r="F35" s="313"/>
      <c r="G35" s="313"/>
      <c r="H35" s="314"/>
      <c r="I35" s="311"/>
      <c r="J35" s="314"/>
    </row>
    <row r="36" spans="1:10" x14ac:dyDescent="0.25">
      <c r="A36" s="310" t="s">
        <v>357</v>
      </c>
      <c r="B36" s="311">
        <v>75690.909090909088</v>
      </c>
      <c r="C36" s="312">
        <v>27</v>
      </c>
      <c r="D36" s="311"/>
      <c r="E36" s="312"/>
      <c r="F36" s="313">
        <v>3952.2727272727275</v>
      </c>
      <c r="G36" s="313"/>
      <c r="H36" s="314"/>
      <c r="I36" s="311">
        <v>73494.696969696975</v>
      </c>
      <c r="J36" s="314">
        <v>0.97098446633037083</v>
      </c>
    </row>
    <row r="37" spans="1:10" x14ac:dyDescent="0.25">
      <c r="A37" s="310" t="s">
        <v>111</v>
      </c>
      <c r="B37" s="311">
        <v>4096668.0363716315</v>
      </c>
      <c r="C37" s="312">
        <v>1503</v>
      </c>
      <c r="D37" s="311">
        <v>342424.24242424237</v>
      </c>
      <c r="E37" s="312">
        <v>89</v>
      </c>
      <c r="F37" s="313">
        <v>371073.83736231388</v>
      </c>
      <c r="G37" s="313">
        <v>3909.2686735272964</v>
      </c>
      <c r="H37" s="314">
        <v>9.5425566309485202E-4</v>
      </c>
      <c r="I37" s="311">
        <v>13122.570393939395</v>
      </c>
      <c r="J37" s="314">
        <v>3.2032301073537544E-3</v>
      </c>
    </row>
    <row r="38" spans="1:10" x14ac:dyDescent="0.25">
      <c r="A38" s="310" t="s">
        <v>402</v>
      </c>
      <c r="B38" s="311">
        <v>11183.884629417631</v>
      </c>
      <c r="C38" s="312">
        <v>2</v>
      </c>
      <c r="D38" s="311"/>
      <c r="E38" s="312"/>
      <c r="F38" s="313">
        <v>2334.2803030303066</v>
      </c>
      <c r="G38" s="313"/>
      <c r="H38" s="314"/>
      <c r="I38" s="311">
        <v>9232.575757575758</v>
      </c>
      <c r="J38" s="314">
        <v>0.82552494625085537</v>
      </c>
    </row>
    <row r="39" spans="1:10" x14ac:dyDescent="0.25">
      <c r="A39" s="315" t="s">
        <v>182</v>
      </c>
      <c r="B39" s="316">
        <v>77547916.855633438</v>
      </c>
      <c r="C39" s="317">
        <v>21762</v>
      </c>
      <c r="D39" s="316">
        <v>5663257.5757575743</v>
      </c>
      <c r="E39" s="317">
        <v>1109</v>
      </c>
      <c r="F39" s="318">
        <v>6708818.9593038326</v>
      </c>
      <c r="G39" s="318">
        <v>2278249.8157830182</v>
      </c>
      <c r="H39" s="319">
        <v>2.9378607552080434E-2</v>
      </c>
      <c r="I39" s="316">
        <v>3024979.2513744836</v>
      </c>
      <c r="J39" s="319">
        <v>3.9007872474587757E-2</v>
      </c>
    </row>
  </sheetData>
  <mergeCells count="1">
    <mergeCell ref="B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theme="9" tint="-0.249977111117893"/>
  </sheetPr>
  <dimension ref="A2:J132"/>
  <sheetViews>
    <sheetView zoomScale="80" zoomScaleNormal="80" workbookViewId="0">
      <selection activeCell="A67" sqref="A67:XFD67"/>
    </sheetView>
  </sheetViews>
  <sheetFormatPr defaultRowHeight="15" x14ac:dyDescent="0.25"/>
  <cols>
    <col min="1" max="1" width="30.5703125" customWidth="1"/>
    <col min="3" max="3" width="27.5703125" customWidth="1"/>
    <col min="4" max="4" width="16.85546875" customWidth="1"/>
    <col min="5" max="5" width="20.140625" customWidth="1"/>
    <col min="6" max="6" width="14.85546875" customWidth="1"/>
    <col min="7" max="7" width="10.5703125" customWidth="1"/>
    <col min="8" max="8" width="11.140625" customWidth="1"/>
    <col min="9" max="9" width="18.28515625" customWidth="1"/>
  </cols>
  <sheetData>
    <row r="2" spans="1:9" x14ac:dyDescent="0.25">
      <c r="D2" s="287" t="s">
        <v>457</v>
      </c>
      <c r="E2" s="322" t="s">
        <v>456</v>
      </c>
      <c r="F2" s="322"/>
      <c r="G2" s="322"/>
    </row>
    <row r="5" spans="1:9" ht="15.75" thickBot="1" x14ac:dyDescent="0.3">
      <c r="E5" s="285" t="s">
        <v>455</v>
      </c>
      <c r="F5" s="286">
        <f>SUBTOTAL(9,F7:F138)</f>
        <v>6778201.3813549057</v>
      </c>
    </row>
    <row r="6" spans="1:9" ht="33.75" x14ac:dyDescent="0.25">
      <c r="A6" s="273" t="s">
        <v>0</v>
      </c>
      <c r="B6" s="274" t="s">
        <v>217</v>
      </c>
      <c r="C6" s="275" t="s">
        <v>123</v>
      </c>
      <c r="D6" s="276" t="s">
        <v>125</v>
      </c>
      <c r="E6" s="277" t="s">
        <v>280</v>
      </c>
      <c r="F6" s="277" t="s">
        <v>453</v>
      </c>
      <c r="G6" s="278" t="s">
        <v>294</v>
      </c>
      <c r="H6" s="279" t="s">
        <v>298</v>
      </c>
      <c r="I6" s="280" t="s">
        <v>454</v>
      </c>
    </row>
    <row r="7" spans="1:9" hidden="1" x14ac:dyDescent="0.25">
      <c r="A7" s="9" t="s">
        <v>6</v>
      </c>
      <c r="B7" s="86" t="s">
        <v>383</v>
      </c>
      <c r="C7" s="211" t="s">
        <v>19</v>
      </c>
      <c r="D7" s="281" t="s">
        <v>157</v>
      </c>
      <c r="E7" s="282">
        <f>VLOOKUP(A7,ImportDataWA!A$14:S$140,2,0)</f>
        <v>43662</v>
      </c>
      <c r="F7" s="283">
        <f>VLOOKUP(A7,ImportDataWA!A$14:S$140,10,0)</f>
        <v>985481.07109689084</v>
      </c>
      <c r="G7" s="302">
        <f>VLOOKUP(A7,ImportDataWA!A$14:S$140,15,0)</f>
        <v>2.9587101446594612</v>
      </c>
      <c r="H7" s="302">
        <f>VLOOKUP(A7,ImportDataWA!A$14:S$140,19,0)</f>
        <v>2.0632936517142637</v>
      </c>
      <c r="I7" s="303">
        <f>G7+H7</f>
        <v>5.022003796373725</v>
      </c>
    </row>
    <row r="8" spans="1:9" hidden="1" x14ac:dyDescent="0.25">
      <c r="A8" s="9" t="s">
        <v>8</v>
      </c>
      <c r="B8" s="86" t="s">
        <v>383</v>
      </c>
      <c r="C8" s="211" t="s">
        <v>19</v>
      </c>
      <c r="D8" s="281" t="s">
        <v>157</v>
      </c>
      <c r="E8" s="282">
        <f>VLOOKUP(A8,ImportDataWA!A$14:S$140,2,0)</f>
        <v>42410</v>
      </c>
      <c r="F8" s="283">
        <f>VLOOKUP(A8,ImportDataWA!A$14:S$140,10,0)</f>
        <v>1277637.5282020152</v>
      </c>
      <c r="G8" s="302">
        <f>VLOOKUP(A8,ImportDataWA!A$14:S$140,15,0)</f>
        <v>0.14515427213188598</v>
      </c>
      <c r="H8" s="302">
        <f>VLOOKUP(A8,ImportDataWA!A$14:S$140,19,0)</f>
        <v>2.4311469052560137</v>
      </c>
      <c r="I8" s="303">
        <f t="shared" ref="I8:I70" si="0">G8+H8</f>
        <v>2.5763011773878999</v>
      </c>
    </row>
    <row r="9" spans="1:9" hidden="1" x14ac:dyDescent="0.25">
      <c r="A9" s="9" t="s">
        <v>354</v>
      </c>
      <c r="B9" s="86" t="s">
        <v>383</v>
      </c>
      <c r="C9" s="211" t="s">
        <v>19</v>
      </c>
      <c r="D9" s="281" t="s">
        <v>157</v>
      </c>
      <c r="E9" s="282">
        <f>VLOOKUP(A9,ImportDataWA!A$14:S$140,2,0)</f>
        <v>44713</v>
      </c>
      <c r="F9" s="283">
        <f>VLOOKUP(A9,ImportDataWA!A$14:S$140,10,0)</f>
        <v>839475.30958093191</v>
      </c>
      <c r="G9" s="302">
        <f>VLOOKUP(A9,ImportDataWA!A$14:S$140,15,0)</f>
        <v>0.73800164372029764</v>
      </c>
      <c r="H9" s="302">
        <f>VLOOKUP(A9,ImportDataWA!A$14:S$140,19,0)</f>
        <v>3.899592633602921</v>
      </c>
      <c r="I9" s="303">
        <f t="shared" si="0"/>
        <v>4.6375942773232186</v>
      </c>
    </row>
    <row r="10" spans="1:9" hidden="1" x14ac:dyDescent="0.25">
      <c r="A10" s="9" t="s">
        <v>15</v>
      </c>
      <c r="B10" s="86" t="s">
        <v>218</v>
      </c>
      <c r="C10" s="211" t="s">
        <v>19</v>
      </c>
      <c r="D10" s="281" t="s">
        <v>157</v>
      </c>
      <c r="E10" s="282">
        <f>VLOOKUP(A10,ImportDataWA!A$14:S$140,2,0)</f>
        <v>42317</v>
      </c>
      <c r="F10" s="283">
        <f>VLOOKUP(A10,ImportDataWA!A$14:S$140,10,0)</f>
        <v>698513.50944466656</v>
      </c>
      <c r="G10" s="302">
        <f>VLOOKUP(A10,ImportDataWA!A$14:S$140,15,0)</f>
        <v>6.8026316287024606</v>
      </c>
      <c r="H10" s="302">
        <f>VLOOKUP(A10,ImportDataWA!A$14:S$140,19,0)</f>
        <v>12.462101205393258</v>
      </c>
      <c r="I10" s="303">
        <f t="shared" si="0"/>
        <v>19.264732834095717</v>
      </c>
    </row>
    <row r="11" spans="1:9" hidden="1" x14ac:dyDescent="0.25">
      <c r="A11" s="77" t="s">
        <v>482</v>
      </c>
      <c r="B11" s="211" t="s">
        <v>219</v>
      </c>
      <c r="C11" s="211" t="s">
        <v>19</v>
      </c>
      <c r="D11" s="281" t="s">
        <v>157</v>
      </c>
      <c r="E11" s="282">
        <f>VLOOKUP(A11,ImportDataWA!A$14:S$140,2,0)</f>
        <v>42990</v>
      </c>
      <c r="F11" s="283">
        <f>VLOOKUP(A11,ImportDataWA!A$14:S$140,10,0)</f>
        <v>2487.4725075757574</v>
      </c>
      <c r="G11" s="302">
        <f>VLOOKUP(A11,ImportDataWA!A$14:S$140,15,0)</f>
        <v>0</v>
      </c>
      <c r="H11" s="302">
        <f>VLOOKUP(A11,ImportDataWA!A$14:S$140,19,0)</f>
        <v>0</v>
      </c>
      <c r="I11" s="303">
        <f t="shared" si="0"/>
        <v>0</v>
      </c>
    </row>
    <row r="12" spans="1:9" hidden="1" x14ac:dyDescent="0.25">
      <c r="A12" s="9" t="s">
        <v>2</v>
      </c>
      <c r="B12" s="86" t="s">
        <v>218</v>
      </c>
      <c r="C12" t="s">
        <v>96</v>
      </c>
      <c r="D12" s="281" t="s">
        <v>154</v>
      </c>
      <c r="E12" s="282">
        <f>VLOOKUP(A12,ImportDataWA!A$14:S$140,2,0)</f>
        <v>41484</v>
      </c>
      <c r="F12" s="283">
        <f>VLOOKUP(A12,ImportDataWA!A$14:S$140,10,0)</f>
        <v>1440778.5476949404</v>
      </c>
      <c r="G12" s="302">
        <f>VLOOKUP(A12,ImportDataWA!A$14:S$140,15,0)</f>
        <v>3.9097543905031555</v>
      </c>
      <c r="H12" s="302">
        <f>VLOOKUP(A12,ImportDataWA!A$14:S$140,19,0)</f>
        <v>3.8307663720369174</v>
      </c>
      <c r="I12" s="303">
        <f t="shared" si="0"/>
        <v>7.7405207625400729</v>
      </c>
    </row>
    <row r="13" spans="1:9" hidden="1" x14ac:dyDescent="0.25">
      <c r="A13" s="9" t="s">
        <v>4</v>
      </c>
      <c r="B13" s="86" t="s">
        <v>383</v>
      </c>
      <c r="C13" s="9" t="s">
        <v>134</v>
      </c>
      <c r="D13" s="281" t="s">
        <v>154</v>
      </c>
      <c r="E13" s="282">
        <f>VLOOKUP(A13,ImportDataWA!A$14:S$140,2,0)</f>
        <v>39264</v>
      </c>
      <c r="F13" s="283">
        <f>VLOOKUP(A13,ImportDataWA!A$14:S$140,10,0)</f>
        <v>888722.04101347236</v>
      </c>
      <c r="G13" s="302">
        <f>VLOOKUP(A13,ImportDataWA!A$14:S$140,15,0)</f>
        <v>2.5082764498189132</v>
      </c>
      <c r="H13" s="302">
        <f>VLOOKUP(A13,ImportDataWA!A$14:S$140,19,0)</f>
        <v>4.5016415473222464</v>
      </c>
      <c r="I13" s="303">
        <f t="shared" si="0"/>
        <v>7.0099179971411596</v>
      </c>
    </row>
    <row r="14" spans="1:9" hidden="1" x14ac:dyDescent="0.25">
      <c r="A14" s="185" t="s">
        <v>31</v>
      </c>
      <c r="B14" s="86" t="s">
        <v>383</v>
      </c>
      <c r="C14" s="9" t="s">
        <v>134</v>
      </c>
      <c r="D14" s="281" t="s">
        <v>154</v>
      </c>
      <c r="E14" s="282">
        <f>VLOOKUP(A14,ImportDataWA!A$14:S$140,2,0)</f>
        <v>38578</v>
      </c>
      <c r="F14" s="283">
        <f>VLOOKUP(A14,ImportDataWA!A$14:S$140,10,0)</f>
        <v>1359741.0045703396</v>
      </c>
      <c r="G14" s="302">
        <f>VLOOKUP(A14,ImportDataWA!A$14:S$140,15,0)</f>
        <v>3.5825615508079327</v>
      </c>
      <c r="H14" s="302">
        <f>VLOOKUP(A14,ImportDataWA!A$14:S$140,19,0)</f>
        <v>1.4658200572181883</v>
      </c>
      <c r="I14" s="303">
        <f t="shared" si="0"/>
        <v>5.048381608026121</v>
      </c>
    </row>
    <row r="15" spans="1:9" hidden="1" x14ac:dyDescent="0.25">
      <c r="A15" s="9" t="s">
        <v>66</v>
      </c>
      <c r="B15" s="86" t="s">
        <v>219</v>
      </c>
      <c r="C15" t="s">
        <v>96</v>
      </c>
      <c r="D15" s="281" t="s">
        <v>154</v>
      </c>
      <c r="E15" s="282">
        <f>VLOOKUP(A15,ImportDataWA!A$14:S$140,2,0)</f>
        <v>43704</v>
      </c>
      <c r="F15" s="283">
        <f>VLOOKUP(A15,ImportDataWA!A$14:S$140,10,0)</f>
        <v>747265.09804629837</v>
      </c>
      <c r="G15" s="302">
        <f>VLOOKUP(A15,ImportDataWA!A$14:S$140,15,0)</f>
        <v>9.4809830185261408</v>
      </c>
      <c r="H15" s="302">
        <f>VLOOKUP(A15,ImportDataWA!A$14:S$140,19,0)</f>
        <v>5.5278504448780446</v>
      </c>
      <c r="I15" s="303">
        <f t="shared" si="0"/>
        <v>15.008833463404185</v>
      </c>
    </row>
    <row r="16" spans="1:9" hidden="1" x14ac:dyDescent="0.25">
      <c r="A16" s="185" t="s">
        <v>277</v>
      </c>
      <c r="B16" s="86" t="s">
        <v>383</v>
      </c>
      <c r="C16" t="s">
        <v>96</v>
      </c>
      <c r="D16" s="281" t="s">
        <v>154</v>
      </c>
      <c r="E16" s="282">
        <f>VLOOKUP(A16,ImportDataWA!A$14:S$140,2,0)</f>
        <v>42808</v>
      </c>
      <c r="F16" s="283">
        <f>VLOOKUP(A16,ImportDataWA!A$14:S$140,10,0)</f>
        <v>941756.28318155557</v>
      </c>
      <c r="G16" s="302">
        <f>VLOOKUP(A16,ImportDataWA!A$14:S$140,15,0)</f>
        <v>2.6579311336405351</v>
      </c>
      <c r="H16" s="302">
        <f>VLOOKUP(A16,ImportDataWA!A$14:S$140,19,0)</f>
        <v>4.2872119673422873</v>
      </c>
      <c r="I16" s="303">
        <f t="shared" si="0"/>
        <v>6.9451431009828219</v>
      </c>
    </row>
    <row r="17" spans="1:10" hidden="1" x14ac:dyDescent="0.25">
      <c r="A17" s="9" t="s">
        <v>93</v>
      </c>
      <c r="B17" s="86" t="s">
        <v>219</v>
      </c>
      <c r="C17" t="s">
        <v>96</v>
      </c>
      <c r="D17" s="281" t="s">
        <v>154</v>
      </c>
      <c r="E17" s="282">
        <f>VLOOKUP(A17,ImportDataWA!A$14:S$140,2,0)</f>
        <v>42786</v>
      </c>
      <c r="F17" s="283">
        <f>VLOOKUP(A17,ImportDataWA!A$14:S$140,10,0)</f>
        <v>815910.42772995715</v>
      </c>
      <c r="G17" s="302">
        <f>VLOOKUP(A17,ImportDataWA!A$14:S$140,15,0)</f>
        <v>0.19908068960214456</v>
      </c>
      <c r="H17" s="302">
        <f>VLOOKUP(A17,ImportDataWA!A$14:S$140,19,0)</f>
        <v>0.20670097516687722</v>
      </c>
      <c r="I17" s="303">
        <f t="shared" si="0"/>
        <v>0.40578166476902178</v>
      </c>
    </row>
    <row r="18" spans="1:10" hidden="1" x14ac:dyDescent="0.25">
      <c r="A18" s="9" t="s">
        <v>96</v>
      </c>
      <c r="B18" s="86" t="s">
        <v>383</v>
      </c>
      <c r="C18" s="9" t="s">
        <v>134</v>
      </c>
      <c r="D18" s="281" t="s">
        <v>154</v>
      </c>
      <c r="E18" s="282">
        <f>VLOOKUP(A18,ImportDataWA!A$14:S$140,2,0)</f>
        <v>42612</v>
      </c>
      <c r="F18" s="283">
        <f>VLOOKUP(A18,ImportDataWA!A$14:S$140,10,0)</f>
        <v>295145.9180710169</v>
      </c>
      <c r="G18" s="302">
        <f>VLOOKUP(A18,ImportDataWA!A$14:S$140,15,0)</f>
        <v>34.097546469312952</v>
      </c>
      <c r="H18" s="302">
        <f>VLOOKUP(A18,ImportDataWA!A$14:S$140,19,0)</f>
        <v>22.6523502553055</v>
      </c>
      <c r="I18" s="303">
        <f t="shared" si="0"/>
        <v>56.749896724618452</v>
      </c>
    </row>
    <row r="19" spans="1:10" hidden="1" x14ac:dyDescent="0.25">
      <c r="A19" s="9" t="s">
        <v>106</v>
      </c>
      <c r="B19" s="86" t="s">
        <v>219</v>
      </c>
      <c r="C19" t="s">
        <v>96</v>
      </c>
      <c r="D19" s="281" t="s">
        <v>154</v>
      </c>
      <c r="E19" s="282">
        <f>VLOOKUP(A19,ImportDataWA!A$14:S$140,2,0)</f>
        <v>42129</v>
      </c>
      <c r="F19" s="283">
        <f>VLOOKUP(A19,ImportDataWA!A$14:S$140,10,0)</f>
        <v>903342.08828446979</v>
      </c>
      <c r="G19" s="302">
        <f>VLOOKUP(A19,ImportDataWA!A$14:S$140,15,0)</f>
        <v>3.904553872114052</v>
      </c>
      <c r="H19" s="302">
        <f>VLOOKUP(A19,ImportDataWA!A$14:S$140,19,0)</f>
        <v>4.069058255101166</v>
      </c>
      <c r="I19" s="303">
        <f t="shared" si="0"/>
        <v>7.9736121272152181</v>
      </c>
    </row>
    <row r="20" spans="1:10" hidden="1" x14ac:dyDescent="0.25">
      <c r="A20" s="77" t="s">
        <v>115</v>
      </c>
      <c r="B20" s="86" t="s">
        <v>219</v>
      </c>
      <c r="C20" s="9" t="s">
        <v>134</v>
      </c>
      <c r="D20" s="281" t="s">
        <v>154</v>
      </c>
      <c r="E20" s="282">
        <f>VLOOKUP(A20,ImportDataWA!A$14:S$140,2,0)</f>
        <v>43704</v>
      </c>
      <c r="F20" s="283">
        <f>VLOOKUP(A20,ImportDataWA!A$14:S$140,10,0)</f>
        <v>694210.36604803253</v>
      </c>
      <c r="G20" s="302">
        <f>VLOOKUP(A20,ImportDataWA!A$14:S$140,15,0)</f>
        <v>4.2011766580502439</v>
      </c>
      <c r="H20" s="302">
        <f>VLOOKUP(A20,ImportDataWA!A$14:S$140,19,0)</f>
        <v>2.6450151887253099</v>
      </c>
      <c r="I20" s="303">
        <f t="shared" si="0"/>
        <v>6.8461918467755538</v>
      </c>
    </row>
    <row r="21" spans="1:10" hidden="1" x14ac:dyDescent="0.25">
      <c r="A21" s="9" t="s">
        <v>431</v>
      </c>
      <c r="B21" s="86" t="s">
        <v>219</v>
      </c>
      <c r="C21" s="9" t="s">
        <v>134</v>
      </c>
      <c r="D21" s="281" t="s">
        <v>154</v>
      </c>
      <c r="E21" s="282">
        <f>VLOOKUP(A21,ImportDataWA!A$14:S$140,2,0)</f>
        <v>0</v>
      </c>
      <c r="F21" s="283">
        <f>VLOOKUP(A21,ImportDataWA!A$14:S$140,10,0)</f>
        <v>211067.20006060609</v>
      </c>
      <c r="G21" s="302">
        <f>VLOOKUP(A21,ImportDataWA!A$14:S$140,15,0)</f>
        <v>0</v>
      </c>
      <c r="H21" s="302">
        <f>VLOOKUP(A21,ImportDataWA!A$14:S$140,19,0)</f>
        <v>0</v>
      </c>
      <c r="I21" s="303">
        <f t="shared" si="0"/>
        <v>0</v>
      </c>
    </row>
    <row r="22" spans="1:10" hidden="1" x14ac:dyDescent="0.25">
      <c r="A22" s="9" t="s">
        <v>432</v>
      </c>
      <c r="B22" s="86" t="s">
        <v>219</v>
      </c>
      <c r="C22" s="9" t="s">
        <v>134</v>
      </c>
      <c r="D22" s="281" t="s">
        <v>154</v>
      </c>
      <c r="E22" s="282">
        <f>VLOOKUP(A22,ImportDataWA!A$14:S$140,2,0)</f>
        <v>0</v>
      </c>
      <c r="F22" s="283">
        <f>VLOOKUP(A22,ImportDataWA!A$14:S$140,10,0)</f>
        <v>89010.853007575744</v>
      </c>
      <c r="G22" s="302">
        <f>VLOOKUP(A22,ImportDataWA!A$14:S$140,15,0)</f>
        <v>0</v>
      </c>
      <c r="H22" s="302">
        <f>VLOOKUP(A22,ImportDataWA!A$14:S$140,19,0)</f>
        <v>0</v>
      </c>
      <c r="I22" s="303">
        <f t="shared" si="0"/>
        <v>0</v>
      </c>
    </row>
    <row r="23" spans="1:10" hidden="1" x14ac:dyDescent="0.25">
      <c r="A23" s="9" t="s">
        <v>1</v>
      </c>
      <c r="B23" s="86" t="s">
        <v>219</v>
      </c>
      <c r="C23" s="9" t="s">
        <v>133</v>
      </c>
      <c r="D23" s="281" t="s">
        <v>153</v>
      </c>
      <c r="E23" s="282">
        <f>VLOOKUP(A23,ImportDataWA!A$14:S$140,2,0)</f>
        <v>42740</v>
      </c>
      <c r="F23" s="283">
        <f>VLOOKUP(A23,ImportDataWA!A$14:S$140,10,0)</f>
        <v>598048.84202695545</v>
      </c>
      <c r="G23" s="302">
        <f>VLOOKUP(A23,ImportDataWA!A$14:S$140,15,0)</f>
        <v>2.4799672884989326</v>
      </c>
      <c r="H23" s="302">
        <f>VLOOKUP(A23,ImportDataWA!A$14:S$140,19,0)</f>
        <v>0</v>
      </c>
      <c r="I23" s="303">
        <f t="shared" si="0"/>
        <v>2.4799672884989326</v>
      </c>
    </row>
    <row r="24" spans="1:10" hidden="1" x14ac:dyDescent="0.25">
      <c r="A24" s="185" t="s">
        <v>28</v>
      </c>
      <c r="B24" s="86" t="s">
        <v>219</v>
      </c>
      <c r="C24" s="9" t="s">
        <v>276</v>
      </c>
      <c r="D24" s="281" t="s">
        <v>153</v>
      </c>
      <c r="E24" s="282">
        <f>VLOOKUP(A24,ImportDataWA!A$14:S$140,2,0)</f>
        <v>39513</v>
      </c>
      <c r="F24" s="283">
        <f>VLOOKUP(A24,ImportDataWA!A$14:S$140,10,0)</f>
        <v>718744.97469333815</v>
      </c>
      <c r="G24" s="302">
        <f>VLOOKUP(A24,ImportDataWA!A$14:S$140,15,0)</f>
        <v>0.52507087747844605</v>
      </c>
      <c r="H24" s="302">
        <f>VLOOKUP(A24,ImportDataWA!A$14:S$140,19,0)</f>
        <v>1.3471999035808151</v>
      </c>
      <c r="I24" s="303">
        <f t="shared" si="0"/>
        <v>1.8722707810592611</v>
      </c>
    </row>
    <row r="25" spans="1:10" hidden="1" x14ac:dyDescent="0.25">
      <c r="A25" s="185" t="s">
        <v>58</v>
      </c>
      <c r="B25" s="86" t="s">
        <v>219</v>
      </c>
      <c r="C25" s="9" t="s">
        <v>133</v>
      </c>
      <c r="D25" s="281" t="s">
        <v>153</v>
      </c>
      <c r="E25" s="282">
        <f>VLOOKUP(A25,ImportDataWA!A$14:S$140,2,0)</f>
        <v>41269</v>
      </c>
      <c r="F25" s="283">
        <f>VLOOKUP(A25,ImportDataWA!A$14:S$140,10,0)</f>
        <v>892400.20514806185</v>
      </c>
      <c r="G25" s="302">
        <f>VLOOKUP(A25,ImportDataWA!A$14:S$140,15,0)</f>
        <v>1.2308418843378726</v>
      </c>
      <c r="H25" s="302">
        <f>VLOOKUP(A25,ImportDataWA!A$14:S$140,19,0)</f>
        <v>1.0624963541291703</v>
      </c>
      <c r="I25" s="303">
        <f t="shared" si="0"/>
        <v>2.2933382384670429</v>
      </c>
    </row>
    <row r="26" spans="1:10" x14ac:dyDescent="0.25">
      <c r="A26" s="185" t="s">
        <v>62</v>
      </c>
      <c r="B26" s="86" t="s">
        <v>219</v>
      </c>
      <c r="C26" s="9" t="s">
        <v>133</v>
      </c>
      <c r="D26" s="281" t="s">
        <v>153</v>
      </c>
      <c r="E26" s="282">
        <f>VLOOKUP(A26,ImportDataWA!A$14:S$140,2,0)</f>
        <v>42953</v>
      </c>
      <c r="F26" s="283">
        <f>VLOOKUP(A26,ImportDataWA!A$14:S$140,10,0)</f>
        <v>756561.45054545451</v>
      </c>
      <c r="G26" s="302">
        <f>VLOOKUP(A26,ImportDataWA!A$14:S$140,15,0)</f>
        <v>0</v>
      </c>
      <c r="H26" s="302">
        <f>VLOOKUP(A26,ImportDataWA!A$14:S$140,19,0)</f>
        <v>0</v>
      </c>
      <c r="I26" s="303">
        <f t="shared" si="0"/>
        <v>0</v>
      </c>
      <c r="J26">
        <v>100000</v>
      </c>
    </row>
    <row r="27" spans="1:10" hidden="1" x14ac:dyDescent="0.25">
      <c r="A27" s="9" t="s">
        <v>103</v>
      </c>
      <c r="B27" s="86" t="s">
        <v>218</v>
      </c>
      <c r="C27" s="9" t="s">
        <v>133</v>
      </c>
      <c r="D27" s="281" t="s">
        <v>153</v>
      </c>
      <c r="E27" s="282">
        <f>VLOOKUP(A27,ImportDataWA!A$14:S$140,2,0)</f>
        <v>41269</v>
      </c>
      <c r="F27" s="283">
        <f>VLOOKUP(A27,ImportDataWA!A$14:S$140,10,0)</f>
        <v>865489.53938956338</v>
      </c>
      <c r="G27" s="302">
        <f>VLOOKUP(A27,ImportDataWA!A$14:S$140,15,0)</f>
        <v>0</v>
      </c>
      <c r="H27" s="302">
        <f>VLOOKUP(A27,ImportDataWA!A$14:S$140,19,0)</f>
        <v>0.95238785611056254</v>
      </c>
      <c r="I27" s="303">
        <f t="shared" si="0"/>
        <v>0.95238785611056254</v>
      </c>
    </row>
    <row r="28" spans="1:10" x14ac:dyDescent="0.25">
      <c r="A28" s="9" t="s">
        <v>104</v>
      </c>
      <c r="B28" s="86" t="s">
        <v>219</v>
      </c>
      <c r="C28" s="9" t="s">
        <v>276</v>
      </c>
      <c r="D28" s="281" t="s">
        <v>153</v>
      </c>
      <c r="E28" s="282">
        <f>VLOOKUP(A28,ImportDataWA!A$14:S$140,2,0)</f>
        <v>42955</v>
      </c>
      <c r="F28" s="283">
        <f>VLOOKUP(A28,ImportDataWA!A$14:S$140,10,0)</f>
        <v>737569.93490036344</v>
      </c>
      <c r="G28" s="302">
        <f>VLOOKUP(A28,ImportDataWA!A$14:S$140,15,0)</f>
        <v>0</v>
      </c>
      <c r="H28" s="302">
        <f>VLOOKUP(A28,ImportDataWA!A$14:S$140,19,0)</f>
        <v>0</v>
      </c>
      <c r="I28" s="303">
        <f t="shared" si="0"/>
        <v>0</v>
      </c>
      <c r="J28">
        <v>100000</v>
      </c>
    </row>
    <row r="29" spans="1:10" hidden="1" x14ac:dyDescent="0.25">
      <c r="A29" s="9" t="s">
        <v>7</v>
      </c>
      <c r="B29" s="86" t="s">
        <v>218</v>
      </c>
      <c r="C29" s="9" t="s">
        <v>137</v>
      </c>
      <c r="D29" s="281" t="s">
        <v>158</v>
      </c>
      <c r="E29" s="282">
        <f>VLOOKUP(A29,ImportDataWA!A$14:S$140,2,0)</f>
        <v>42991</v>
      </c>
      <c r="F29" s="283">
        <f>VLOOKUP(A29,ImportDataWA!A$14:S$140,10,0)</f>
        <v>1455457.4463443225</v>
      </c>
      <c r="G29" s="302">
        <f>VLOOKUP(A29,ImportDataWA!A$14:S$140,15,0)</f>
        <v>3.3884609270205099</v>
      </c>
      <c r="H29" s="302">
        <f>VLOOKUP(A29,ImportDataWA!A$14:S$140,19,0)</f>
        <v>6.3198826233950562</v>
      </c>
      <c r="I29" s="303">
        <f t="shared" si="0"/>
        <v>9.7083435504155666</v>
      </c>
    </row>
    <row r="30" spans="1:10" x14ac:dyDescent="0.25">
      <c r="A30" s="9" t="s">
        <v>369</v>
      </c>
      <c r="B30" s="86" t="s">
        <v>383</v>
      </c>
      <c r="C30" s="9" t="s">
        <v>362</v>
      </c>
      <c r="D30" s="281" t="s">
        <v>158</v>
      </c>
      <c r="E30" s="282">
        <f>VLOOKUP(A30,ImportDataWA!A$14:S$140,2,0)</f>
        <v>42786</v>
      </c>
      <c r="F30" s="283">
        <f>VLOOKUP(A30,ImportDataWA!A$14:S$140,10,0)</f>
        <v>576839.7210681818</v>
      </c>
      <c r="G30" s="302">
        <f>VLOOKUP(A30,ImportDataWA!A$14:S$140,15,0)</f>
        <v>0</v>
      </c>
      <c r="H30" s="302">
        <f>VLOOKUP(A30,ImportDataWA!A$14:S$140,19,0)</f>
        <v>0</v>
      </c>
      <c r="I30" s="303">
        <f t="shared" si="0"/>
        <v>0</v>
      </c>
      <c r="J30">
        <v>100000</v>
      </c>
    </row>
    <row r="31" spans="1:10" hidden="1" x14ac:dyDescent="0.25">
      <c r="A31" s="185" t="s">
        <v>22</v>
      </c>
      <c r="B31" s="86" t="s">
        <v>383</v>
      </c>
      <c r="C31" s="9" t="s">
        <v>362</v>
      </c>
      <c r="D31" s="281" t="s">
        <v>158</v>
      </c>
      <c r="E31" s="282">
        <f>VLOOKUP(A31,ImportDataWA!A$14:S$140,2,0)</f>
        <v>41857</v>
      </c>
      <c r="F31" s="283">
        <f>VLOOKUP(A31,ImportDataWA!A$14:S$140,10,0)</f>
        <v>460846.48089524789</v>
      </c>
      <c r="G31" s="302">
        <f>VLOOKUP(A31,ImportDataWA!A$14:S$140,15,0)</f>
        <v>0.21777313430016132</v>
      </c>
      <c r="H31" s="302">
        <f>VLOOKUP(A31,ImportDataWA!A$14:S$140,19,0)</f>
        <v>4.8926736392669437</v>
      </c>
      <c r="I31" s="303">
        <f t="shared" si="0"/>
        <v>5.1104467735671051</v>
      </c>
    </row>
    <row r="32" spans="1:10" hidden="1" x14ac:dyDescent="0.25">
      <c r="A32" s="185" t="s">
        <v>34</v>
      </c>
      <c r="B32" s="86" t="s">
        <v>219</v>
      </c>
      <c r="C32" s="9" t="s">
        <v>137</v>
      </c>
      <c r="D32" s="281" t="s">
        <v>158</v>
      </c>
      <c r="E32" s="282">
        <f>VLOOKUP(A32,ImportDataWA!A$14:S$140,2,0)</f>
        <v>42786</v>
      </c>
      <c r="F32" s="283">
        <f>VLOOKUP(A32,ImportDataWA!A$14:S$140,10,0)</f>
        <v>192462.46991498847</v>
      </c>
      <c r="G32" s="302">
        <f>VLOOKUP(A32,ImportDataWA!A$14:S$140,15,0)</f>
        <v>1.8718245952450445</v>
      </c>
      <c r="H32" s="302">
        <f>VLOOKUP(A32,ImportDataWA!A$14:S$140,19,0)</f>
        <v>0.61988728381000935</v>
      </c>
      <c r="I32" s="303">
        <f t="shared" si="0"/>
        <v>2.4917118790550541</v>
      </c>
    </row>
    <row r="33" spans="1:10" hidden="1" x14ac:dyDescent="0.25">
      <c r="A33" s="185" t="s">
        <v>361</v>
      </c>
      <c r="B33" s="86" t="s">
        <v>219</v>
      </c>
      <c r="C33" s="9" t="s">
        <v>362</v>
      </c>
      <c r="D33" s="281" t="s">
        <v>158</v>
      </c>
      <c r="E33" s="282">
        <f>VLOOKUP(A33,ImportDataWA!A$14:S$140,2,0)</f>
        <v>42607</v>
      </c>
      <c r="F33" s="283">
        <f>VLOOKUP(A33,ImportDataWA!A$14:S$140,10,0)</f>
        <v>638100.4649606772</v>
      </c>
      <c r="G33" s="302">
        <f>VLOOKUP(A33,ImportDataWA!A$14:S$140,15,0)</f>
        <v>2.2649262235270262</v>
      </c>
      <c r="H33" s="302">
        <f>VLOOKUP(A33,ImportDataWA!A$14:S$140,19,0)</f>
        <v>1.9890305180043304</v>
      </c>
      <c r="I33" s="303">
        <f t="shared" si="0"/>
        <v>4.2539567415313568</v>
      </c>
    </row>
    <row r="34" spans="1:10" hidden="1" x14ac:dyDescent="0.25">
      <c r="A34" s="185" t="s">
        <v>37</v>
      </c>
      <c r="B34" s="86" t="s">
        <v>219</v>
      </c>
      <c r="C34" s="9" t="s">
        <v>137</v>
      </c>
      <c r="D34" s="281" t="s">
        <v>158</v>
      </c>
      <c r="E34" s="282">
        <f>VLOOKUP(A34,ImportDataWA!A$14:S$140,2,0)</f>
        <v>41269</v>
      </c>
      <c r="F34" s="283">
        <f>VLOOKUP(A34,ImportDataWA!A$14:S$140,10,0)</f>
        <v>704930.80621185538</v>
      </c>
      <c r="G34" s="302">
        <f>VLOOKUP(A34,ImportDataWA!A$14:S$140,15,0)</f>
        <v>1.9688233935744703</v>
      </c>
      <c r="H34" s="302">
        <f>VLOOKUP(A34,ImportDataWA!A$14:S$140,19,0)</f>
        <v>0.7353590539520074</v>
      </c>
      <c r="I34" s="303">
        <f t="shared" si="0"/>
        <v>2.7041824475264775</v>
      </c>
    </row>
    <row r="35" spans="1:10" hidden="1" x14ac:dyDescent="0.25">
      <c r="A35" s="185" t="s">
        <v>50</v>
      </c>
      <c r="B35" s="86" t="s">
        <v>383</v>
      </c>
      <c r="C35" s="9" t="s">
        <v>137</v>
      </c>
      <c r="D35" s="281" t="s">
        <v>158</v>
      </c>
      <c r="E35" s="282">
        <f>VLOOKUP(A35,ImportDataWA!A$14:S$140,2,0)</f>
        <v>41431</v>
      </c>
      <c r="F35" s="283">
        <f>VLOOKUP(A35,ImportDataWA!A$14:S$140,10,0)</f>
        <v>581267.33852793439</v>
      </c>
      <c r="G35" s="302">
        <f>VLOOKUP(A35,ImportDataWA!A$14:S$140,15,0)</f>
        <v>1.6730851513061</v>
      </c>
      <c r="H35" s="302">
        <f>VLOOKUP(A35,ImportDataWA!A$14:S$140,19,0)</f>
        <v>1.0463231162627498</v>
      </c>
      <c r="I35" s="303">
        <f t="shared" si="0"/>
        <v>2.7194082675688498</v>
      </c>
    </row>
    <row r="36" spans="1:10" hidden="1" x14ac:dyDescent="0.25">
      <c r="A36" s="9" t="s">
        <v>65</v>
      </c>
      <c r="B36" s="86" t="s">
        <v>383</v>
      </c>
      <c r="C36" s="9" t="s">
        <v>137</v>
      </c>
      <c r="D36" s="281" t="s">
        <v>158</v>
      </c>
      <c r="E36" s="282">
        <f>VLOOKUP(A36,ImportDataWA!A$14:S$140,2,0)</f>
        <v>41857</v>
      </c>
      <c r="F36" s="283">
        <f>VLOOKUP(A36,ImportDataWA!A$14:S$140,10,0)</f>
        <v>790068.04258084029</v>
      </c>
      <c r="G36" s="302">
        <f>VLOOKUP(A36,ImportDataWA!A$14:S$140,15,0)</f>
        <v>2.1378348626602079</v>
      </c>
      <c r="H36" s="302">
        <f>VLOOKUP(A36,ImportDataWA!A$14:S$140,19,0)</f>
        <v>3.7231611923856986</v>
      </c>
      <c r="I36" s="303">
        <f t="shared" si="0"/>
        <v>5.8609960550459066</v>
      </c>
    </row>
    <row r="37" spans="1:10" hidden="1" x14ac:dyDescent="0.25">
      <c r="A37" s="9" t="s">
        <v>69</v>
      </c>
      <c r="B37" s="86" t="s">
        <v>383</v>
      </c>
      <c r="C37" s="9" t="s">
        <v>137</v>
      </c>
      <c r="D37" s="281" t="s">
        <v>158</v>
      </c>
      <c r="E37" s="282">
        <f>VLOOKUP(A37,ImportDataWA!A$14:S$140,2,0)</f>
        <v>38890</v>
      </c>
      <c r="F37" s="283">
        <f>VLOOKUP(A37,ImportDataWA!A$14:S$140,10,0)</f>
        <v>529524.97764869139</v>
      </c>
      <c r="G37" s="302">
        <f>VLOOKUP(A37,ImportDataWA!A$14:S$140,15,0)</f>
        <v>2.081393846086744</v>
      </c>
      <c r="H37" s="302">
        <f>VLOOKUP(A37,ImportDataWA!A$14:S$140,19,0)</f>
        <v>2.7788546985962488</v>
      </c>
      <c r="I37" s="303">
        <f t="shared" si="0"/>
        <v>4.8602485446829924</v>
      </c>
    </row>
    <row r="38" spans="1:10" hidden="1" x14ac:dyDescent="0.25">
      <c r="A38" s="185" t="s">
        <v>250</v>
      </c>
      <c r="B38" s="86" t="s">
        <v>219</v>
      </c>
      <c r="C38" s="9" t="s">
        <v>362</v>
      </c>
      <c r="D38" s="281" t="s">
        <v>158</v>
      </c>
      <c r="E38" s="282">
        <f>VLOOKUP(A38,ImportDataWA!A$14:S$140,2,0)</f>
        <v>42501</v>
      </c>
      <c r="F38" s="283">
        <f>VLOOKUP(A38,ImportDataWA!A$14:S$140,10,0)</f>
        <v>873822.38916474197</v>
      </c>
      <c r="G38" s="302">
        <f>VLOOKUP(A38,ImportDataWA!A$14:S$140,15,0)</f>
        <v>0.56853182354197518</v>
      </c>
      <c r="H38" s="302">
        <f>VLOOKUP(A38,ImportDataWA!A$14:S$140,19,0)</f>
        <v>1.8728283646118302</v>
      </c>
      <c r="I38" s="303">
        <f t="shared" si="0"/>
        <v>2.4413601881538054</v>
      </c>
    </row>
    <row r="39" spans="1:10" hidden="1" x14ac:dyDescent="0.25">
      <c r="A39" s="262" t="s">
        <v>353</v>
      </c>
      <c r="B39" s="189" t="s">
        <v>278</v>
      </c>
      <c r="C39" s="189" t="s">
        <v>278</v>
      </c>
      <c r="D39" s="281" t="s">
        <v>158</v>
      </c>
      <c r="E39" s="282">
        <f>VLOOKUP(A39,ImportDataWA!A$14:S$140,2,0)</f>
        <v>44724</v>
      </c>
      <c r="F39" s="283">
        <f>VLOOKUP(A39,ImportDataWA!A$14:S$140,10,0)</f>
        <v>52889.980491194598</v>
      </c>
      <c r="G39" s="302">
        <f>VLOOKUP(A39,ImportDataWA!A$14:S$140,15,0)</f>
        <v>7.8108048863362853</v>
      </c>
      <c r="H39" s="302">
        <f>VLOOKUP(A39,ImportDataWA!A$14:S$140,19,0)</f>
        <v>47.340744127334055</v>
      </c>
      <c r="I39" s="303">
        <f t="shared" si="0"/>
        <v>55.151549013670341</v>
      </c>
    </row>
    <row r="40" spans="1:10" hidden="1" x14ac:dyDescent="0.25">
      <c r="A40" s="9" t="s">
        <v>363</v>
      </c>
      <c r="B40" s="86" t="s">
        <v>219</v>
      </c>
      <c r="C40" s="9" t="s">
        <v>362</v>
      </c>
      <c r="D40" s="281" t="s">
        <v>158</v>
      </c>
      <c r="E40" s="282">
        <f>VLOOKUP(A40,ImportDataWA!A$14:S$140,2,0)</f>
        <v>44964</v>
      </c>
      <c r="F40" s="283">
        <f>VLOOKUP(A40,ImportDataWA!A$14:S$140,10,0)</f>
        <v>447793.2178967573</v>
      </c>
      <c r="G40" s="302">
        <f>VLOOKUP(A40,ImportDataWA!A$14:S$140,15,0)</f>
        <v>3.5176844381195709</v>
      </c>
      <c r="H40" s="302">
        <f>VLOOKUP(A40,ImportDataWA!A$14:S$140,19,0)</f>
        <v>2.6213154988382321</v>
      </c>
      <c r="I40" s="303">
        <f t="shared" si="0"/>
        <v>6.138999936957803</v>
      </c>
    </row>
    <row r="41" spans="1:10" hidden="1" x14ac:dyDescent="0.25">
      <c r="A41" s="9" t="s">
        <v>101</v>
      </c>
      <c r="B41" s="86" t="s">
        <v>383</v>
      </c>
      <c r="C41" s="9" t="s">
        <v>362</v>
      </c>
      <c r="D41" s="281" t="s">
        <v>158</v>
      </c>
      <c r="E41" s="282">
        <f>VLOOKUP(A41,ImportDataWA!A$14:S$140,2,0)</f>
        <v>40281</v>
      </c>
      <c r="F41" s="283">
        <f>VLOOKUP(A41,ImportDataWA!A$14:S$140,10,0)</f>
        <v>449583.47685163177</v>
      </c>
      <c r="G41" s="302">
        <f>VLOOKUP(A41,ImportDataWA!A$14:S$140,15,0)</f>
        <v>2.5708291751140653</v>
      </c>
      <c r="H41" s="302">
        <f>VLOOKUP(A41,ImportDataWA!A$14:S$140,19,0)</f>
        <v>2.4014308047231832</v>
      </c>
      <c r="I41" s="303">
        <f t="shared" si="0"/>
        <v>4.9722599798372489</v>
      </c>
    </row>
    <row r="42" spans="1:10" hidden="1" x14ac:dyDescent="0.25">
      <c r="A42" s="9" t="s">
        <v>113</v>
      </c>
      <c r="B42" s="86" t="s">
        <v>383</v>
      </c>
      <c r="C42" s="9" t="s">
        <v>362</v>
      </c>
      <c r="D42" s="281" t="s">
        <v>158</v>
      </c>
      <c r="E42" s="282">
        <f>VLOOKUP(A42,ImportDataWA!A$14:S$140,2,0)</f>
        <v>41694</v>
      </c>
      <c r="F42" s="283">
        <f>VLOOKUP(A42,ImportDataWA!A$14:S$140,10,0)</f>
        <v>691665.00719439518</v>
      </c>
      <c r="G42" s="302">
        <f>VLOOKUP(A42,ImportDataWA!A$14:S$140,15,0)</f>
        <v>3.4944671169030901</v>
      </c>
      <c r="H42" s="302">
        <f>VLOOKUP(A42,ImportDataWA!A$14:S$140,19,0)</f>
        <v>3.1860814763527854</v>
      </c>
      <c r="I42" s="303">
        <f t="shared" si="0"/>
        <v>6.6805485932558755</v>
      </c>
    </row>
    <row r="43" spans="1:10" hidden="1" x14ac:dyDescent="0.25">
      <c r="A43" s="9" t="s">
        <v>365</v>
      </c>
      <c r="B43" s="86" t="s">
        <v>219</v>
      </c>
      <c r="C43" s="9" t="s">
        <v>362</v>
      </c>
      <c r="D43" s="281" t="s">
        <v>158</v>
      </c>
      <c r="E43" s="282">
        <f>VLOOKUP(A43,ImportDataWA!A$14:S$140,2,0)</f>
        <v>44964</v>
      </c>
      <c r="F43" s="283">
        <f>VLOOKUP(A43,ImportDataWA!A$14:S$140,10,0)</f>
        <v>493602.00417865033</v>
      </c>
      <c r="G43" s="302">
        <f>VLOOKUP(A43,ImportDataWA!A$14:S$140,15,0)</f>
        <v>3.1620383173984781</v>
      </c>
      <c r="H43" s="302">
        <f>VLOOKUP(A43,ImportDataWA!A$14:S$140,19,0)</f>
        <v>0.7348894968015639</v>
      </c>
      <c r="I43" s="303">
        <f t="shared" si="0"/>
        <v>3.8969278142000419</v>
      </c>
    </row>
    <row r="44" spans="1:10" x14ac:dyDescent="0.25">
      <c r="A44" s="185" t="s">
        <v>40</v>
      </c>
      <c r="B44" s="86" t="s">
        <v>219</v>
      </c>
      <c r="C44" s="9" t="s">
        <v>111</v>
      </c>
      <c r="D44" s="281" t="s">
        <v>166</v>
      </c>
      <c r="E44" s="282">
        <f>VLOOKUP(A44,ImportDataWA!A$14:S$140,2,0)</f>
        <v>41701</v>
      </c>
      <c r="F44" s="283">
        <f>VLOOKUP(A44,ImportDataWA!A$14:S$140,10,0)</f>
        <v>736725.03321212158</v>
      </c>
      <c r="G44" s="302">
        <f>VLOOKUP(A44,ImportDataWA!A$14:S$140,15,0)</f>
        <v>0</v>
      </c>
      <c r="H44" s="302">
        <f>VLOOKUP(A44,ImportDataWA!A$14:S$140,19,0)</f>
        <v>0</v>
      </c>
      <c r="I44" s="303">
        <f t="shared" si="0"/>
        <v>0</v>
      </c>
      <c r="J44">
        <v>100000</v>
      </c>
    </row>
    <row r="45" spans="1:10" hidden="1" x14ac:dyDescent="0.25">
      <c r="A45" s="77" t="s">
        <v>481</v>
      </c>
      <c r="B45" s="86" t="s">
        <v>383</v>
      </c>
      <c r="C45" s="9" t="s">
        <v>111</v>
      </c>
      <c r="D45" s="281" t="s">
        <v>166</v>
      </c>
      <c r="E45" s="282">
        <f>VLOOKUP(A45,ImportDataWA!A$14:S$140,2,0)</f>
        <v>41701</v>
      </c>
      <c r="F45" s="283">
        <f>VLOOKUP(A45,ImportDataWA!A$14:S$140,10,0)</f>
        <v>962297.6908017901</v>
      </c>
      <c r="G45" s="302">
        <f>VLOOKUP(A45,ImportDataWA!A$14:S$140,15,0)</f>
        <v>5.6421473632177789E-2</v>
      </c>
      <c r="H45" s="302">
        <f>VLOOKUP(A45,ImportDataWA!A$14:S$140,19,0)</f>
        <v>0.21003713973068863</v>
      </c>
      <c r="I45" s="303">
        <f t="shared" si="0"/>
        <v>0.26645861336286641</v>
      </c>
    </row>
    <row r="46" spans="1:10" x14ac:dyDescent="0.25">
      <c r="A46" s="9" t="s">
        <v>428</v>
      </c>
      <c r="B46" s="86" t="s">
        <v>219</v>
      </c>
      <c r="C46" s="9" t="s">
        <v>111</v>
      </c>
      <c r="D46" s="281" t="s">
        <v>166</v>
      </c>
      <c r="E46" s="282">
        <f>VLOOKUP(A46,ImportDataWA!A$14:S$140,2,0)</f>
        <v>45718</v>
      </c>
      <c r="F46" s="283">
        <f>VLOOKUP(A46,ImportDataWA!A$14:S$140,10,0)</f>
        <v>684483.0212487058</v>
      </c>
      <c r="G46" s="302">
        <f>VLOOKUP(A46,ImportDataWA!A$14:S$140,15,0)</f>
        <v>0</v>
      </c>
      <c r="H46" s="302">
        <f>VLOOKUP(A46,ImportDataWA!A$14:S$140,19,0)</f>
        <v>0</v>
      </c>
      <c r="I46" s="303">
        <f t="shared" si="0"/>
        <v>0</v>
      </c>
      <c r="J46">
        <v>100000</v>
      </c>
    </row>
    <row r="47" spans="1:10" hidden="1" x14ac:dyDescent="0.25">
      <c r="A47" s="9" t="s">
        <v>430</v>
      </c>
      <c r="B47" s="86" t="s">
        <v>219</v>
      </c>
      <c r="C47" s="9" t="s">
        <v>111</v>
      </c>
      <c r="D47" s="281" t="s">
        <v>166</v>
      </c>
      <c r="E47" s="282">
        <f>VLOOKUP(A47,ImportDataWA!A$14:S$140,2,0)</f>
        <v>45963</v>
      </c>
      <c r="F47" s="283">
        <f>VLOOKUP(A47,ImportDataWA!A$14:S$140,10,0)</f>
        <v>661722.67761666584</v>
      </c>
      <c r="G47" s="302">
        <f>VLOOKUP(A47,ImportDataWA!A$14:S$140,15,0)</f>
        <v>0.20335095633578676</v>
      </c>
      <c r="H47" s="302">
        <f>VLOOKUP(A47,ImportDataWA!A$14:S$140,19,0)</f>
        <v>0</v>
      </c>
      <c r="I47" s="303">
        <f t="shared" si="0"/>
        <v>0.20335095633578676</v>
      </c>
    </row>
    <row r="48" spans="1:10" x14ac:dyDescent="0.25">
      <c r="A48" s="185" t="s">
        <v>251</v>
      </c>
      <c r="B48" s="86" t="s">
        <v>219</v>
      </c>
      <c r="C48" s="9" t="s">
        <v>111</v>
      </c>
      <c r="D48" s="281" t="s">
        <v>166</v>
      </c>
      <c r="E48" s="282">
        <f>VLOOKUP(A48,ImportDataWA!A$14:S$140,2,0)</f>
        <v>41715</v>
      </c>
      <c r="F48" s="283">
        <f>VLOOKUP(A48,ImportDataWA!A$14:S$140,10,0)</f>
        <v>874475.87430303055</v>
      </c>
      <c r="G48" s="302">
        <f>VLOOKUP(A48,ImportDataWA!A$14:S$140,15,0)</f>
        <v>0</v>
      </c>
      <c r="H48" s="302">
        <f>VLOOKUP(A48,ImportDataWA!A$14:S$140,19,0)</f>
        <v>0</v>
      </c>
      <c r="I48" s="303">
        <f t="shared" si="0"/>
        <v>0</v>
      </c>
      <c r="J48">
        <v>100000</v>
      </c>
    </row>
    <row r="49" spans="1:10" hidden="1" x14ac:dyDescent="0.25">
      <c r="A49" t="s">
        <v>17</v>
      </c>
      <c r="B49" s="86" t="s">
        <v>219</v>
      </c>
      <c r="C49" s="9" t="s">
        <v>152</v>
      </c>
      <c r="D49" s="281" t="s">
        <v>161</v>
      </c>
      <c r="E49" s="282">
        <f>VLOOKUP(A49,ImportDataWA!A$14:S$140,2,0)</f>
        <v>43740</v>
      </c>
      <c r="F49" s="283">
        <f>VLOOKUP(A49,ImportDataWA!A$14:S$140,10,0)</f>
        <v>822545.11182540329</v>
      </c>
      <c r="G49" s="302">
        <f>VLOOKUP(A49,ImportDataWA!A$14:S$140,15,0)</f>
        <v>3.2420304290668862</v>
      </c>
      <c r="H49" s="302">
        <f>VLOOKUP(A49,ImportDataWA!A$14:S$140,19,0)</f>
        <v>0.59935262686175139</v>
      </c>
      <c r="I49" s="303">
        <f t="shared" si="0"/>
        <v>3.8413830559286377</v>
      </c>
    </row>
    <row r="50" spans="1:10" hidden="1" x14ac:dyDescent="0.25">
      <c r="A50" s="185" t="s">
        <v>344</v>
      </c>
      <c r="B50" s="86" t="s">
        <v>219</v>
      </c>
      <c r="C50" s="9" t="s">
        <v>148</v>
      </c>
      <c r="D50" s="281" t="s">
        <v>161</v>
      </c>
      <c r="E50" s="282">
        <f>VLOOKUP(A50,ImportDataWA!A$14:S$140,2,0)</f>
        <v>44531</v>
      </c>
      <c r="F50" s="283">
        <f>VLOOKUP(A50,ImportDataWA!A$14:S$140,10,0)</f>
        <v>546307.49396540318</v>
      </c>
      <c r="G50" s="302">
        <f>VLOOKUP(A50,ImportDataWA!A$14:S$140,15,0)</f>
        <v>6.8931978090218697</v>
      </c>
      <c r="H50" s="302">
        <f>VLOOKUP(A50,ImportDataWA!A$14:S$140,19,0)</f>
        <v>1.6169679426022967</v>
      </c>
      <c r="I50" s="303">
        <f t="shared" si="0"/>
        <v>8.5101657516241662</v>
      </c>
    </row>
    <row r="51" spans="1:10" hidden="1" x14ac:dyDescent="0.25">
      <c r="A51" s="185" t="s">
        <v>36</v>
      </c>
      <c r="B51" s="86" t="s">
        <v>218</v>
      </c>
      <c r="C51" s="9" t="s">
        <v>148</v>
      </c>
      <c r="D51" s="281" t="s">
        <v>161</v>
      </c>
      <c r="E51" s="282">
        <f>VLOOKUP(A51,ImportDataWA!A$14:S$140,2,0)</f>
        <v>41336</v>
      </c>
      <c r="F51" s="283">
        <f>VLOOKUP(A51,ImportDataWA!A$14:S$140,10,0)</f>
        <v>1246533.5092008857</v>
      </c>
      <c r="G51" s="302">
        <f>VLOOKUP(A51,ImportDataWA!A$14:S$140,15,0)</f>
        <v>0.47112470137221563</v>
      </c>
      <c r="H51" s="302">
        <f>VLOOKUP(A51,ImportDataWA!A$14:S$140,19,0)</f>
        <v>0</v>
      </c>
      <c r="I51" s="303">
        <f t="shared" si="0"/>
        <v>0.47112470137221563</v>
      </c>
    </row>
    <row r="52" spans="1:10" hidden="1" x14ac:dyDescent="0.25">
      <c r="A52" t="s">
        <v>77</v>
      </c>
      <c r="B52" s="86" t="s">
        <v>383</v>
      </c>
      <c r="C52" s="9" t="s">
        <v>152</v>
      </c>
      <c r="D52" t="s">
        <v>161</v>
      </c>
      <c r="E52" s="282">
        <f>VLOOKUP(A52,ImportDataWA!A$14:S$140,2,0)</f>
        <v>41827</v>
      </c>
      <c r="F52" s="283">
        <f>VLOOKUP(A52,ImportDataWA!A$14:S$140,10,0)</f>
        <v>744328.23066652054</v>
      </c>
      <c r="G52" s="302">
        <f>VLOOKUP(A52,ImportDataWA!A$14:S$140,15,0)</f>
        <v>5.3644626802402966</v>
      </c>
      <c r="H52" s="302">
        <f>VLOOKUP(A52,ImportDataWA!A$14:S$140,19,0)</f>
        <v>0.85346291933865626</v>
      </c>
      <c r="I52" s="303">
        <f t="shared" si="0"/>
        <v>6.2179255995789529</v>
      </c>
    </row>
    <row r="53" spans="1:10" x14ac:dyDescent="0.25">
      <c r="A53" s="9" t="s">
        <v>79</v>
      </c>
      <c r="B53" s="86" t="s">
        <v>219</v>
      </c>
      <c r="C53" s="9" t="s">
        <v>148</v>
      </c>
      <c r="D53" s="281" t="s">
        <v>161</v>
      </c>
      <c r="E53" s="282">
        <f>VLOOKUP(A53,ImportDataWA!A$14:S$140,2,0)</f>
        <v>41411</v>
      </c>
      <c r="F53" s="283">
        <f>VLOOKUP(A53,ImportDataWA!A$14:S$140,10,0)</f>
        <v>584418.54087293323</v>
      </c>
      <c r="G53" s="302">
        <f>VLOOKUP(A53,ImportDataWA!A$14:S$140,15,0)</f>
        <v>0</v>
      </c>
      <c r="H53" s="302">
        <f>VLOOKUP(A53,ImportDataWA!A$14:S$140,19,0)</f>
        <v>0</v>
      </c>
      <c r="I53" s="303">
        <f t="shared" si="0"/>
        <v>0</v>
      </c>
      <c r="J53">
        <v>100000</v>
      </c>
    </row>
    <row r="54" spans="1:10" hidden="1" x14ac:dyDescent="0.25">
      <c r="A54" s="9" t="s">
        <v>82</v>
      </c>
      <c r="B54" s="86" t="s">
        <v>383</v>
      </c>
      <c r="C54" s="9" t="s">
        <v>152</v>
      </c>
      <c r="D54" s="281" t="s">
        <v>161</v>
      </c>
      <c r="E54" s="282">
        <f>VLOOKUP(A54,ImportDataWA!A$14:S$140,2,0)</f>
        <v>41827</v>
      </c>
      <c r="F54" s="283">
        <f>VLOOKUP(A54,ImportDataWA!A$14:S$140,10,0)</f>
        <v>742572.29971700604</v>
      </c>
      <c r="G54" s="302">
        <f>VLOOKUP(A54,ImportDataWA!A$14:S$140,15,0)</f>
        <v>19.275269371407973</v>
      </c>
      <c r="H54" s="302">
        <f>VLOOKUP(A54,ImportDataWA!A$14:S$140,19,0)</f>
        <v>1.1483568266981512</v>
      </c>
      <c r="I54" s="303">
        <f t="shared" si="0"/>
        <v>20.423626198106124</v>
      </c>
    </row>
    <row r="55" spans="1:10" hidden="1" x14ac:dyDescent="0.25">
      <c r="A55" s="9" t="s">
        <v>87</v>
      </c>
      <c r="B55" s="86" t="s">
        <v>383</v>
      </c>
      <c r="C55" s="9" t="s">
        <v>148</v>
      </c>
      <c r="D55" s="281" t="s">
        <v>161</v>
      </c>
      <c r="E55" s="282">
        <f>VLOOKUP(A55,ImportDataWA!A$14:S$140,2,0)</f>
        <v>41736</v>
      </c>
      <c r="F55" s="283">
        <f>VLOOKUP(A55,ImportDataWA!A$14:S$140,10,0)</f>
        <v>589253.73991887551</v>
      </c>
      <c r="G55" s="302">
        <f>VLOOKUP(A55,ImportDataWA!A$14:S$140,15,0)</f>
        <v>1.2054693485144281</v>
      </c>
      <c r="H55" s="302">
        <f>VLOOKUP(A55,ImportDataWA!A$14:S$140,19,0)</f>
        <v>2.714436477976641</v>
      </c>
      <c r="I55" s="303">
        <f t="shared" si="0"/>
        <v>3.9199058264910693</v>
      </c>
    </row>
    <row r="56" spans="1:10" hidden="1" x14ac:dyDescent="0.25">
      <c r="A56" s="9" t="s">
        <v>88</v>
      </c>
      <c r="B56" s="86" t="s">
        <v>219</v>
      </c>
      <c r="C56" s="9" t="s">
        <v>152</v>
      </c>
      <c r="D56" s="281" t="s">
        <v>161</v>
      </c>
      <c r="E56" s="282">
        <f>VLOOKUP(A56,ImportDataWA!A$14:S$140,2,0)</f>
        <v>40603</v>
      </c>
      <c r="F56" s="283">
        <f>VLOOKUP(A56,ImportDataWA!A$14:S$140,10,0)</f>
        <v>516911.56169564067</v>
      </c>
      <c r="G56" s="302">
        <f>VLOOKUP(A56,ImportDataWA!A$14:S$140,15,0)</f>
        <v>8.2143467997643107</v>
      </c>
      <c r="H56" s="302">
        <f>VLOOKUP(A56,ImportDataWA!A$14:S$140,19,0)</f>
        <v>2.1910479438275852</v>
      </c>
      <c r="I56" s="303">
        <f t="shared" si="0"/>
        <v>10.405394743591895</v>
      </c>
    </row>
    <row r="57" spans="1:10" hidden="1" x14ac:dyDescent="0.25">
      <c r="A57" s="9" t="s">
        <v>341</v>
      </c>
      <c r="B57" s="86" t="s">
        <v>219</v>
      </c>
      <c r="C57" s="9" t="s">
        <v>148</v>
      </c>
      <c r="D57" s="281" t="s">
        <v>161</v>
      </c>
      <c r="E57" s="282">
        <f>VLOOKUP(A57,ImportDataWA!A$14:S$140,2,0)</f>
        <v>44501</v>
      </c>
      <c r="F57" s="283">
        <f>VLOOKUP(A57,ImportDataWA!A$14:S$140,10,0)</f>
        <v>415988.72412121214</v>
      </c>
      <c r="G57" s="302">
        <f>VLOOKUP(A57,ImportDataWA!A$14:S$140,15,0)</f>
        <v>4.8122742636584066</v>
      </c>
      <c r="H57" s="302">
        <f>VLOOKUP(A57,ImportDataWA!A$14:S$140,19,0)</f>
        <v>0.93824666924086619</v>
      </c>
      <c r="I57" s="303">
        <f t="shared" si="0"/>
        <v>5.7505209328992724</v>
      </c>
    </row>
    <row r="58" spans="1:10" hidden="1" x14ac:dyDescent="0.25">
      <c r="A58" s="9" t="s">
        <v>98</v>
      </c>
      <c r="B58" s="86" t="s">
        <v>383</v>
      </c>
      <c r="C58" s="9" t="s">
        <v>148</v>
      </c>
      <c r="D58" s="281" t="s">
        <v>161</v>
      </c>
      <c r="E58" s="282">
        <f>VLOOKUP(A58,ImportDataWA!A$14:S$140,2,0)</f>
        <v>41884</v>
      </c>
      <c r="F58" s="283">
        <f>VLOOKUP(A58,ImportDataWA!A$14:S$140,10,0)</f>
        <v>837228.99680583482</v>
      </c>
      <c r="G58" s="302">
        <f>VLOOKUP(A58,ImportDataWA!A$14:S$140,15,0)</f>
        <v>7.1821420148873933</v>
      </c>
      <c r="H58" s="302">
        <f>VLOOKUP(A58,ImportDataWA!A$14:S$140,19,0)</f>
        <v>1.7976441853074367</v>
      </c>
      <c r="I58" s="303">
        <f t="shared" si="0"/>
        <v>8.9797862001948303</v>
      </c>
    </row>
    <row r="59" spans="1:10" hidden="1" x14ac:dyDescent="0.25">
      <c r="A59" s="9" t="s">
        <v>102</v>
      </c>
      <c r="B59" s="86" t="s">
        <v>383</v>
      </c>
      <c r="C59" s="9" t="s">
        <v>152</v>
      </c>
      <c r="D59" s="281" t="s">
        <v>161</v>
      </c>
      <c r="E59" s="282">
        <f>VLOOKUP(A59,ImportDataWA!A$14:S$140,2,0)</f>
        <v>40199</v>
      </c>
      <c r="F59" s="283">
        <f>VLOOKUP(A59,ImportDataWA!A$14:S$140,10,0)</f>
        <v>682235.77351674961</v>
      </c>
      <c r="G59" s="302">
        <f>VLOOKUP(A59,ImportDataWA!A$14:S$140,15,0)</f>
        <v>2.8138369798307239</v>
      </c>
      <c r="H59" s="302">
        <f>VLOOKUP(A59,ImportDataWA!A$14:S$140,19,0)</f>
        <v>2.687714093079717</v>
      </c>
      <c r="I59" s="303">
        <f t="shared" si="0"/>
        <v>5.5015510729104413</v>
      </c>
    </row>
    <row r="60" spans="1:10" hidden="1" x14ac:dyDescent="0.25">
      <c r="A60" t="s">
        <v>3</v>
      </c>
      <c r="B60" s="86" t="s">
        <v>219</v>
      </c>
      <c r="C60" s="9" t="s">
        <v>20</v>
      </c>
      <c r="D60" s="281" t="s">
        <v>156</v>
      </c>
      <c r="E60" s="282">
        <f>VLOOKUP(A60,ImportDataWA!A$14:S$140,2,0)</f>
        <v>38903</v>
      </c>
      <c r="F60" s="283">
        <f>VLOOKUP(A60,ImportDataWA!A$14:S$140,10,0)</f>
        <v>699862.1903251037</v>
      </c>
      <c r="G60" s="302">
        <f>VLOOKUP(A60,ImportDataWA!A$14:S$140,15,0)</f>
        <v>4.711408709488504</v>
      </c>
      <c r="H60" s="302">
        <f>VLOOKUP(A60,ImportDataWA!A$14:S$140,19,0)</f>
        <v>1.5928651228281445</v>
      </c>
      <c r="I60" s="303">
        <f t="shared" si="0"/>
        <v>6.3042738323166487</v>
      </c>
    </row>
    <row r="61" spans="1:10" hidden="1" x14ac:dyDescent="0.25">
      <c r="A61" s="185" t="s">
        <v>275</v>
      </c>
      <c r="B61" s="86" t="s">
        <v>219</v>
      </c>
      <c r="C61" s="9" t="s">
        <v>144</v>
      </c>
      <c r="D61" s="281" t="s">
        <v>156</v>
      </c>
      <c r="E61" s="282">
        <f>VLOOKUP(A61,ImportDataWA!A$14:S$140,2,0)</f>
        <v>41610</v>
      </c>
      <c r="F61" s="283">
        <f>VLOOKUP(A61,ImportDataWA!A$14:S$140,10,0)</f>
        <v>1133707.2776055171</v>
      </c>
      <c r="G61" s="302">
        <f>VLOOKUP(A61,ImportDataWA!A$14:S$140,15,0)</f>
        <v>1.262245208274013</v>
      </c>
      <c r="H61" s="302">
        <f>VLOOKUP(A61,ImportDataWA!A$14:S$140,19,0)</f>
        <v>0.4049318329143069</v>
      </c>
      <c r="I61" s="303">
        <f t="shared" si="0"/>
        <v>1.66717704118832</v>
      </c>
    </row>
    <row r="62" spans="1:10" hidden="1" x14ac:dyDescent="0.25">
      <c r="A62" s="9" t="s">
        <v>64</v>
      </c>
      <c r="B62" s="86" t="s">
        <v>219</v>
      </c>
      <c r="C62" s="9" t="s">
        <v>144</v>
      </c>
      <c r="D62" s="281" t="s">
        <v>156</v>
      </c>
      <c r="E62" s="282">
        <f>VLOOKUP(A62,ImportDataWA!A$14:S$140,2,0)</f>
        <v>41855</v>
      </c>
      <c r="F62" s="283">
        <f>VLOOKUP(A62,ImportDataWA!A$14:S$140,10,0)</f>
        <v>681779.60386209772</v>
      </c>
      <c r="G62" s="302">
        <f>VLOOKUP(A62,ImportDataWA!A$14:S$140,15,0)</f>
        <v>1.6667609736730795</v>
      </c>
      <c r="H62" s="302">
        <f>VLOOKUP(A62,ImportDataWA!A$14:S$140,19,0)</f>
        <v>0.70748438239765921</v>
      </c>
      <c r="I62" s="303">
        <f t="shared" si="0"/>
        <v>2.3742453560707388</v>
      </c>
    </row>
    <row r="63" spans="1:10" hidden="1" x14ac:dyDescent="0.25">
      <c r="A63" s="77" t="s">
        <v>70</v>
      </c>
      <c r="B63" s="86" t="s">
        <v>219</v>
      </c>
      <c r="C63" s="9" t="s">
        <v>144</v>
      </c>
      <c r="D63" s="281" t="s">
        <v>156</v>
      </c>
      <c r="E63" s="282">
        <f>VLOOKUP(A63,ImportDataWA!A$14:S$140,2,0)</f>
        <v>43144</v>
      </c>
      <c r="F63" s="283">
        <f>VLOOKUP(A63,ImportDataWA!A$14:S$140,10,0)</f>
        <v>464710.26003501355</v>
      </c>
      <c r="G63" s="302">
        <f>VLOOKUP(A63,ImportDataWA!A$14:S$140,15,0)</f>
        <v>2.3853465948441013</v>
      </c>
      <c r="H63" s="302">
        <f>VLOOKUP(A63,ImportDataWA!A$14:S$140,19,0)</f>
        <v>5.769001015061253</v>
      </c>
      <c r="I63" s="303">
        <f t="shared" si="0"/>
        <v>8.1543476099053542</v>
      </c>
    </row>
    <row r="64" spans="1:10" x14ac:dyDescent="0.25">
      <c r="A64" s="9" t="s">
        <v>74</v>
      </c>
      <c r="B64" s="86" t="s">
        <v>219</v>
      </c>
      <c r="C64" s="9" t="s">
        <v>144</v>
      </c>
      <c r="D64" s="281" t="s">
        <v>156</v>
      </c>
      <c r="E64" s="282">
        <f>VLOOKUP(A64,ImportDataWA!A$14:S$140,2,0)</f>
        <v>43305</v>
      </c>
      <c r="F64" s="283">
        <f>VLOOKUP(A64,ImportDataWA!A$14:S$140,10,0)</f>
        <v>466281.83719301998</v>
      </c>
      <c r="G64" s="302">
        <f>VLOOKUP(A64,ImportDataWA!A$14:S$140,15,0)</f>
        <v>0</v>
      </c>
      <c r="H64" s="302">
        <f>VLOOKUP(A64,ImportDataWA!A$14:S$140,19,0)</f>
        <v>0</v>
      </c>
      <c r="I64" s="303">
        <f t="shared" si="0"/>
        <v>0</v>
      </c>
      <c r="J64">
        <v>100000</v>
      </c>
    </row>
    <row r="65" spans="1:10" hidden="1" x14ac:dyDescent="0.25">
      <c r="A65" s="9" t="s">
        <v>94</v>
      </c>
      <c r="B65" s="86" t="s">
        <v>383</v>
      </c>
      <c r="C65" s="9" t="s">
        <v>20</v>
      </c>
      <c r="D65" s="281" t="s">
        <v>156</v>
      </c>
      <c r="E65" s="282">
        <f>VLOOKUP(A65,ImportDataWA!A$14:S$140,2,0)</f>
        <v>42814</v>
      </c>
      <c r="F65" s="283">
        <f>VLOOKUP(A65,ImportDataWA!A$14:S$140,10,0)</f>
        <v>566758.54878814006</v>
      </c>
      <c r="G65" s="302">
        <f>VLOOKUP(A65,ImportDataWA!A$14:S$140,15,0)</f>
        <v>3.3262548578669633</v>
      </c>
      <c r="H65" s="302">
        <f>VLOOKUP(A65,ImportDataWA!A$14:S$140,19,0)</f>
        <v>0.24508176925746006</v>
      </c>
      <c r="I65" s="303">
        <f t="shared" si="0"/>
        <v>3.5713366271244231</v>
      </c>
    </row>
    <row r="66" spans="1:10" hidden="1" x14ac:dyDescent="0.25">
      <c r="A66" s="185" t="s">
        <v>335</v>
      </c>
      <c r="B66" s="86" t="s">
        <v>219</v>
      </c>
      <c r="C66" s="9" t="s">
        <v>20</v>
      </c>
      <c r="D66" s="281" t="s">
        <v>156</v>
      </c>
      <c r="E66" s="282">
        <f>VLOOKUP(A66,ImportDataWA!A$14:S$140,2,0)</f>
        <v>42814</v>
      </c>
      <c r="F66" s="283">
        <f>VLOOKUP(A66,ImportDataWA!A$14:S$140,10,0)</f>
        <v>437711.24467448739</v>
      </c>
      <c r="G66" s="302">
        <f>VLOOKUP(A66,ImportDataWA!A$14:S$140,15,0)</f>
        <v>2.423100543551306</v>
      </c>
      <c r="H66" s="302">
        <f>VLOOKUP(A66,ImportDataWA!A$14:S$140,19,0)</f>
        <v>1.8377474355781112</v>
      </c>
      <c r="I66" s="303">
        <f t="shared" si="0"/>
        <v>4.2608479791294176</v>
      </c>
    </row>
    <row r="67" spans="1:10" x14ac:dyDescent="0.25">
      <c r="A67" s="9" t="s">
        <v>99</v>
      </c>
      <c r="B67" s="86" t="s">
        <v>219</v>
      </c>
      <c r="C67" s="9" t="s">
        <v>144</v>
      </c>
      <c r="D67" s="281" t="s">
        <v>156</v>
      </c>
      <c r="E67" s="282">
        <f>VLOOKUP(A67,ImportDataWA!A$14:S$140,2,0)</f>
        <v>42493</v>
      </c>
      <c r="F67" s="283">
        <f>VLOOKUP(A67,ImportDataWA!A$14:S$140,10,0)</f>
        <v>748599.56802059198</v>
      </c>
      <c r="G67" s="302">
        <f>VLOOKUP(A67,ImportDataWA!A$14:S$140,15,0)</f>
        <v>0</v>
      </c>
      <c r="H67" s="302">
        <f>VLOOKUP(A67,ImportDataWA!A$14:S$140,19,0)</f>
        <v>0</v>
      </c>
      <c r="I67" s="303">
        <f t="shared" si="0"/>
        <v>0</v>
      </c>
      <c r="J67">
        <v>100000</v>
      </c>
    </row>
    <row r="68" spans="1:10" hidden="1" x14ac:dyDescent="0.25">
      <c r="A68" t="s">
        <v>110</v>
      </c>
      <c r="B68" s="86" t="s">
        <v>219</v>
      </c>
      <c r="C68" s="9" t="s">
        <v>20</v>
      </c>
      <c r="D68" s="281" t="s">
        <v>156</v>
      </c>
      <c r="E68" s="282">
        <f>VLOOKUP(A68,ImportDataWA!A$14:S$140,2,0)</f>
        <v>38903</v>
      </c>
      <c r="F68" s="283">
        <f>VLOOKUP(A68,ImportDataWA!A$14:S$140,10,0)</f>
        <v>669471.94401297998</v>
      </c>
      <c r="G68" s="302">
        <f>VLOOKUP(A68,ImportDataWA!A$14:S$140,15,0)</f>
        <v>2.7693204415642798</v>
      </c>
      <c r="H68" s="302">
        <f>VLOOKUP(A68,ImportDataWA!A$14:S$140,19,0)</f>
        <v>2.681314979019267</v>
      </c>
      <c r="I68" s="303">
        <f t="shared" si="0"/>
        <v>5.4506354205835468</v>
      </c>
    </row>
    <row r="69" spans="1:10" hidden="1" x14ac:dyDescent="0.25">
      <c r="A69" s="9" t="s">
        <v>10</v>
      </c>
      <c r="B69" s="86" t="s">
        <v>218</v>
      </c>
      <c r="C69" s="9" t="s">
        <v>135</v>
      </c>
      <c r="D69" s="281" t="s">
        <v>155</v>
      </c>
      <c r="E69" s="282">
        <f>VLOOKUP(A69,ImportDataWA!A$14:S$140,2,0)</f>
        <v>43862</v>
      </c>
      <c r="F69" s="283">
        <f>VLOOKUP(A69,ImportDataWA!A$14:S$140,10,0)</f>
        <v>923439.90920002246</v>
      </c>
      <c r="G69" s="302">
        <f>VLOOKUP(A69,ImportDataWA!A$14:S$140,15,0)</f>
        <v>1.7493329181105381</v>
      </c>
      <c r="H69" s="302">
        <f>VLOOKUP(A69,ImportDataWA!A$14:S$140,19,0)</f>
        <v>1.5867548507540667</v>
      </c>
      <c r="I69" s="303">
        <f t="shared" si="0"/>
        <v>3.3360877688646049</v>
      </c>
    </row>
    <row r="70" spans="1:10" hidden="1" x14ac:dyDescent="0.25">
      <c r="A70" s="9" t="s">
        <v>11</v>
      </c>
      <c r="B70" s="86" t="s">
        <v>383</v>
      </c>
      <c r="C70" s="9" t="s">
        <v>135</v>
      </c>
      <c r="D70" s="281" t="s">
        <v>155</v>
      </c>
      <c r="E70" s="282">
        <f>VLOOKUP(A70,ImportDataWA!A$14:S$140,2,0)</f>
        <v>39417</v>
      </c>
      <c r="F70" s="283">
        <f>VLOOKUP(A70,ImportDataWA!A$14:S$140,10,0)</f>
        <v>697313.97486840864</v>
      </c>
      <c r="G70" s="302">
        <f>VLOOKUP(A70,ImportDataWA!A$14:S$140,15,0)</f>
        <v>5.5062333054507215</v>
      </c>
      <c r="H70" s="302">
        <f>VLOOKUP(A70,ImportDataWA!A$14:S$140,19,0)</f>
        <v>1.9990924881825769</v>
      </c>
      <c r="I70" s="303">
        <f t="shared" si="0"/>
        <v>7.5053257936332987</v>
      </c>
    </row>
    <row r="71" spans="1:10" hidden="1" x14ac:dyDescent="0.25">
      <c r="A71" s="9" t="s">
        <v>350</v>
      </c>
      <c r="B71" s="86" t="s">
        <v>219</v>
      </c>
      <c r="C71" s="9" t="s">
        <v>135</v>
      </c>
      <c r="D71" s="281" t="s">
        <v>155</v>
      </c>
      <c r="E71" s="282">
        <f>VLOOKUP(A71,ImportDataWA!A$14:S$140,2,0)</f>
        <v>44668</v>
      </c>
      <c r="F71" s="283">
        <f>VLOOKUP(A71,ImportDataWA!A$14:S$140,10,0)</f>
        <v>135723.81889851336</v>
      </c>
      <c r="G71" s="302">
        <f>VLOOKUP(A71,ImportDataWA!A$14:S$140,15,0)</f>
        <v>4.9994847506182296</v>
      </c>
      <c r="H71" s="302">
        <f>VLOOKUP(A71,ImportDataWA!A$14:S$140,19,0)</f>
        <v>14.458968390382324</v>
      </c>
      <c r="I71" s="303">
        <f t="shared" ref="I71:I132" si="1">G71+H71</f>
        <v>19.458453141000554</v>
      </c>
    </row>
    <row r="72" spans="1:10" hidden="1" x14ac:dyDescent="0.25">
      <c r="A72" s="185" t="s">
        <v>26</v>
      </c>
      <c r="B72" s="86" t="s">
        <v>218</v>
      </c>
      <c r="C72" s="9" t="s">
        <v>147</v>
      </c>
      <c r="D72" s="281" t="s">
        <v>155</v>
      </c>
      <c r="E72" s="282">
        <f>VLOOKUP(A72,ImportDataWA!A$14:S$140,2,0)</f>
        <v>40269</v>
      </c>
      <c r="F72" s="283">
        <f>VLOOKUP(A72,ImportDataWA!A$14:S$140,10,0)</f>
        <v>932109.98977164284</v>
      </c>
      <c r="G72" s="302">
        <f>VLOOKUP(A72,ImportDataWA!A$14:S$140,15,0)</f>
        <v>0.69799279885998455</v>
      </c>
      <c r="H72" s="302">
        <f>VLOOKUP(A72,ImportDataWA!A$14:S$140,19,0)</f>
        <v>2.1263015628830022</v>
      </c>
      <c r="I72" s="303">
        <f t="shared" si="1"/>
        <v>2.8242943617429868</v>
      </c>
    </row>
    <row r="73" spans="1:10" hidden="1" x14ac:dyDescent="0.25">
      <c r="A73" t="s">
        <v>89</v>
      </c>
      <c r="B73" s="86" t="s">
        <v>383</v>
      </c>
      <c r="C73" s="9" t="s">
        <v>147</v>
      </c>
      <c r="D73" s="281" t="s">
        <v>155</v>
      </c>
      <c r="E73" s="282">
        <f>VLOOKUP(A73,ImportDataWA!A$14:S$140,2,0)</f>
        <v>43346</v>
      </c>
      <c r="F73" s="283">
        <f>VLOOKUP(A73,ImportDataWA!A$14:S$140,10,0)</f>
        <v>625178.30662011995</v>
      </c>
      <c r="G73" s="302">
        <f>VLOOKUP(A73,ImportDataWA!A$14:S$140,15,0)</f>
        <v>2.3045548804175113</v>
      </c>
      <c r="H73" s="302">
        <f>VLOOKUP(A73,ImportDataWA!A$14:S$140,19,0)</f>
        <v>0.9364641144813115</v>
      </c>
      <c r="I73" s="303">
        <f t="shared" si="1"/>
        <v>3.2410189948988228</v>
      </c>
    </row>
    <row r="74" spans="1:10" hidden="1" x14ac:dyDescent="0.25">
      <c r="A74" t="s">
        <v>92</v>
      </c>
      <c r="B74" s="86" t="s">
        <v>219</v>
      </c>
      <c r="C74" s="9" t="s">
        <v>147</v>
      </c>
      <c r="D74" s="281" t="s">
        <v>155</v>
      </c>
      <c r="E74" s="282">
        <f>VLOOKUP(A74,ImportDataWA!A$14:S$140,2,0)</f>
        <v>40650</v>
      </c>
      <c r="F74" s="283">
        <f>VLOOKUP(A74,ImportDataWA!A$14:S$140,10,0)</f>
        <v>721507.50067340443</v>
      </c>
      <c r="G74" s="302">
        <f>VLOOKUP(A74,ImportDataWA!A$14:S$140,15,0)</f>
        <v>0.48758238255843644</v>
      </c>
      <c r="H74" s="302">
        <f>VLOOKUP(A74,ImportDataWA!A$14:S$140,19,0)</f>
        <v>1.2804261800039214</v>
      </c>
      <c r="I74" s="303">
        <f t="shared" si="1"/>
        <v>1.7680085625623578</v>
      </c>
    </row>
    <row r="75" spans="1:10" hidden="1" x14ac:dyDescent="0.25">
      <c r="A75" s="185" t="s">
        <v>388</v>
      </c>
      <c r="B75" s="86" t="s">
        <v>219</v>
      </c>
      <c r="C75" s="9" t="s">
        <v>135</v>
      </c>
      <c r="D75" s="281" t="s">
        <v>155</v>
      </c>
      <c r="E75" s="282">
        <f>VLOOKUP(A75,ImportDataWA!A$14:S$140,2,0)</f>
        <v>45354</v>
      </c>
      <c r="F75" s="283">
        <f>VLOOKUP(A75,ImportDataWA!A$14:S$140,10,0)</f>
        <v>635744.60198799649</v>
      </c>
      <c r="G75" s="302">
        <f>VLOOKUP(A75,ImportDataWA!A$14:S$140,15,0)</f>
        <v>0.42264845568833864</v>
      </c>
      <c r="H75" s="302">
        <f>VLOOKUP(A75,ImportDataWA!A$14:S$140,19,0)</f>
        <v>0.41745843318942788</v>
      </c>
      <c r="I75" s="303">
        <f t="shared" si="1"/>
        <v>0.84010688887776652</v>
      </c>
    </row>
    <row r="76" spans="1:10" hidden="1" x14ac:dyDescent="0.25">
      <c r="A76" t="s">
        <v>351</v>
      </c>
      <c r="B76" s="86" t="s">
        <v>219</v>
      </c>
      <c r="C76" s="9" t="s">
        <v>147</v>
      </c>
      <c r="D76" s="281" t="s">
        <v>155</v>
      </c>
      <c r="E76" s="282">
        <f>VLOOKUP(A76,ImportDataWA!A$14:S$140,2,0)</f>
        <v>44668</v>
      </c>
      <c r="F76" s="283">
        <f>VLOOKUP(A76,ImportDataWA!A$14:S$140,10,0)</f>
        <v>695638.74932069099</v>
      </c>
      <c r="G76" s="302">
        <f>VLOOKUP(A76,ImportDataWA!A$14:S$140,15,0)</f>
        <v>0.26443802996165605</v>
      </c>
      <c r="H76" s="302">
        <f>VLOOKUP(A76,ImportDataWA!A$14:S$140,19,0)</f>
        <v>1.1749235625155929</v>
      </c>
      <c r="I76" s="303">
        <f t="shared" si="1"/>
        <v>1.4393615924772489</v>
      </c>
    </row>
    <row r="77" spans="1:10" hidden="1" x14ac:dyDescent="0.25">
      <c r="A77" s="185" t="s">
        <v>345</v>
      </c>
      <c r="B77" s="86" t="s">
        <v>219</v>
      </c>
      <c r="C77" s="9" t="s">
        <v>135</v>
      </c>
      <c r="D77" s="281" t="s">
        <v>155</v>
      </c>
      <c r="E77" s="282">
        <f>VLOOKUP(A77,ImportDataWA!A$14:S$140,2,0)</f>
        <v>44563</v>
      </c>
      <c r="F77" s="283">
        <f>VLOOKUP(A77,ImportDataWA!A$14:S$140,10,0)</f>
        <v>573797.51471936889</v>
      </c>
      <c r="G77" s="302">
        <f>VLOOKUP(A77,ImportDataWA!A$14:S$140,15,0)</f>
        <v>2.8288417926406946</v>
      </c>
      <c r="H77" s="302">
        <f>VLOOKUP(A77,ImportDataWA!A$14:S$140,19,0)</f>
        <v>1.6853825629561008</v>
      </c>
      <c r="I77" s="303">
        <f t="shared" si="1"/>
        <v>4.5142243555967951</v>
      </c>
    </row>
    <row r="78" spans="1:10" hidden="1" x14ac:dyDescent="0.25">
      <c r="A78" s="77" t="s">
        <v>357</v>
      </c>
      <c r="B78" s="86" t="s">
        <v>219</v>
      </c>
      <c r="C78" s="9" t="s">
        <v>147</v>
      </c>
      <c r="D78" s="281" t="s">
        <v>155</v>
      </c>
      <c r="E78" s="282">
        <f>VLOOKUP(A78,ImportDataWA!A$14:S$140,2,0)</f>
        <v>43108</v>
      </c>
      <c r="F78" s="283">
        <f>VLOOKUP(A78,ImportDataWA!A$14:S$140,10,0)</f>
        <v>456818.22117322008</v>
      </c>
      <c r="G78" s="302">
        <f>VLOOKUP(A78,ImportDataWA!A$14:S$140,15,0)</f>
        <v>1.1423242150212249</v>
      </c>
      <c r="H78" s="302">
        <f>VLOOKUP(A78,ImportDataWA!A$14:S$140,19,0)</f>
        <v>6.1030055554844065</v>
      </c>
      <c r="I78" s="303">
        <f t="shared" si="1"/>
        <v>7.2453297705056317</v>
      </c>
    </row>
    <row r="79" spans="1:10" x14ac:dyDescent="0.25">
      <c r="A79" s="185" t="s">
        <v>32</v>
      </c>
      <c r="B79" s="86" t="s">
        <v>219</v>
      </c>
      <c r="C79" s="9" t="s">
        <v>71</v>
      </c>
      <c r="D79" s="281" t="s">
        <v>165</v>
      </c>
      <c r="E79" s="282">
        <f>VLOOKUP(A79,ImportDataWA!A$14:S$140,2,0)</f>
        <v>41708</v>
      </c>
      <c r="F79" s="283">
        <f>VLOOKUP(A79,ImportDataWA!A$14:S$140,10,0)</f>
        <v>612246.39999050274</v>
      </c>
      <c r="G79" s="302">
        <f>VLOOKUP(A79,ImportDataWA!A$14:S$140,15,0)</f>
        <v>0</v>
      </c>
      <c r="H79" s="302">
        <f>VLOOKUP(A79,ImportDataWA!A$14:S$140,19,0)</f>
        <v>0</v>
      </c>
      <c r="I79" s="303">
        <f t="shared" si="1"/>
        <v>0</v>
      </c>
      <c r="J79">
        <v>100000</v>
      </c>
    </row>
    <row r="80" spans="1:10" hidden="1" x14ac:dyDescent="0.25">
      <c r="A80" s="185" t="s">
        <v>46</v>
      </c>
      <c r="B80" s="86" t="s">
        <v>219</v>
      </c>
      <c r="C80" s="9" t="s">
        <v>71</v>
      </c>
      <c r="D80" s="281" t="s">
        <v>165</v>
      </c>
      <c r="E80" s="282">
        <f>VLOOKUP(A80,ImportDataWA!A$14:S$140,2,0)</f>
        <v>43662</v>
      </c>
      <c r="F80" s="283">
        <f>VLOOKUP(A80,ImportDataWA!A$14:S$140,10,0)</f>
        <v>534911.50862857024</v>
      </c>
      <c r="G80" s="302">
        <f>VLOOKUP(A80,ImportDataWA!A$14:S$140,15,0)</f>
        <v>0.14035173363205464</v>
      </c>
      <c r="H80" s="302">
        <f>VLOOKUP(A80,ImportDataWA!A$14:S$140,19,0)</f>
        <v>1.3142112775198325</v>
      </c>
      <c r="I80" s="303">
        <f t="shared" si="1"/>
        <v>1.454563011151887</v>
      </c>
    </row>
    <row r="81" spans="1:9" hidden="1" x14ac:dyDescent="0.25">
      <c r="A81" s="185" t="s">
        <v>51</v>
      </c>
      <c r="B81" s="86" t="s">
        <v>219</v>
      </c>
      <c r="C81" s="9" t="s">
        <v>71</v>
      </c>
      <c r="D81" s="281" t="s">
        <v>165</v>
      </c>
      <c r="E81" s="282">
        <f>VLOOKUP(A81,ImportDataWA!A$14:S$140,2,0)</f>
        <v>40139</v>
      </c>
      <c r="F81" s="283">
        <f>VLOOKUP(A81,ImportDataWA!A$14:S$140,10,0)</f>
        <v>556762.97115748317</v>
      </c>
      <c r="G81" s="302">
        <f>VLOOKUP(A81,ImportDataWA!A$14:S$140,15,0)</f>
        <v>0</v>
      </c>
      <c r="H81" s="302">
        <f>VLOOKUP(A81,ImportDataWA!A$14:S$140,19,0)</f>
        <v>9.9854441895648147</v>
      </c>
      <c r="I81" s="303">
        <f t="shared" si="1"/>
        <v>9.9854441895648147</v>
      </c>
    </row>
    <row r="82" spans="1:9" hidden="1" x14ac:dyDescent="0.25">
      <c r="A82" s="9" t="s">
        <v>75</v>
      </c>
      <c r="B82" s="86" t="s">
        <v>219</v>
      </c>
      <c r="C82" s="9" t="s">
        <v>71</v>
      </c>
      <c r="D82" s="281" t="s">
        <v>165</v>
      </c>
      <c r="E82" s="282">
        <f>VLOOKUP(A82,ImportDataWA!A$14:S$140,2,0)</f>
        <v>43898</v>
      </c>
      <c r="F82" s="283">
        <f>VLOOKUP(A82,ImportDataWA!A$14:S$140,10,0)</f>
        <v>671091.73018172442</v>
      </c>
      <c r="G82" s="302">
        <f>VLOOKUP(A82,ImportDataWA!A$14:S$140,15,0)</f>
        <v>0</v>
      </c>
      <c r="H82" s="302">
        <f>VLOOKUP(A82,ImportDataWA!A$14:S$140,19,0)</f>
        <v>0.5658558929172558</v>
      </c>
      <c r="I82" s="303">
        <f t="shared" si="1"/>
        <v>0.5658558929172558</v>
      </c>
    </row>
    <row r="83" spans="1:9" hidden="1" x14ac:dyDescent="0.25">
      <c r="A83" t="s">
        <v>85</v>
      </c>
      <c r="B83" s="86" t="s">
        <v>219</v>
      </c>
      <c r="C83" s="9" t="s">
        <v>71</v>
      </c>
      <c r="D83" s="281" t="s">
        <v>165</v>
      </c>
      <c r="E83" s="282">
        <f>VLOOKUP(A83,ImportDataWA!A$14:S$140,2,0)</f>
        <v>44151</v>
      </c>
      <c r="F83" s="283">
        <f>VLOOKUP(A83,ImportDataWA!A$14:S$140,10,0)</f>
        <v>635985.12012878782</v>
      </c>
      <c r="G83" s="302">
        <f>VLOOKUP(A83,ImportDataWA!A$14:S$140,15,0)</f>
        <v>0</v>
      </c>
      <c r="H83" s="302">
        <f>VLOOKUP(A83,ImportDataWA!A$14:S$140,19,0)</f>
        <v>0.27770159907628061</v>
      </c>
      <c r="I83" s="303">
        <f t="shared" si="1"/>
        <v>0.27770159907628061</v>
      </c>
    </row>
    <row r="84" spans="1:9" hidden="1" x14ac:dyDescent="0.25">
      <c r="A84" s="185" t="s">
        <v>364</v>
      </c>
      <c r="B84" s="86" t="s">
        <v>219</v>
      </c>
      <c r="C84" s="9" t="s">
        <v>71</v>
      </c>
      <c r="D84" s="281" t="s">
        <v>165</v>
      </c>
      <c r="E84" s="282">
        <f>VLOOKUP(A84,ImportDataWA!A$14:S$140,2,0)</f>
        <v>44958</v>
      </c>
      <c r="F84" s="283">
        <f>VLOOKUP(A84,ImportDataWA!A$14:S$140,10,0)</f>
        <v>408747.02575764718</v>
      </c>
      <c r="G84" s="302">
        <f>VLOOKUP(A84,ImportDataWA!A$14:S$140,15,0)</f>
        <v>1.0727331564271543</v>
      </c>
      <c r="H84" s="302">
        <f>VLOOKUP(A84,ImportDataWA!A$14:S$140,19,0)</f>
        <v>1.6635963697140039</v>
      </c>
      <c r="I84" s="303">
        <f t="shared" si="1"/>
        <v>2.7363295261411582</v>
      </c>
    </row>
    <row r="85" spans="1:9" hidden="1" x14ac:dyDescent="0.25">
      <c r="A85" s="9" t="s">
        <v>12</v>
      </c>
      <c r="B85" s="86" t="s">
        <v>218</v>
      </c>
      <c r="C85" s="9" t="s">
        <v>140</v>
      </c>
      <c r="D85" s="281" t="s">
        <v>162</v>
      </c>
      <c r="E85" s="282">
        <f>VLOOKUP(A85,ImportDataWA!A$14:S$140,2,0)</f>
        <v>40909</v>
      </c>
      <c r="F85" s="283">
        <f>VLOOKUP(A85,ImportDataWA!A$14:S$140,10,0)</f>
        <v>1169531.3124277159</v>
      </c>
      <c r="G85" s="302">
        <f>VLOOKUP(A85,ImportDataWA!A$14:S$140,15,0)</f>
        <v>2.7961856970224757</v>
      </c>
      <c r="H85" s="302">
        <f>VLOOKUP(A85,ImportDataWA!A$14:S$140,19,0)</f>
        <v>0.88269852562440076</v>
      </c>
      <c r="I85" s="303">
        <f t="shared" si="1"/>
        <v>3.6788842226468765</v>
      </c>
    </row>
    <row r="86" spans="1:9" hidden="1" x14ac:dyDescent="0.25">
      <c r="A86" s="185" t="s">
        <v>25</v>
      </c>
      <c r="B86" s="86" t="s">
        <v>218</v>
      </c>
      <c r="C86" s="9" t="s">
        <v>141</v>
      </c>
      <c r="D86" s="281" t="s">
        <v>162</v>
      </c>
      <c r="E86" s="282">
        <f>VLOOKUP(A86,ImportDataWA!A$14:S$140,2,0)</f>
        <v>41465</v>
      </c>
      <c r="F86" s="283">
        <f>VLOOKUP(A86,ImportDataWA!A$14:S$140,10,0)</f>
        <v>780293.19837961462</v>
      </c>
      <c r="G86" s="302">
        <f>VLOOKUP(A86,ImportDataWA!A$14:S$140,15,0)</f>
        <v>3.2814990929621901</v>
      </c>
      <c r="H86" s="302">
        <f>VLOOKUP(A86,ImportDataWA!A$14:S$140,19,0)</f>
        <v>0</v>
      </c>
      <c r="I86" s="303">
        <f t="shared" si="1"/>
        <v>3.2814990929621901</v>
      </c>
    </row>
    <row r="87" spans="1:9" hidden="1" x14ac:dyDescent="0.25">
      <c r="A87" s="185" t="s">
        <v>27</v>
      </c>
      <c r="B87" s="86" t="s">
        <v>383</v>
      </c>
      <c r="C87" s="9" t="s">
        <v>140</v>
      </c>
      <c r="D87" s="281" t="s">
        <v>162</v>
      </c>
      <c r="E87" s="282">
        <f>VLOOKUP(A87,ImportDataWA!A$14:S$140,2,0)</f>
        <v>41200</v>
      </c>
      <c r="F87" s="283">
        <f>VLOOKUP(A87,ImportDataWA!A$14:S$140,10,0)</f>
        <v>860723.18648936297</v>
      </c>
      <c r="G87" s="302">
        <f>VLOOKUP(A87,ImportDataWA!A$14:S$140,15,0)</f>
        <v>3.1051266614933981</v>
      </c>
      <c r="H87" s="302">
        <f>VLOOKUP(A87,ImportDataWA!A$14:S$140,19,0)</f>
        <v>0.76699151896248396</v>
      </c>
      <c r="I87" s="303">
        <f t="shared" si="1"/>
        <v>3.8721181804558822</v>
      </c>
    </row>
    <row r="88" spans="1:9" hidden="1" x14ac:dyDescent="0.25">
      <c r="A88" s="77" t="s">
        <v>483</v>
      </c>
      <c r="B88" s="86" t="s">
        <v>219</v>
      </c>
      <c r="C88" s="9" t="s">
        <v>150</v>
      </c>
      <c r="D88" s="281" t="s">
        <v>162</v>
      </c>
      <c r="E88" s="282">
        <f>VLOOKUP(A88,ImportDataWA!A$14:S$140,2,0)</f>
        <v>42142</v>
      </c>
      <c r="F88" s="283">
        <f>VLOOKUP(A88,ImportDataWA!A$14:S$140,10,0)</f>
        <v>411171.24174235965</v>
      </c>
      <c r="G88" s="302">
        <f>VLOOKUP(A88,ImportDataWA!A$14:S$140,15,0)</f>
        <v>6.8782574511980803</v>
      </c>
      <c r="H88" s="302">
        <f>VLOOKUP(A88,ImportDataWA!A$14:S$140,19,0)</f>
        <v>17.542303465233587</v>
      </c>
      <c r="I88" s="303">
        <f t="shared" si="1"/>
        <v>24.420560916431668</v>
      </c>
    </row>
    <row r="89" spans="1:9" hidden="1" x14ac:dyDescent="0.25">
      <c r="A89" s="77" t="s">
        <v>45</v>
      </c>
      <c r="B89" s="86" t="s">
        <v>219</v>
      </c>
      <c r="C89" s="9" t="s">
        <v>150</v>
      </c>
      <c r="D89" s="281" t="s">
        <v>162</v>
      </c>
      <c r="E89" s="282">
        <f>VLOOKUP(A89,ImportDataWA!A$14:S$140,2,0)</f>
        <v>42669</v>
      </c>
      <c r="F89" s="283">
        <f>VLOOKUP(A89,ImportDataWA!A$14:S$140,10,0)</f>
        <v>302708.25494692329</v>
      </c>
      <c r="G89" s="302">
        <f>VLOOKUP(A89,ImportDataWA!A$14:S$140,15,0)</f>
        <v>3.6047555477301563</v>
      </c>
      <c r="H89" s="302">
        <f>VLOOKUP(A89,ImportDataWA!A$14:S$140,19,0)</f>
        <v>35.794109627550547</v>
      </c>
      <c r="I89" s="303">
        <f t="shared" si="1"/>
        <v>39.398865175280704</v>
      </c>
    </row>
    <row r="90" spans="1:9" hidden="1" x14ac:dyDescent="0.25">
      <c r="A90" s="77" t="s">
        <v>63</v>
      </c>
      <c r="B90" s="86" t="s">
        <v>219</v>
      </c>
      <c r="C90" s="9" t="s">
        <v>140</v>
      </c>
      <c r="D90" t="s">
        <v>162</v>
      </c>
      <c r="E90" s="282">
        <f>VLOOKUP(A90,ImportDataWA!A$14:S$140,2,0)</f>
        <v>43088</v>
      </c>
      <c r="F90" s="283">
        <f>VLOOKUP(A90,ImportDataWA!A$14:S$140,10,0)</f>
        <v>576423.90321969683</v>
      </c>
      <c r="G90" s="302">
        <f>VLOOKUP(A90,ImportDataWA!A$14:S$140,15,0)</f>
        <v>1.7821298811227189</v>
      </c>
      <c r="H90" s="302">
        <f>VLOOKUP(A90,ImportDataWA!A$14:S$140,19,0)</f>
        <v>0.3073732370759738</v>
      </c>
      <c r="I90" s="303">
        <f t="shared" si="1"/>
        <v>2.0895031181986927</v>
      </c>
    </row>
    <row r="91" spans="1:9" hidden="1" x14ac:dyDescent="0.25">
      <c r="A91" t="s">
        <v>68</v>
      </c>
      <c r="B91" s="86" t="s">
        <v>383</v>
      </c>
      <c r="C91" s="9" t="s">
        <v>141</v>
      </c>
      <c r="D91" s="281" t="s">
        <v>162</v>
      </c>
      <c r="E91" s="282">
        <f>VLOOKUP(A91,ImportDataWA!A$14:S$140,2,0)</f>
        <v>43102</v>
      </c>
      <c r="F91" s="283">
        <f>VLOOKUP(A91,ImportDataWA!A$14:S$140,10,0)</f>
        <v>889815.23687410739</v>
      </c>
      <c r="G91" s="302">
        <f>VLOOKUP(A91,ImportDataWA!A$14:S$140,15,0)</f>
        <v>5.7344895729732288</v>
      </c>
      <c r="H91" s="302">
        <f>VLOOKUP(A91,ImportDataWA!A$14:S$140,19,0)</f>
        <v>5.674669270076425</v>
      </c>
      <c r="I91" s="303">
        <f t="shared" si="1"/>
        <v>11.409158843049653</v>
      </c>
    </row>
    <row r="92" spans="1:9" hidden="1" x14ac:dyDescent="0.25">
      <c r="A92" s="9" t="s">
        <v>429</v>
      </c>
      <c r="B92" s="86" t="s">
        <v>383</v>
      </c>
      <c r="C92" s="9" t="s">
        <v>141</v>
      </c>
      <c r="D92" s="281" t="s">
        <v>162</v>
      </c>
      <c r="E92" s="282">
        <f>VLOOKUP(A92,ImportDataWA!A$14:S$140,2,0)</f>
        <v>41613</v>
      </c>
      <c r="F92" s="283">
        <f>VLOOKUP(A92,ImportDataWA!A$14:S$140,10,0)</f>
        <v>742254.46961127396</v>
      </c>
      <c r="G92" s="302">
        <f>VLOOKUP(A92,ImportDataWA!A$14:S$140,15,0)</f>
        <v>2.0418784205969689</v>
      </c>
      <c r="H92" s="302">
        <f>VLOOKUP(A92,ImportDataWA!A$14:S$140,19,0)</f>
        <v>7.4686703683482198</v>
      </c>
      <c r="I92" s="303">
        <f t="shared" si="1"/>
        <v>9.5105487889451883</v>
      </c>
    </row>
    <row r="93" spans="1:9" hidden="1" x14ac:dyDescent="0.25">
      <c r="A93" s="9" t="s">
        <v>109</v>
      </c>
      <c r="B93" s="86" t="s">
        <v>383</v>
      </c>
      <c r="C93" s="9" t="s">
        <v>150</v>
      </c>
      <c r="D93" s="281" t="s">
        <v>162</v>
      </c>
      <c r="E93" s="282">
        <f>VLOOKUP(A93,ImportDataWA!A$14:S$140,2,0)</f>
        <v>40842</v>
      </c>
      <c r="F93" s="283">
        <f>VLOOKUP(A93,ImportDataWA!A$14:S$140,10,0)</f>
        <v>860720.3520623598</v>
      </c>
      <c r="G93" s="302">
        <f>VLOOKUP(A93,ImportDataWA!A$14:S$140,15,0)</f>
        <v>2.3982878820111346</v>
      </c>
      <c r="H93" s="302">
        <f>VLOOKUP(A93,ImportDataWA!A$14:S$140,19,0)</f>
        <v>2.1162028837704554</v>
      </c>
      <c r="I93" s="303">
        <f t="shared" si="1"/>
        <v>4.5144907657815896</v>
      </c>
    </row>
    <row r="94" spans="1:9" hidden="1" x14ac:dyDescent="0.25">
      <c r="A94" s="9" t="s">
        <v>114</v>
      </c>
      <c r="B94" s="86" t="s">
        <v>219</v>
      </c>
      <c r="C94" s="9" t="s">
        <v>141</v>
      </c>
      <c r="D94" s="281" t="s">
        <v>162</v>
      </c>
      <c r="E94" s="282">
        <f>VLOOKUP(A94,ImportDataWA!A$14:S$140,2,0)</f>
        <v>42114</v>
      </c>
      <c r="F94" s="283">
        <f>VLOOKUP(A94,ImportDataWA!A$14:S$140,10,0)</f>
        <v>772843.45577778632</v>
      </c>
      <c r="G94" s="302">
        <f>VLOOKUP(A94,ImportDataWA!A$14:S$140,15,0)</f>
        <v>6.1696441591526741</v>
      </c>
      <c r="H94" s="302">
        <f>VLOOKUP(A94,ImportDataWA!A$14:S$140,19,0)</f>
        <v>7.4608645969530718</v>
      </c>
      <c r="I94" s="303">
        <f t="shared" si="1"/>
        <v>13.630508756105746</v>
      </c>
    </row>
    <row r="95" spans="1:9" hidden="1" x14ac:dyDescent="0.25">
      <c r="A95" s="9" t="s">
        <v>9</v>
      </c>
      <c r="B95" s="86" t="s">
        <v>383</v>
      </c>
      <c r="C95" s="9" t="s">
        <v>145</v>
      </c>
      <c r="D95" s="281" t="s">
        <v>160</v>
      </c>
      <c r="E95" s="282">
        <f>VLOOKUP(A95,ImportDataWA!A$14:S$140,2,0)</f>
        <v>42278</v>
      </c>
      <c r="F95" s="283">
        <f>VLOOKUP(A95,ImportDataWA!A$14:S$140,10,0)</f>
        <v>631286.17750086309</v>
      </c>
      <c r="G95" s="302">
        <f>VLOOKUP(A95,ImportDataWA!A$14:S$140,15,0)</f>
        <v>0</v>
      </c>
      <c r="H95" s="302">
        <f>VLOOKUP(A95,ImportDataWA!A$14:S$140,19,0)</f>
        <v>0.21910555507631757</v>
      </c>
      <c r="I95" s="303">
        <f t="shared" si="1"/>
        <v>0.21910555507631757</v>
      </c>
    </row>
    <row r="96" spans="1:9" hidden="1" x14ac:dyDescent="0.25">
      <c r="A96" s="9" t="s">
        <v>352</v>
      </c>
      <c r="B96" s="86" t="s">
        <v>219</v>
      </c>
      <c r="C96" s="9" t="s">
        <v>139</v>
      </c>
      <c r="D96" s="281" t="s">
        <v>160</v>
      </c>
      <c r="E96" s="282">
        <f>VLOOKUP(A96,ImportDataWA!A$14:S$140,2,0)</f>
        <v>44654</v>
      </c>
      <c r="F96" s="283">
        <f>VLOOKUP(A96,ImportDataWA!A$14:S$140,10,0)</f>
        <v>589002.34795218892</v>
      </c>
      <c r="G96" s="302">
        <f>VLOOKUP(A96,ImportDataWA!A$14:S$140,15,0)</f>
        <v>7.6265591319202883</v>
      </c>
      <c r="H96" s="302">
        <f>VLOOKUP(A96,ImportDataWA!A$14:S$140,19,0)</f>
        <v>1.7115738978275434</v>
      </c>
      <c r="I96" s="303">
        <f t="shared" si="1"/>
        <v>9.3381330297478318</v>
      </c>
    </row>
    <row r="97" spans="1:9" hidden="1" x14ac:dyDescent="0.25">
      <c r="A97" s="185" t="s">
        <v>249</v>
      </c>
      <c r="B97" s="86" t="s">
        <v>383</v>
      </c>
      <c r="C97" s="9" t="s">
        <v>145</v>
      </c>
      <c r="D97" s="281" t="s">
        <v>160</v>
      </c>
      <c r="E97" s="282">
        <f>VLOOKUP(A97,ImportDataWA!A$14:S$140,2,0)</f>
        <v>44287</v>
      </c>
      <c r="F97" s="283">
        <f>VLOOKUP(A97,ImportDataWA!A$14:S$140,10,0)</f>
        <v>1164580.2029126724</v>
      </c>
      <c r="G97" s="302">
        <f>VLOOKUP(A97,ImportDataWA!A$14:S$140,15,0)</f>
        <v>8.1063275147640912</v>
      </c>
      <c r="H97" s="302">
        <f>VLOOKUP(A97,ImportDataWA!A$14:S$140,19,0)</f>
        <v>0.77690115570429952</v>
      </c>
      <c r="I97" s="303">
        <f t="shared" si="1"/>
        <v>8.8832286704683909</v>
      </c>
    </row>
    <row r="98" spans="1:9" hidden="1" x14ac:dyDescent="0.25">
      <c r="A98" s="9" t="s">
        <v>78</v>
      </c>
      <c r="B98" s="86" t="s">
        <v>219</v>
      </c>
      <c r="C98" s="9" t="s">
        <v>139</v>
      </c>
      <c r="D98" s="281" t="s">
        <v>160</v>
      </c>
      <c r="E98" s="282">
        <f>VLOOKUP(A98,ImportDataWA!A$14:S$140,2,0)</f>
        <v>41858</v>
      </c>
      <c r="F98" s="283">
        <f>VLOOKUP(A98,ImportDataWA!A$14:S$140,10,0)</f>
        <v>288072.26331818174</v>
      </c>
      <c r="G98" s="302">
        <f>VLOOKUP(A98,ImportDataWA!A$14:S$140,15,0)</f>
        <v>0.54207111255362361</v>
      </c>
      <c r="H98" s="302">
        <f>VLOOKUP(A98,ImportDataWA!A$14:S$140,19,0)</f>
        <v>0.39726793606104771</v>
      </c>
      <c r="I98" s="303">
        <f t="shared" si="1"/>
        <v>0.93933904861467132</v>
      </c>
    </row>
    <row r="99" spans="1:9" hidden="1" x14ac:dyDescent="0.25">
      <c r="A99" s="9" t="s">
        <v>80</v>
      </c>
      <c r="B99" s="86" t="s">
        <v>219</v>
      </c>
      <c r="C99" s="9" t="s">
        <v>145</v>
      </c>
      <c r="D99" s="281" t="s">
        <v>160</v>
      </c>
      <c r="E99" s="282">
        <f>VLOOKUP(A99,ImportDataWA!A$14:S$140,2,0)</f>
        <v>42773</v>
      </c>
      <c r="F99" s="283">
        <f>VLOOKUP(A99,ImportDataWA!A$14:S$140,10,0)</f>
        <v>715379.01150716189</v>
      </c>
      <c r="G99" s="302">
        <f>VLOOKUP(A99,ImportDataWA!A$14:S$140,15,0)</f>
        <v>7.3286046973135486</v>
      </c>
      <c r="H99" s="302">
        <f>VLOOKUP(A99,ImportDataWA!A$14:S$140,19,0)</f>
        <v>0.61332373075643654</v>
      </c>
      <c r="I99" s="303">
        <f t="shared" si="1"/>
        <v>7.9419284280699856</v>
      </c>
    </row>
    <row r="100" spans="1:9" hidden="1" x14ac:dyDescent="0.25">
      <c r="A100" s="9" t="s">
        <v>97</v>
      </c>
      <c r="B100" s="86" t="s">
        <v>383</v>
      </c>
      <c r="C100" s="9" t="s">
        <v>145</v>
      </c>
      <c r="D100" s="281" t="s">
        <v>160</v>
      </c>
      <c r="E100" s="282">
        <f>VLOOKUP(A100,ImportDataWA!A$14:S$140,2,0)</f>
        <v>39561</v>
      </c>
      <c r="F100" s="283">
        <f>VLOOKUP(A100,ImportDataWA!A$14:S$140,10,0)</f>
        <v>728634.96754198754</v>
      </c>
      <c r="G100" s="302">
        <f>VLOOKUP(A100,ImportDataWA!A$14:S$140,15,0)</f>
        <v>0.59212414243373312</v>
      </c>
      <c r="H100" s="302">
        <f>VLOOKUP(A100,ImportDataWA!A$14:S$140,19,0)</f>
        <v>0.40889800702175505</v>
      </c>
      <c r="I100" s="303">
        <f t="shared" si="1"/>
        <v>1.0010221494554883</v>
      </c>
    </row>
    <row r="101" spans="1:9" hidden="1" x14ac:dyDescent="0.25">
      <c r="A101" t="s">
        <v>211</v>
      </c>
      <c r="B101" s="86" t="s">
        <v>219</v>
      </c>
      <c r="C101" s="9" t="s">
        <v>139</v>
      </c>
      <c r="D101" s="281" t="s">
        <v>160</v>
      </c>
      <c r="E101" s="282">
        <f>VLOOKUP(A101,ImportDataWA!A$14:S$140,2,0)</f>
        <v>44173</v>
      </c>
      <c r="F101" s="283">
        <f>VLOOKUP(A101,ImportDataWA!A$14:S$140,10,0)</f>
        <v>639988.72577036335</v>
      </c>
      <c r="G101" s="302">
        <f>VLOOKUP(A101,ImportDataWA!A$14:S$140,15,0)</f>
        <v>5.3959432485041932</v>
      </c>
      <c r="H101" s="302">
        <f>VLOOKUP(A101,ImportDataWA!A$14:S$140,19,0)</f>
        <v>1.1992079385865546</v>
      </c>
      <c r="I101" s="303">
        <f t="shared" si="1"/>
        <v>6.5951511870907478</v>
      </c>
    </row>
    <row r="102" spans="1:9" hidden="1" x14ac:dyDescent="0.25">
      <c r="A102" s="9" t="s">
        <v>116</v>
      </c>
      <c r="B102" s="86" t="s">
        <v>383</v>
      </c>
      <c r="C102" s="9" t="s">
        <v>139</v>
      </c>
      <c r="D102" s="281" t="s">
        <v>160</v>
      </c>
      <c r="E102" s="282">
        <f>VLOOKUP(A102,ImportDataWA!A$14:S$140,2,0)</f>
        <v>41857</v>
      </c>
      <c r="F102" s="283">
        <f>VLOOKUP(A102,ImportDataWA!A$14:S$140,10,0)</f>
        <v>985514.97298871621</v>
      </c>
      <c r="G102" s="302">
        <f>VLOOKUP(A102,ImportDataWA!A$14:S$140,15,0)</f>
        <v>2.0201024094670408</v>
      </c>
      <c r="H102" s="302">
        <f>VLOOKUP(A102,ImportDataWA!A$14:S$140,19,0)</f>
        <v>0.77558078731666713</v>
      </c>
      <c r="I102" s="303">
        <f t="shared" si="1"/>
        <v>2.7956831967837079</v>
      </c>
    </row>
    <row r="103" spans="1:9" hidden="1" x14ac:dyDescent="0.25">
      <c r="A103" s="185" t="s">
        <v>426</v>
      </c>
      <c r="B103" s="86" t="s">
        <v>219</v>
      </c>
      <c r="C103" s="9" t="s">
        <v>138</v>
      </c>
      <c r="D103" s="281" t="s">
        <v>159</v>
      </c>
      <c r="E103" s="282">
        <f>VLOOKUP(A103,ImportDataWA!A$14:S$140,2,0)</f>
        <v>41498</v>
      </c>
      <c r="F103" s="283">
        <f>VLOOKUP(A103,ImportDataWA!A$14:S$140,10,0)</f>
        <v>150108.14393939395</v>
      </c>
      <c r="G103" s="302">
        <f>VLOOKUP(A103,ImportDataWA!A$14:S$140,15,0)</f>
        <v>0</v>
      </c>
      <c r="H103" s="302">
        <f>VLOOKUP(A103,ImportDataWA!A$14:S$140,19,0)</f>
        <v>0</v>
      </c>
      <c r="I103" s="303">
        <f t="shared" si="1"/>
        <v>0</v>
      </c>
    </row>
    <row r="104" spans="1:9" hidden="1" x14ac:dyDescent="0.25">
      <c r="A104" s="9" t="s">
        <v>13</v>
      </c>
      <c r="B104" s="86" t="s">
        <v>219</v>
      </c>
      <c r="C104" s="9" t="s">
        <v>138</v>
      </c>
      <c r="D104" s="281" t="s">
        <v>159</v>
      </c>
      <c r="E104" s="282">
        <f>VLOOKUP(A104,ImportDataWA!A$14:S$140,2,0)</f>
        <v>43891</v>
      </c>
      <c r="F104" s="283">
        <f>VLOOKUP(A104,ImportDataWA!A$14:S$140,10,0)</f>
        <v>177440.5303030303</v>
      </c>
      <c r="G104" s="302">
        <f>VLOOKUP(A104,ImportDataWA!A$14:S$140,15,0)</f>
        <v>0</v>
      </c>
      <c r="H104" s="302">
        <f>VLOOKUP(A104,ImportDataWA!A$14:S$140,19,0)</f>
        <v>0</v>
      </c>
      <c r="I104" s="303">
        <f t="shared" si="1"/>
        <v>0</v>
      </c>
    </row>
    <row r="105" spans="1:9" hidden="1" x14ac:dyDescent="0.25">
      <c r="A105" s="185" t="s">
        <v>343</v>
      </c>
      <c r="B105" s="86" t="s">
        <v>219</v>
      </c>
      <c r="C105" s="9" t="s">
        <v>138</v>
      </c>
      <c r="D105" s="281" t="s">
        <v>159</v>
      </c>
      <c r="E105" s="282">
        <f>VLOOKUP(A105,ImportDataWA!A$14:S$140,2,0)</f>
        <v>44543</v>
      </c>
      <c r="F105" s="283">
        <f>VLOOKUP(A105,ImportDataWA!A$14:S$140,10,0)</f>
        <v>98458.522727272721</v>
      </c>
      <c r="G105" s="302">
        <f>VLOOKUP(A105,ImportDataWA!A$14:S$140,15,0)</f>
        <v>0</v>
      </c>
      <c r="H105" s="302">
        <f>VLOOKUP(A105,ImportDataWA!A$14:S$140,19,0)</f>
        <v>0</v>
      </c>
      <c r="I105" s="303">
        <f t="shared" si="1"/>
        <v>0</v>
      </c>
    </row>
    <row r="106" spans="1:9" hidden="1" x14ac:dyDescent="0.25">
      <c r="A106" s="9" t="s">
        <v>95</v>
      </c>
      <c r="B106" s="86" t="s">
        <v>219</v>
      </c>
      <c r="C106" s="9" t="s">
        <v>138</v>
      </c>
      <c r="D106" s="281" t="s">
        <v>159</v>
      </c>
      <c r="E106" s="282">
        <f>VLOOKUP(A106,ImportDataWA!A$14:S$140,2,0)</f>
        <v>42788</v>
      </c>
      <c r="F106" s="283">
        <f>VLOOKUP(A106,ImportDataWA!A$14:S$140,10,0)</f>
        <v>116908.33333333331</v>
      </c>
      <c r="G106" s="302">
        <f>VLOOKUP(A106,ImportDataWA!A$14:S$140,15,0)</f>
        <v>2.2155405361621061</v>
      </c>
      <c r="H106" s="302">
        <f>VLOOKUP(A106,ImportDataWA!A$14:S$140,19,0)</f>
        <v>0</v>
      </c>
      <c r="I106" s="303">
        <f t="shared" si="1"/>
        <v>2.2155405361621061</v>
      </c>
    </row>
    <row r="107" spans="1:9" hidden="1" x14ac:dyDescent="0.25">
      <c r="A107" s="77" t="s">
        <v>480</v>
      </c>
      <c r="B107" s="86" t="s">
        <v>219</v>
      </c>
      <c r="C107" s="9" t="s">
        <v>138</v>
      </c>
      <c r="D107" s="281" t="s">
        <v>159</v>
      </c>
      <c r="E107" s="282">
        <f>VLOOKUP(A107,ImportDataWA!A$14:S$140,2,0)</f>
        <v>43891</v>
      </c>
      <c r="F107" s="283">
        <f>VLOOKUP(A107,ImportDataWA!A$14:S$140,10,0)</f>
        <v>69899.431818181823</v>
      </c>
      <c r="G107" s="302">
        <f>VLOOKUP(A107,ImportDataWA!A$14:S$140,15,0)</f>
        <v>6.2617017414087881</v>
      </c>
      <c r="H107" s="302">
        <f>VLOOKUP(A107,ImportDataWA!A$14:S$140,19,0)</f>
        <v>0</v>
      </c>
      <c r="I107" s="303">
        <f t="shared" si="1"/>
        <v>6.2617017414087881</v>
      </c>
    </row>
    <row r="108" spans="1:9" hidden="1" x14ac:dyDescent="0.25">
      <c r="A108" s="185" t="s">
        <v>43</v>
      </c>
      <c r="B108" s="86" t="s">
        <v>219</v>
      </c>
      <c r="C108" s="9" t="s">
        <v>21</v>
      </c>
      <c r="D108" s="281" t="s">
        <v>164</v>
      </c>
      <c r="E108" s="282">
        <f>VLOOKUP(A108,ImportDataWA!A$14:S$140,2,0)</f>
        <v>40454</v>
      </c>
      <c r="F108" s="283">
        <f>VLOOKUP(A108,ImportDataWA!A$14:S$140,10,0)</f>
        <v>504313.54470163619</v>
      </c>
      <c r="G108" s="302">
        <f>VLOOKUP(A108,ImportDataWA!A$14:S$140,15,0)</f>
        <v>5.932328512848283</v>
      </c>
      <c r="H108" s="302">
        <f>VLOOKUP(A108,ImportDataWA!A$14:S$140,19,0)</f>
        <v>5.7232450442356342</v>
      </c>
      <c r="I108" s="303">
        <f t="shared" si="1"/>
        <v>11.655573557083917</v>
      </c>
    </row>
    <row r="109" spans="1:9" hidden="1" x14ac:dyDescent="0.25">
      <c r="A109" s="185" t="s">
        <v>44</v>
      </c>
      <c r="B109" s="86" t="s">
        <v>383</v>
      </c>
      <c r="C109" s="9" t="s">
        <v>21</v>
      </c>
      <c r="D109" s="281" t="s">
        <v>164</v>
      </c>
      <c r="E109" s="282">
        <f>VLOOKUP(A109,ImportDataWA!A$14:S$140,2,0)</f>
        <v>42278</v>
      </c>
      <c r="F109" s="283">
        <f>VLOOKUP(A109,ImportDataWA!A$14:S$140,10,0)</f>
        <v>628551.17606801377</v>
      </c>
      <c r="G109" s="302">
        <f>VLOOKUP(A109,ImportDataWA!A$14:S$140,15,0)</f>
        <v>1.1621976106539884</v>
      </c>
      <c r="H109" s="302">
        <f>VLOOKUP(A109,ImportDataWA!A$14:S$140,19,0)</f>
        <v>3.8508019840968104</v>
      </c>
      <c r="I109" s="303">
        <f t="shared" si="1"/>
        <v>5.0129995947507986</v>
      </c>
    </row>
    <row r="110" spans="1:9" hidden="1" x14ac:dyDescent="0.25">
      <c r="A110" s="185" t="s">
        <v>47</v>
      </c>
      <c r="B110" s="86" t="s">
        <v>383</v>
      </c>
      <c r="C110" s="9" t="s">
        <v>143</v>
      </c>
      <c r="D110" s="281" t="s">
        <v>164</v>
      </c>
      <c r="E110" s="282">
        <f>VLOOKUP(A110,ImportDataWA!A$14:S$140,2,0)</f>
        <v>39405</v>
      </c>
      <c r="F110" s="283">
        <f>VLOOKUP(A110,ImportDataWA!A$14:S$140,10,0)</f>
        <v>824202.83918234368</v>
      </c>
      <c r="G110" s="302">
        <f>VLOOKUP(A110,ImportDataWA!A$14:S$140,15,0)</f>
        <v>3.6907468767800129</v>
      </c>
      <c r="H110" s="302">
        <f>VLOOKUP(A110,ImportDataWA!A$14:S$140,19,0)</f>
        <v>2.560290257124024</v>
      </c>
      <c r="I110" s="303">
        <f t="shared" si="1"/>
        <v>6.2510371339040365</v>
      </c>
    </row>
    <row r="111" spans="1:9" hidden="1" x14ac:dyDescent="0.25">
      <c r="A111" s="185" t="s">
        <v>225</v>
      </c>
      <c r="B111" s="86" t="s">
        <v>383</v>
      </c>
      <c r="C111" s="9" t="s">
        <v>21</v>
      </c>
      <c r="D111" s="281" t="s">
        <v>164</v>
      </c>
      <c r="E111" s="282">
        <f>VLOOKUP(A111,ImportDataWA!A$14:S$140,2,0)</f>
        <v>39338</v>
      </c>
      <c r="F111" s="283">
        <f>VLOOKUP(A111,ImportDataWA!A$14:S$140,10,0)</f>
        <v>845194.59965879668</v>
      </c>
      <c r="G111" s="302">
        <f>VLOOKUP(A111,ImportDataWA!A$14:S$140,15,0)</f>
        <v>4.8543751543228559</v>
      </c>
      <c r="H111" s="302">
        <f>VLOOKUP(A111,ImportDataWA!A$14:S$140,19,0)</f>
        <v>2.9658461874609259</v>
      </c>
      <c r="I111" s="303">
        <f t="shared" si="1"/>
        <v>7.8202213417837818</v>
      </c>
    </row>
    <row r="112" spans="1:9" hidden="1" x14ac:dyDescent="0.25">
      <c r="A112" s="185" t="s">
        <v>55</v>
      </c>
      <c r="B112" s="86" t="s">
        <v>383</v>
      </c>
      <c r="C112" s="9" t="s">
        <v>21</v>
      </c>
      <c r="D112" s="281" t="s">
        <v>164</v>
      </c>
      <c r="E112" s="282">
        <f>VLOOKUP(A112,ImportDataWA!A$14:S$140,2,0)</f>
        <v>42964</v>
      </c>
      <c r="F112" s="283">
        <f>VLOOKUP(A112,ImportDataWA!A$14:S$140,10,0)</f>
        <v>691551.61456154822</v>
      </c>
      <c r="G112" s="302">
        <f>VLOOKUP(A112,ImportDataWA!A$14:S$140,15,0)</f>
        <v>3.0801300488378187</v>
      </c>
      <c r="H112" s="302">
        <f>VLOOKUP(A112,ImportDataWA!A$14:S$140,19,0)</f>
        <v>3.2604674175299833</v>
      </c>
      <c r="I112" s="303">
        <f t="shared" si="1"/>
        <v>6.340597466367802</v>
      </c>
    </row>
    <row r="113" spans="1:9" hidden="1" x14ac:dyDescent="0.25">
      <c r="A113" s="185" t="s">
        <v>59</v>
      </c>
      <c r="B113" s="86" t="s">
        <v>219</v>
      </c>
      <c r="C113" s="9" t="s">
        <v>143</v>
      </c>
      <c r="D113" s="281" t="s">
        <v>164</v>
      </c>
      <c r="E113" s="282">
        <f>VLOOKUP(A113,ImportDataWA!A$14:S$140,2,0)</f>
        <v>41308</v>
      </c>
      <c r="F113" s="283">
        <f>VLOOKUP(A113,ImportDataWA!A$14:S$140,10,0)</f>
        <v>789604.059323436</v>
      </c>
      <c r="G113" s="302">
        <f>VLOOKUP(A113,ImportDataWA!A$14:S$140,15,0)</f>
        <v>2.5935088105472413</v>
      </c>
      <c r="H113" s="302">
        <f>VLOOKUP(A113,ImportDataWA!A$14:S$140,19,0)</f>
        <v>0.96473560227131827</v>
      </c>
      <c r="I113" s="303">
        <f t="shared" si="1"/>
        <v>3.5582444128185595</v>
      </c>
    </row>
    <row r="114" spans="1:9" hidden="1" x14ac:dyDescent="0.25">
      <c r="A114" s="9" t="s">
        <v>67</v>
      </c>
      <c r="B114" s="86" t="s">
        <v>383</v>
      </c>
      <c r="C114" s="9" t="s">
        <v>143</v>
      </c>
      <c r="D114" s="281" t="s">
        <v>164</v>
      </c>
      <c r="E114" s="282">
        <f>VLOOKUP(A114,ImportDataWA!A$14:S$140,2,0)</f>
        <v>41890</v>
      </c>
      <c r="F114" s="283">
        <f>VLOOKUP(A114,ImportDataWA!A$14:S$140,10,0)</f>
        <v>741034.5637575757</v>
      </c>
      <c r="G114" s="302">
        <f>VLOOKUP(A114,ImportDataWA!A$14:S$140,15,0)</f>
        <v>3.7914322466451456</v>
      </c>
      <c r="H114" s="302">
        <f>VLOOKUP(A114,ImportDataWA!A$14:S$140,19,0)</f>
        <v>2.91551669631514</v>
      </c>
      <c r="I114" s="303">
        <f t="shared" si="1"/>
        <v>6.7069489429602855</v>
      </c>
    </row>
    <row r="115" spans="1:9" hidden="1" x14ac:dyDescent="0.25">
      <c r="A115" t="s">
        <v>72</v>
      </c>
      <c r="B115" s="86" t="s">
        <v>383</v>
      </c>
      <c r="C115" s="9" t="s">
        <v>143</v>
      </c>
      <c r="D115" s="281" t="s">
        <v>164</v>
      </c>
      <c r="E115" s="282">
        <f>VLOOKUP(A115,ImportDataWA!A$14:S$140,2,0)</f>
        <v>39405</v>
      </c>
      <c r="F115" s="283">
        <f>VLOOKUP(A115,ImportDataWA!A$14:S$140,10,0)</f>
        <v>756438.40926782566</v>
      </c>
      <c r="G115" s="302">
        <f>VLOOKUP(A115,ImportDataWA!A$14:S$140,15,0)</f>
        <v>2.947425922849662</v>
      </c>
      <c r="H115" s="302">
        <f>VLOOKUP(A115,ImportDataWA!A$14:S$140,19,0)</f>
        <v>2.5568649627715043</v>
      </c>
      <c r="I115" s="303">
        <f t="shared" si="1"/>
        <v>5.5042908856211668</v>
      </c>
    </row>
    <row r="116" spans="1:9" hidden="1" x14ac:dyDescent="0.25">
      <c r="A116" s="9" t="s">
        <v>108</v>
      </c>
      <c r="B116" s="86" t="s">
        <v>383</v>
      </c>
      <c r="C116" s="9" t="s">
        <v>21</v>
      </c>
      <c r="D116" s="281" t="s">
        <v>164</v>
      </c>
      <c r="E116" s="282">
        <f>VLOOKUP(A116,ImportDataWA!A$14:S$140,2,0)</f>
        <v>43123</v>
      </c>
      <c r="F116" s="283">
        <f>VLOOKUP(A116,ImportDataWA!A$14:S$140,10,0)</f>
        <v>503981.93949909427</v>
      </c>
      <c r="G116" s="302">
        <f>VLOOKUP(A116,ImportDataWA!A$14:S$140,15,0)</f>
        <v>1.2302893848126568</v>
      </c>
      <c r="H116" s="302">
        <f>VLOOKUP(A116,ImportDataWA!A$14:S$140,19,0)</f>
        <v>7.4231458164470574</v>
      </c>
      <c r="I116" s="303">
        <f t="shared" si="1"/>
        <v>8.6534352012597147</v>
      </c>
    </row>
    <row r="117" spans="1:9" hidden="1" x14ac:dyDescent="0.25">
      <c r="A117" s="211" t="s">
        <v>433</v>
      </c>
      <c r="B117" s="86" t="s">
        <v>219</v>
      </c>
      <c r="C117" s="9" t="s">
        <v>276</v>
      </c>
      <c r="D117" s="281" t="s">
        <v>153</v>
      </c>
      <c r="E117" s="282">
        <f>VLOOKUP(A117,ImportDataWA!A$14:S$140,2,0)</f>
        <v>46068</v>
      </c>
      <c r="F117" s="283">
        <f>VLOOKUP(A117,ImportDataWA!A$14:S$140,10,0)</f>
        <v>463395.84175757592</v>
      </c>
      <c r="G117" s="302">
        <f>VLOOKUP(A117,ImportDataWA!A$14:S$140,15,0)</f>
        <v>1.9492145652764854</v>
      </c>
      <c r="H117" s="302">
        <f>VLOOKUP(A117,ImportDataWA!A$14:S$140,19,0)</f>
        <v>0</v>
      </c>
      <c r="I117" s="303">
        <f t="shared" si="1"/>
        <v>1.9492145652764854</v>
      </c>
    </row>
    <row r="118" spans="1:9" hidden="1" x14ac:dyDescent="0.25">
      <c r="A118" s="211" t="s">
        <v>434</v>
      </c>
      <c r="B118" s="86" t="s">
        <v>219</v>
      </c>
      <c r="C118" s="9" t="s">
        <v>133</v>
      </c>
      <c r="D118" s="281" t="s">
        <v>153</v>
      </c>
      <c r="E118" s="282">
        <f>VLOOKUP(A118,ImportDataWA!A$14:S$140,2,0)</f>
        <v>46068</v>
      </c>
      <c r="F118" s="283">
        <f>VLOOKUP(A118,ImportDataWA!A$14:S$140,10,0)</f>
        <v>225234.3097512908</v>
      </c>
      <c r="G118" s="302">
        <f>VLOOKUP(A118,ImportDataWA!A$14:S$140,15,0)</f>
        <v>0</v>
      </c>
      <c r="H118" s="302">
        <f>VLOOKUP(A118,ImportDataWA!A$14:S$140,19,0)</f>
        <v>0</v>
      </c>
      <c r="I118" s="303">
        <f t="shared" si="1"/>
        <v>0</v>
      </c>
    </row>
    <row r="119" spans="1:9" hidden="1" x14ac:dyDescent="0.25">
      <c r="A119" s="269" t="s">
        <v>445</v>
      </c>
      <c r="B119" s="189" t="s">
        <v>278</v>
      </c>
      <c r="C119" s="189" t="s">
        <v>278</v>
      </c>
      <c r="D119" s="284" t="s">
        <v>158</v>
      </c>
      <c r="E119" s="282">
        <f>VLOOKUP(A119,ImportDataWA!A$14:S$140,2,0)</f>
        <v>46068</v>
      </c>
      <c r="F119" s="283">
        <f>VLOOKUP(A119,ImportDataWA!A$14:S$140,10,0)</f>
        <v>91008.882287878761</v>
      </c>
      <c r="G119" s="302">
        <f>VLOOKUP(A119,ImportDataWA!A$14:S$140,15,0)</f>
        <v>0</v>
      </c>
      <c r="H119" s="302">
        <f>VLOOKUP(A119,ImportDataWA!A$14:S$140,19,0)</f>
        <v>0</v>
      </c>
      <c r="I119" s="303">
        <f t="shared" si="1"/>
        <v>0</v>
      </c>
    </row>
    <row r="120" spans="1:9" hidden="1" x14ac:dyDescent="0.25">
      <c r="A120" s="269" t="s">
        <v>446</v>
      </c>
      <c r="B120" s="189" t="s">
        <v>278</v>
      </c>
      <c r="C120" s="189" t="s">
        <v>278</v>
      </c>
      <c r="D120" s="284" t="s">
        <v>158</v>
      </c>
      <c r="E120" s="282">
        <f>VLOOKUP(A120,ImportDataWA!A$14:S$140,2,0)</f>
        <v>46068</v>
      </c>
      <c r="F120" s="283">
        <f>VLOOKUP(A120,ImportDataWA!A$14:S$140,10,0)</f>
        <v>117391.75352272726</v>
      </c>
      <c r="G120" s="302">
        <f>VLOOKUP(A120,ImportDataWA!A$14:S$140,15,0)</f>
        <v>0</v>
      </c>
      <c r="H120" s="302">
        <f>VLOOKUP(A120,ImportDataWA!A$14:S$140,19,0)</f>
        <v>0</v>
      </c>
      <c r="I120" s="303">
        <f t="shared" si="1"/>
        <v>0</v>
      </c>
    </row>
    <row r="121" spans="1:9" hidden="1" x14ac:dyDescent="0.25">
      <c r="A121" s="185" t="s">
        <v>437</v>
      </c>
      <c r="B121" s="86" t="s">
        <v>219</v>
      </c>
      <c r="C121" s="9" t="s">
        <v>137</v>
      </c>
      <c r="D121" s="281" t="s">
        <v>158</v>
      </c>
      <c r="E121" s="282">
        <f>VLOOKUP(A121,ImportDataWA!A$14:S$140,2,0)</f>
        <v>46089</v>
      </c>
      <c r="F121" s="283">
        <f>VLOOKUP(A121,ImportDataWA!A$14:S$140,10,0)</f>
        <v>87633.009075757567</v>
      </c>
      <c r="G121" s="302">
        <f>VLOOKUP(A121,ImportDataWA!A$14:S$140,15,0)</f>
        <v>0</v>
      </c>
      <c r="H121" s="302">
        <f>VLOOKUP(A121,ImportDataWA!A$14:S$140,19,0)</f>
        <v>0</v>
      </c>
      <c r="I121" s="303">
        <f t="shared" si="1"/>
        <v>0</v>
      </c>
    </row>
    <row r="122" spans="1:9" hidden="1" x14ac:dyDescent="0.25">
      <c r="A122" s="185" t="s">
        <v>438</v>
      </c>
      <c r="B122" s="86" t="s">
        <v>219</v>
      </c>
      <c r="C122" s="9" t="s">
        <v>137</v>
      </c>
      <c r="D122" s="281" t="s">
        <v>158</v>
      </c>
      <c r="E122" s="282">
        <f>VLOOKUP(A122,ImportDataWA!A$14:S$140,2,0)</f>
        <v>46089</v>
      </c>
      <c r="F122" s="283">
        <f>VLOOKUP(A122,ImportDataWA!A$14:S$140,10,0)</f>
        <v>62929.626886363643</v>
      </c>
      <c r="G122" s="302">
        <f>VLOOKUP(A122,ImportDataWA!A$14:S$140,15,0)</f>
        <v>0</v>
      </c>
      <c r="H122" s="302">
        <f>VLOOKUP(A122,ImportDataWA!A$14:S$140,19,0)</f>
        <v>0</v>
      </c>
      <c r="I122" s="303">
        <f t="shared" si="1"/>
        <v>0</v>
      </c>
    </row>
    <row r="123" spans="1:9" hidden="1" x14ac:dyDescent="0.25">
      <c r="A123" s="185" t="s">
        <v>439</v>
      </c>
      <c r="B123" s="86" t="s">
        <v>219</v>
      </c>
      <c r="C123" s="9" t="s">
        <v>362</v>
      </c>
      <c r="D123" s="281" t="s">
        <v>158</v>
      </c>
      <c r="E123" s="282">
        <f>VLOOKUP(A123,ImportDataWA!A$14:S$140,2,0)</f>
        <v>46089</v>
      </c>
      <c r="F123" s="283">
        <f>VLOOKUP(A123,ImportDataWA!A$14:S$140,10,0)</f>
        <v>52272.706022727274</v>
      </c>
      <c r="G123" s="302">
        <f>VLOOKUP(A123,ImportDataWA!A$14:S$140,15,0)</f>
        <v>0</v>
      </c>
      <c r="H123" s="302">
        <f>VLOOKUP(A123,ImportDataWA!A$14:S$140,19,0)</f>
        <v>0</v>
      </c>
      <c r="I123" s="303">
        <f t="shared" si="1"/>
        <v>0</v>
      </c>
    </row>
    <row r="124" spans="1:9" hidden="1" x14ac:dyDescent="0.25">
      <c r="A124" s="185" t="s">
        <v>440</v>
      </c>
      <c r="B124" s="86" t="s">
        <v>219</v>
      </c>
      <c r="C124" s="9" t="s">
        <v>140</v>
      </c>
      <c r="D124" s="281" t="s">
        <v>162</v>
      </c>
      <c r="E124" s="282">
        <f>VLOOKUP(A124,ImportDataWA!A$14:S$140,2,0)</f>
        <v>46084</v>
      </c>
      <c r="F124" s="283">
        <f>VLOOKUP(A124,ImportDataWA!A$14:S$140,10,0)</f>
        <v>139802.77065151514</v>
      </c>
      <c r="G124" s="302">
        <f>VLOOKUP(A124,ImportDataWA!A$14:S$140,15,0)</f>
        <v>0</v>
      </c>
      <c r="H124" s="302">
        <f>VLOOKUP(A124,ImportDataWA!A$14:S$140,19,0)</f>
        <v>2.0952181159372336</v>
      </c>
      <c r="I124" s="303">
        <f t="shared" si="1"/>
        <v>2.0952181159372336</v>
      </c>
    </row>
    <row r="125" spans="1:9" hidden="1" x14ac:dyDescent="0.25">
      <c r="A125" s="185" t="s">
        <v>441</v>
      </c>
      <c r="B125" s="86" t="s">
        <v>219</v>
      </c>
      <c r="C125" s="9" t="s">
        <v>141</v>
      </c>
      <c r="D125" s="281" t="s">
        <v>162</v>
      </c>
      <c r="E125" s="282">
        <f>VLOOKUP(A125,ImportDataWA!A$14:S$140,2,0)</f>
        <v>46084</v>
      </c>
      <c r="F125" s="283">
        <f>VLOOKUP(A125,ImportDataWA!A$14:S$140,10,0)</f>
        <v>156013.16750757574</v>
      </c>
      <c r="G125" s="302">
        <f>VLOOKUP(A125,ImportDataWA!A$14:S$140,15,0)</f>
        <v>2.8212168275057663</v>
      </c>
      <c r="H125" s="302">
        <f>VLOOKUP(A125,ImportDataWA!A$14:S$140,19,0)</f>
        <v>1.858581496651917</v>
      </c>
      <c r="I125" s="303">
        <f t="shared" si="1"/>
        <v>4.6797983241576837</v>
      </c>
    </row>
    <row r="126" spans="1:9" hidden="1" x14ac:dyDescent="0.25">
      <c r="A126" s="192" t="s">
        <v>442</v>
      </c>
      <c r="B126" s="245" t="s">
        <v>278</v>
      </c>
      <c r="C126" s="189" t="s">
        <v>278</v>
      </c>
      <c r="D126" s="284" t="s">
        <v>160</v>
      </c>
      <c r="E126" s="282">
        <f>VLOOKUP(A126,ImportDataWA!A$14:S$140,2,0)</f>
        <v>46126</v>
      </c>
      <c r="F126" s="283">
        <f>VLOOKUP(A126,ImportDataWA!A$14:S$140,10,0)</f>
        <v>128127.21156818182</v>
      </c>
      <c r="G126" s="302">
        <f>VLOOKUP(A126,ImportDataWA!A$14:S$140,15,0)</f>
        <v>0</v>
      </c>
      <c r="H126" s="302">
        <f>VLOOKUP(A126,ImportDataWA!A$14:S$140,19,0)</f>
        <v>0</v>
      </c>
      <c r="I126" s="303">
        <f t="shared" si="1"/>
        <v>0</v>
      </c>
    </row>
    <row r="127" spans="1:9" hidden="1" x14ac:dyDescent="0.25">
      <c r="A127" s="269" t="s">
        <v>444</v>
      </c>
      <c r="B127" s="245" t="s">
        <v>278</v>
      </c>
      <c r="C127" s="189" t="s">
        <v>278</v>
      </c>
      <c r="D127" s="284" t="s">
        <v>164</v>
      </c>
      <c r="E127" s="282">
        <f>VLOOKUP(A127,ImportDataWA!A$14:S$140,2,0)</f>
        <v>46127</v>
      </c>
      <c r="F127" s="283">
        <f>VLOOKUP(A127,ImportDataWA!A$14:S$140,10,0)</f>
        <v>94221.270204545464</v>
      </c>
      <c r="G127" s="302">
        <f>VLOOKUP(A127,ImportDataWA!A$14:S$140,15,0)</f>
        <v>4.824233992586592</v>
      </c>
      <c r="H127" s="302">
        <f>VLOOKUP(A127,ImportDataWA!A$14:S$140,19,0)</f>
        <v>0</v>
      </c>
      <c r="I127" s="303">
        <f t="shared" si="1"/>
        <v>4.824233992586592</v>
      </c>
    </row>
    <row r="128" spans="1:9" hidden="1" x14ac:dyDescent="0.25">
      <c r="A128" s="9" t="s">
        <v>443</v>
      </c>
      <c r="B128" s="9" t="s">
        <v>278</v>
      </c>
      <c r="C128" s="9" t="s">
        <v>278</v>
      </c>
      <c r="D128" s="9" t="s">
        <v>164</v>
      </c>
      <c r="E128" s="282">
        <f>VLOOKUP(A128,ImportDataWA!A$14:S$140,2,0)</f>
        <v>46131</v>
      </c>
      <c r="F128" s="283">
        <f>VLOOKUP(A128,ImportDataWA!A$14:S$140,10,0)</f>
        <v>52626.290537878784</v>
      </c>
      <c r="G128" s="302">
        <f>VLOOKUP(A128,ImportDataWA!A$14:S$140,15,0)</f>
        <v>0</v>
      </c>
      <c r="H128" s="302">
        <f>VLOOKUP(A128,ImportDataWA!A$14:S$140,19,0)</f>
        <v>0</v>
      </c>
      <c r="I128" s="303">
        <f t="shared" si="1"/>
        <v>0</v>
      </c>
    </row>
    <row r="129" spans="1:9" hidden="1" x14ac:dyDescent="0.25">
      <c r="A129" s="9" t="s">
        <v>451</v>
      </c>
      <c r="B129" s="9" t="s">
        <v>278</v>
      </c>
      <c r="C129" s="9" t="s">
        <v>278</v>
      </c>
      <c r="D129" s="9" t="s">
        <v>166</v>
      </c>
      <c r="E129" s="282">
        <f>VLOOKUP(A129,ImportDataWA!A$14:S$140,2,0)</f>
        <v>46145</v>
      </c>
      <c r="F129" s="283">
        <f>VLOOKUP(A129,ImportDataWA!A$14:S$140,10,0)</f>
        <v>80252.528333333335</v>
      </c>
      <c r="G129" s="302">
        <f>VLOOKUP(A129,ImportDataWA!A$14:S$140,15,0)</f>
        <v>0</v>
      </c>
      <c r="H129" s="302">
        <f>VLOOKUP(A129,ImportDataWA!A$14:S$140,19,0)</f>
        <v>0</v>
      </c>
      <c r="I129" s="303">
        <f t="shared" si="1"/>
        <v>0</v>
      </c>
    </row>
    <row r="130" spans="1:9" hidden="1" x14ac:dyDescent="0.25">
      <c r="A130" s="9" t="s">
        <v>463</v>
      </c>
      <c r="B130" s="9" t="s">
        <v>278</v>
      </c>
      <c r="C130" s="9" t="s">
        <v>144</v>
      </c>
      <c r="D130" s="9" t="s">
        <v>156</v>
      </c>
      <c r="E130" s="282">
        <f>VLOOKUP(A130,ImportDataWA!A$14:S$140,2,0)</f>
        <v>46145</v>
      </c>
      <c r="F130" s="283">
        <f>VLOOKUP(A130,ImportDataWA!A$14:S$140,10,0)</f>
        <v>87481.069386363641</v>
      </c>
      <c r="G130" s="302">
        <f>VLOOKUP(A130,ImportDataWA!A$14:S$140,15,0)</f>
        <v>0</v>
      </c>
      <c r="H130" s="302">
        <f>VLOOKUP(A130,ImportDataWA!A$14:S$140,19,0)</f>
        <v>0</v>
      </c>
      <c r="I130" s="303">
        <f t="shared" si="1"/>
        <v>0</v>
      </c>
    </row>
    <row r="131" spans="1:9" hidden="1" x14ac:dyDescent="0.25">
      <c r="A131" s="9" t="s">
        <v>452</v>
      </c>
      <c r="B131" s="9" t="s">
        <v>278</v>
      </c>
      <c r="C131" s="9" t="s">
        <v>20</v>
      </c>
      <c r="D131" s="9" t="s">
        <v>156</v>
      </c>
      <c r="E131" s="282">
        <f>VLOOKUP(A131,ImportDataWA!A$14:S$140,2,0)</f>
        <v>46145</v>
      </c>
      <c r="F131" s="283">
        <f>VLOOKUP(A131,ImportDataWA!A$14:S$140,10,0)</f>
        <v>76587.000681818186</v>
      </c>
      <c r="G131" s="302">
        <f>VLOOKUP(A131,ImportDataWA!A$14:S$140,15,0)</f>
        <v>0</v>
      </c>
      <c r="H131" s="302">
        <f>VLOOKUP(A131,ImportDataWA!A$14:S$140,19,0)</f>
        <v>0</v>
      </c>
      <c r="I131" s="303">
        <f t="shared" si="1"/>
        <v>0</v>
      </c>
    </row>
    <row r="132" spans="1:9" hidden="1" x14ac:dyDescent="0.25">
      <c r="A132" s="9" t="s">
        <v>449</v>
      </c>
      <c r="B132" s="9" t="s">
        <v>278</v>
      </c>
      <c r="C132" s="9" t="s">
        <v>278</v>
      </c>
      <c r="D132" s="9" t="s">
        <v>157</v>
      </c>
      <c r="E132" s="282">
        <f>VLOOKUP(A132,ImportDataWA!A$14:S$140,2,0)</f>
        <v>46145</v>
      </c>
      <c r="F132" s="283">
        <f>VLOOKUP(A132,ImportDataWA!A$14:S$140,10,0)</f>
        <v>51966.342431818171</v>
      </c>
      <c r="G132" s="302">
        <f>VLOOKUP(A132,ImportDataWA!A$14:S$140,15,0)</f>
        <v>0</v>
      </c>
      <c r="H132" s="302">
        <f>VLOOKUP(A132,ImportDataWA!A$14:S$140,19,0)</f>
        <v>0</v>
      </c>
      <c r="I132" s="303">
        <f t="shared" si="1"/>
        <v>0</v>
      </c>
    </row>
  </sheetData>
  <autoFilter ref="A6:I132" xr:uid="{00000000-0001-0000-0600-000000000000}">
    <filterColumn colId="5">
      <filters>
        <filter val="1,133,707"/>
        <filter val="1,164,580"/>
        <filter val="1,169,531"/>
        <filter val="1,246,534"/>
        <filter val="1,277,638"/>
        <filter val="1,359,741"/>
        <filter val="1,440,779"/>
        <filter val="1,455,457"/>
        <filter val="456,818"/>
        <filter val="460,846"/>
        <filter val="463,396"/>
        <filter val="464,710"/>
        <filter val="466,282"/>
        <filter val="493,602"/>
        <filter val="503,982"/>
        <filter val="504,314"/>
        <filter val="516,912"/>
        <filter val="529,525"/>
        <filter val="534,912"/>
        <filter val="546,307"/>
        <filter val="556,763"/>
        <filter val="566,759"/>
        <filter val="573,798"/>
        <filter val="576,424"/>
        <filter val="576,840"/>
        <filter val="581,267"/>
        <filter val="584,419"/>
        <filter val="589,002"/>
        <filter val="589,254"/>
        <filter val="598,049"/>
        <filter val="612,246"/>
        <filter val="625,178"/>
        <filter val="628,551"/>
        <filter val="631,286"/>
        <filter val="635,745"/>
        <filter val="635,985"/>
        <filter val="638,100"/>
        <filter val="639,989"/>
        <filter val="661,723"/>
        <filter val="669,472"/>
        <filter val="671,092"/>
        <filter val="681,780"/>
        <filter val="682,236"/>
        <filter val="684,483"/>
        <filter val="691,552"/>
        <filter val="691,665"/>
        <filter val="694,210"/>
        <filter val="695,639"/>
        <filter val="697,314"/>
        <filter val="698,514"/>
        <filter val="699,862"/>
        <filter val="704,931"/>
        <filter val="715,379"/>
        <filter val="718,745"/>
        <filter val="721,508"/>
        <filter val="728,635"/>
        <filter val="736,725"/>
        <filter val="737,570"/>
        <filter val="741,035"/>
        <filter val="742,254"/>
        <filter val="742,572"/>
        <filter val="744,328"/>
        <filter val="747,265"/>
        <filter val="748,600"/>
        <filter val="756,438"/>
        <filter val="756,561"/>
        <filter val="772,843"/>
        <filter val="780,293"/>
        <filter val="789,604"/>
        <filter val="790,068"/>
        <filter val="815,910"/>
        <filter val="822,545"/>
        <filter val="824,203"/>
        <filter val="837,229"/>
        <filter val="839,475"/>
        <filter val="845,195"/>
        <filter val="860,720"/>
        <filter val="860,723"/>
        <filter val="865,490"/>
        <filter val="873,822"/>
        <filter val="874,476"/>
        <filter val="888,722"/>
        <filter val="889,815"/>
        <filter val="892,400"/>
        <filter val="903,342"/>
        <filter val="923,440"/>
        <filter val="932,110"/>
        <filter val="941,756"/>
        <filter val="962,298"/>
        <filter val="985,481"/>
        <filter val="985,515"/>
      </filters>
    </filterColumn>
    <filterColumn colId="6">
      <filters>
        <filter val="0.00"/>
      </filters>
    </filterColumn>
    <filterColumn colId="7">
      <filters>
        <filter val="0.00"/>
      </filters>
    </filterColumn>
  </autoFilter>
  <mergeCells count="1">
    <mergeCell ref="E2:G2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theme="9" tint="-0.249977111117893"/>
  </sheetPr>
  <dimension ref="A1:I32"/>
  <sheetViews>
    <sheetView tabSelected="1" workbookViewId="0">
      <selection activeCell="I7" sqref="I7:I24"/>
    </sheetView>
  </sheetViews>
  <sheetFormatPr defaultRowHeight="15" x14ac:dyDescent="0.25"/>
  <cols>
    <col min="1" max="1" width="28.42578125" customWidth="1"/>
    <col min="2" max="2" width="13.5703125" customWidth="1"/>
    <col min="3" max="3" width="16.28515625" customWidth="1"/>
    <col min="4" max="4" width="25.140625" hidden="1" customWidth="1"/>
    <col min="5" max="5" width="14.28515625" customWidth="1"/>
    <col min="6" max="6" width="19" customWidth="1"/>
    <col min="7" max="7" width="17.7109375" customWidth="1"/>
    <col min="8" max="8" width="17.42578125" customWidth="1"/>
  </cols>
  <sheetData>
    <row r="1" spans="1:9" ht="15.75" thickBot="1" x14ac:dyDescent="0.3"/>
    <row r="2" spans="1:9" ht="15.75" thickBot="1" x14ac:dyDescent="0.3">
      <c r="G2" s="324" t="s">
        <v>456</v>
      </c>
      <c r="H2" s="325"/>
      <c r="I2" s="326"/>
    </row>
    <row r="3" spans="1:9" ht="15.75" thickBot="1" x14ac:dyDescent="0.3">
      <c r="D3" s="296" t="s">
        <v>286</v>
      </c>
    </row>
    <row r="4" spans="1:9" ht="15.75" thickBot="1" x14ac:dyDescent="0.3">
      <c r="D4" s="297">
        <f>SUBTOTAL(9,D6:D132)</f>
        <v>1752537.8787878789</v>
      </c>
    </row>
    <row r="5" spans="1:9" ht="15.75" thickBot="1" x14ac:dyDescent="0.3">
      <c r="A5" s="275" t="s">
        <v>123</v>
      </c>
      <c r="B5" s="276" t="s">
        <v>125</v>
      </c>
      <c r="C5" s="288" t="s">
        <v>172</v>
      </c>
      <c r="D5" s="295" t="s">
        <v>286</v>
      </c>
      <c r="E5" s="289" t="s">
        <v>195</v>
      </c>
      <c r="F5" s="290" t="s">
        <v>458</v>
      </c>
      <c r="G5" s="291" t="s">
        <v>194</v>
      </c>
      <c r="H5" s="291" t="s">
        <v>175</v>
      </c>
    </row>
    <row r="6" spans="1:9" hidden="1" x14ac:dyDescent="0.25">
      <c r="A6" s="9" t="s">
        <v>464</v>
      </c>
      <c r="B6" s="281" t="s">
        <v>157</v>
      </c>
      <c r="C6" s="292">
        <v>5</v>
      </c>
      <c r="D6" s="305">
        <f>VLOOKUP(A6,'LOS Portfoilio '!A$3:I$39,4,0)</f>
        <v>182196.96969696973</v>
      </c>
      <c r="E6" s="293">
        <f>VLOOKUP(A6,'LOS Incentive'!A$6:L$28,12,0)</f>
        <v>0.73495148485248485</v>
      </c>
      <c r="F6" s="306">
        <f>H6/$G6</f>
        <v>4.8620593257559248E-2</v>
      </c>
      <c r="G6" s="294">
        <f>VLOOKUP(A6,'LOS Portfoilio '!A$3:I$38,2,0)</f>
        <v>2253151.1438712566</v>
      </c>
      <c r="H6" s="294">
        <f>VLOOKUP(A6,'LOS Portfoilio '!A$3:I$38,9,0)</f>
        <v>109549.54531396873</v>
      </c>
    </row>
    <row r="7" spans="1:9" x14ac:dyDescent="0.25">
      <c r="A7" s="9" t="s">
        <v>276</v>
      </c>
      <c r="B7" s="281" t="s">
        <v>459</v>
      </c>
      <c r="C7" s="292">
        <v>4</v>
      </c>
      <c r="D7" s="305">
        <f>VLOOKUP(A7,'LOS Portfoilio '!A$3:I$39,4,0)</f>
        <v>287878.7878787879</v>
      </c>
      <c r="E7" s="293">
        <f>VLOOKUP(A7,'LOS Incentive'!A$6:L$28,12,0)</f>
        <v>1.0800000345600012</v>
      </c>
      <c r="F7" s="306">
        <f t="shared" ref="F7:F27" si="0">H7/$G7</f>
        <v>0</v>
      </c>
      <c r="G7" s="294">
        <f>VLOOKUP(A7,'LOS Portfoilio '!A$3:I$38,2,0)</f>
        <v>1752378.3536666669</v>
      </c>
      <c r="H7" s="294">
        <f>VLOOKUP(A7,'LOS Portfoilio '!A$3:I$38,9,0)</f>
        <v>0</v>
      </c>
      <c r="I7">
        <f>C7*65000</f>
        <v>260000</v>
      </c>
    </row>
    <row r="8" spans="1:9" hidden="1" x14ac:dyDescent="0.25">
      <c r="A8" s="9" t="s">
        <v>134</v>
      </c>
      <c r="B8" s="281" t="s">
        <v>460</v>
      </c>
      <c r="C8" s="292">
        <v>5</v>
      </c>
      <c r="D8" s="305">
        <f>VLOOKUP(A8,'LOS Portfoilio '!A$3:I$39,4,0)</f>
        <v>77045.454545454544</v>
      </c>
      <c r="E8" s="293">
        <f>VLOOKUP(A8,'LOS Incentive'!A$6:L$28,12,0)</f>
        <v>0.97172418082092926</v>
      </c>
      <c r="F8" s="306">
        <f t="shared" si="0"/>
        <v>6.6565794455686708E-2</v>
      </c>
      <c r="G8" s="294">
        <f>VLOOKUP(A8,'LOS Portfoilio '!A$3:I$38,2,0)</f>
        <v>6064178.1130558383</v>
      </c>
      <c r="H8" s="294">
        <f>VLOOKUP(A8,'LOS Portfoilio '!A$3:I$38,9,0)</f>
        <v>403666.83381634904</v>
      </c>
    </row>
    <row r="9" spans="1:9" x14ac:dyDescent="0.25">
      <c r="A9" s="9" t="s">
        <v>465</v>
      </c>
      <c r="B9" s="281" t="s">
        <v>461</v>
      </c>
      <c r="C9" s="292">
        <v>4</v>
      </c>
      <c r="D9" s="305">
        <f>VLOOKUP(A9,'LOS Portfoilio '!A$3:I$39,4,0)</f>
        <v>221136.36363636365</v>
      </c>
      <c r="E9" s="293">
        <f>VLOOKUP(A9,'LOS Incentive'!A$6:L$28,12,0)</f>
        <v>0.99400001931200044</v>
      </c>
      <c r="F9" s="306">
        <f t="shared" si="0"/>
        <v>8.10837961114526E-3</v>
      </c>
      <c r="G9" s="294">
        <f>VLOOKUP(A9,'LOS Portfoilio '!A$3:I$38,2,0)</f>
        <v>3380141.2653868459</v>
      </c>
      <c r="H9" s="294">
        <f>VLOOKUP(A9,'LOS Portfoilio '!A$3:I$38,9,0)</f>
        <v>27407.468519053444</v>
      </c>
      <c r="I9">
        <f>C9*65000</f>
        <v>260000</v>
      </c>
    </row>
    <row r="10" spans="1:9" hidden="1" x14ac:dyDescent="0.25">
      <c r="A10" s="9" t="s">
        <v>466</v>
      </c>
      <c r="B10" s="281" t="s">
        <v>158</v>
      </c>
      <c r="C10" s="292">
        <v>10</v>
      </c>
      <c r="D10" s="305">
        <f>VLOOKUP(A10,'LOS Portfoilio '!A$3:I$39,4,0)</f>
        <v>421742.42424242414</v>
      </c>
      <c r="E10" s="293">
        <f>VLOOKUP(A10,'LOS Incentive'!A$6:L$28,12,0)</f>
        <v>0.43393259987173394</v>
      </c>
      <c r="F10" s="306">
        <f t="shared" si="0"/>
        <v>3.7195422318664788E-2</v>
      </c>
      <c r="G10" s="294">
        <f>VLOOKUP(A10,'LOS Portfoilio '!A$3:I$38,2,0)</f>
        <v>4964667.1364876004</v>
      </c>
      <c r="H10" s="294">
        <f>VLOOKUP(A10,'LOS Portfoilio '!A$3:I$38,9,0)</f>
        <v>184662.89081325248</v>
      </c>
    </row>
    <row r="11" spans="1:9" hidden="1" x14ac:dyDescent="0.25">
      <c r="A11" s="9" t="s">
        <v>467</v>
      </c>
      <c r="B11" s="281" t="s">
        <v>158</v>
      </c>
      <c r="C11" s="292">
        <v>9</v>
      </c>
      <c r="D11" s="305">
        <f>VLOOKUP(A11,'LOS Portfoilio '!A$3:I$39,4,0)</f>
        <v>154469.69696969699</v>
      </c>
      <c r="E11" s="293">
        <f>VLOOKUP(A11,'LOS Incentive'!A$6:L$28,12,0)</f>
        <v>0.47094341755215474</v>
      </c>
      <c r="F11" s="306">
        <f t="shared" si="0"/>
        <v>2.0237886367665159E-2</v>
      </c>
      <c r="G11" s="294">
        <f>VLOOKUP(A11,'LOS Portfoilio '!A$3:I$38,2,0)</f>
        <v>4385422.665237966</v>
      </c>
      <c r="H11" s="294">
        <f>VLOOKUP(A11,'LOS Portfoilio '!A$3:I$38,9,0)</f>
        <v>88751.685573269235</v>
      </c>
    </row>
    <row r="12" spans="1:9" x14ac:dyDescent="0.25">
      <c r="A12" s="9" t="s">
        <v>111</v>
      </c>
      <c r="B12" s="281" t="s">
        <v>462</v>
      </c>
      <c r="C12" s="292">
        <v>5</v>
      </c>
      <c r="D12" s="305">
        <f>VLOOKUP(A12,'LOS Portfoilio '!A$3:I$39,4,0)</f>
        <v>342424.24242424237</v>
      </c>
      <c r="E12" s="293">
        <f>VLOOKUP(A12,'LOS Incentive'!A$6:L$28,12,0)</f>
        <v>0.99733336524800087</v>
      </c>
      <c r="F12" s="306">
        <f t="shared" si="0"/>
        <v>3.2032301073537544E-3</v>
      </c>
      <c r="G12" s="294">
        <f>VLOOKUP(A12,'LOS Portfoilio '!A$3:I$38,2,0)</f>
        <v>4096668.0363716315</v>
      </c>
      <c r="H12" s="294">
        <f>VLOOKUP(A12,'LOS Portfoilio '!A$3:I$38,9,0)</f>
        <v>13122.570393939395</v>
      </c>
      <c r="I12">
        <f>C12*65000</f>
        <v>325000</v>
      </c>
    </row>
    <row r="13" spans="1:9" x14ac:dyDescent="0.25">
      <c r="A13" s="9" t="s">
        <v>468</v>
      </c>
      <c r="B13" s="281" t="s">
        <v>161</v>
      </c>
      <c r="C13" s="292">
        <v>5</v>
      </c>
      <c r="D13" s="305">
        <f>VLOOKUP(A13,'LOS Portfoilio '!A$3:I$39,4,0)</f>
        <v>318181.81818181823</v>
      </c>
      <c r="E13" s="293">
        <f>VLOOKUP(A13,'LOS Incentive'!A$6:L$28,12,0)</f>
        <v>0.90322585073881601</v>
      </c>
      <c r="F13" s="306">
        <f t="shared" si="0"/>
        <v>1.448157486373298E-2</v>
      </c>
      <c r="G13" s="294">
        <f>VLOOKUP(A13,'LOS Portfoilio '!A$3:I$38,2,0)</f>
        <v>3525029.2949219774</v>
      </c>
      <c r="H13" s="294">
        <f>VLOOKUP(A13,'LOS Portfoilio '!A$3:I$38,9,0)</f>
        <v>51047.975631264497</v>
      </c>
      <c r="I13">
        <f>C13*65000</f>
        <v>325000</v>
      </c>
    </row>
    <row r="14" spans="1:9" hidden="1" x14ac:dyDescent="0.25">
      <c r="A14" s="9" t="s">
        <v>469</v>
      </c>
      <c r="B14" s="281" t="s">
        <v>161</v>
      </c>
      <c r="C14" s="292">
        <v>6</v>
      </c>
      <c r="D14" s="305">
        <f>VLOOKUP(A14,'LOS Portfoilio '!A$3:I$39,4,0)</f>
        <v>291212.12121212122</v>
      </c>
      <c r="E14" s="293">
        <f>VLOOKUP(A14,'LOS Incentive'!A$6:L$28,12,0)</f>
        <v>0.68642859447295979</v>
      </c>
      <c r="F14" s="306">
        <f t="shared" si="0"/>
        <v>1.0613451380874583E-2</v>
      </c>
      <c r="G14" s="294">
        <f>VLOOKUP(A14,'LOS Portfoilio '!A$3:I$38,2,0)</f>
        <v>4207827.3125215089</v>
      </c>
      <c r="H14" s="294">
        <f>VLOOKUP(A14,'LOS Portfoilio '!A$3:I$38,9,0)</f>
        <v>44659.570600563195</v>
      </c>
    </row>
    <row r="15" spans="1:9" hidden="1" x14ac:dyDescent="0.25">
      <c r="A15" s="9" t="s">
        <v>20</v>
      </c>
      <c r="B15" s="281" t="s">
        <v>156</v>
      </c>
      <c r="C15" s="292">
        <v>5</v>
      </c>
      <c r="D15" s="305">
        <f>VLOOKUP(A15,'LOS Portfoilio '!A$3:I$39,4,0)</f>
        <v>175000.00000000003</v>
      </c>
      <c r="E15" s="293">
        <f>VLOOKUP(A15,'LOS Incentive'!A$6:L$28,12,0)</f>
        <v>0.57037039234019304</v>
      </c>
      <c r="F15" s="306">
        <f t="shared" si="0"/>
        <v>5.2230809824584607E-3</v>
      </c>
      <c r="G15" s="294">
        <f>VLOOKUP(A15,'LOS Portfoilio '!A$3:I$38,2,0)</f>
        <v>2383676.611388199</v>
      </c>
      <c r="H15" s="294">
        <f>VLOOKUP(A15,'LOS Portfoilio '!A$3:I$38,9,0)</f>
        <v>12450.135977272728</v>
      </c>
    </row>
    <row r="16" spans="1:9" x14ac:dyDescent="0.25">
      <c r="A16" s="9" t="s">
        <v>144</v>
      </c>
      <c r="B16" s="281" t="s">
        <v>156</v>
      </c>
      <c r="C16" s="292">
        <v>6</v>
      </c>
      <c r="D16" s="305">
        <f>VLOOKUP(A16,'LOS Portfoilio '!A$3:I$39,4,0)</f>
        <v>310871.21212121216</v>
      </c>
      <c r="E16" s="293">
        <f>VLOOKUP(A16,'LOS Incentive'!A$6:L$28,12,0)</f>
        <v>0.91188891806933448</v>
      </c>
      <c r="F16" s="306">
        <f t="shared" si="0"/>
        <v>1.3505540508823502E-2</v>
      </c>
      <c r="G16" s="294">
        <f>VLOOKUP(A16,'LOS Portfoilio '!A$3:I$38,2,0)</f>
        <v>3626471.7226129663</v>
      </c>
      <c r="H16" s="294">
        <f>VLOOKUP(A16,'LOS Portfoilio '!A$3:I$38,9,0)</f>
        <v>48977.460753852363</v>
      </c>
      <c r="I16">
        <f>C16*65000</f>
        <v>390000</v>
      </c>
    </row>
    <row r="17" spans="1:9" hidden="1" x14ac:dyDescent="0.25">
      <c r="A17" s="9" t="s">
        <v>147</v>
      </c>
      <c r="B17" s="281" t="s">
        <v>155</v>
      </c>
      <c r="C17" s="292">
        <v>5</v>
      </c>
      <c r="D17" s="305">
        <f>VLOOKUP(A17,'LOS Portfoilio '!A$3:I$39,4,0)</f>
        <v>269696.96969696973</v>
      </c>
      <c r="E17" s="293">
        <f>VLOOKUP(A17,'LOS Incentive'!A$6:L$28,12,0)</f>
        <v>0.81868134171235418</v>
      </c>
      <c r="F17" s="306">
        <f t="shared" si="0"/>
        <v>1.6750681671703939E-2</v>
      </c>
      <c r="G17" s="294">
        <f>VLOOKUP(A17,'LOS Portfoilio '!A$3:I$38,2,0)</f>
        <v>3338265.9263560669</v>
      </c>
      <c r="H17" s="294">
        <f>VLOOKUP(A17,'LOS Portfoilio '!A$3:I$38,9,0)</f>
        <v>55918.229867886344</v>
      </c>
    </row>
    <row r="18" spans="1:9" hidden="1" x14ac:dyDescent="0.25">
      <c r="A18" s="9" t="s">
        <v>470</v>
      </c>
      <c r="B18" s="281" t="s">
        <v>155</v>
      </c>
      <c r="C18" s="292">
        <v>5</v>
      </c>
      <c r="D18" s="305">
        <f>VLOOKUP(A18,'LOS Portfoilio '!A$3:I$39,4,0)</f>
        <v>188257.57575757583</v>
      </c>
      <c r="E18" s="293">
        <f>VLOOKUP(A18,'LOS Incentive'!A$6:L$28,12,0)</f>
        <v>0.5098901242342716</v>
      </c>
      <c r="F18" s="306">
        <f t="shared" si="0"/>
        <v>2.6817688680305145E-2</v>
      </c>
      <c r="G18" s="294">
        <f>VLOOKUP(A18,'LOS Portfoilio '!A$3:I$38,2,0)</f>
        <v>3064143.5396651994</v>
      </c>
      <c r="H18" s="294">
        <f>VLOOKUP(A18,'LOS Portfoilio '!A$3:I$38,9,0)</f>
        <v>82173.247518509554</v>
      </c>
    </row>
    <row r="19" spans="1:9" hidden="1" x14ac:dyDescent="0.25">
      <c r="A19" s="9" t="s">
        <v>71</v>
      </c>
      <c r="B19" s="281" t="s">
        <v>165</v>
      </c>
      <c r="C19" s="292">
        <v>6</v>
      </c>
      <c r="D19" s="305">
        <f>VLOOKUP(A19,'LOS Portfoilio '!A$3:I$39,4,0)</f>
        <v>293787.87878787878</v>
      </c>
      <c r="E19" s="293">
        <f>VLOOKUP(A19,'LOS Incentive'!A$6:L$28,12,0)</f>
        <v>0.86177780535466753</v>
      </c>
      <c r="F19" s="306">
        <f t="shared" si="0"/>
        <v>2.8660193871398985E-2</v>
      </c>
      <c r="G19" s="294">
        <f>VLOOKUP(A19,'LOS Portfoilio '!A$3:I$38,2,0)</f>
        <v>3445304.6193098691</v>
      </c>
      <c r="H19" s="294">
        <f>VLOOKUP(A19,'LOS Portfoilio '!A$3:I$38,9,0)</f>
        <v>98743.098335447328</v>
      </c>
    </row>
    <row r="20" spans="1:9" hidden="1" x14ac:dyDescent="0.25">
      <c r="A20" s="9" t="s">
        <v>471</v>
      </c>
      <c r="B20" s="281" t="s">
        <v>162</v>
      </c>
      <c r="C20" s="292">
        <v>4</v>
      </c>
      <c r="D20" s="305">
        <f>VLOOKUP(A20,'LOS Portfoilio '!A$3:I$39,4,0)</f>
        <v>422840.90909090906</v>
      </c>
      <c r="E20" s="293">
        <f>VLOOKUP(A20,'LOS Incentive'!A$6:L$28,12,0)</f>
        <v>0.84315791781274319</v>
      </c>
      <c r="F20" s="306">
        <f t="shared" si="0"/>
        <v>1.8341852387140371E-2</v>
      </c>
      <c r="G20" s="294">
        <f>VLOOKUP(A20,'LOS Portfoilio '!A$3:I$38,2,0)</f>
        <v>2761599.8670226447</v>
      </c>
      <c r="H20" s="294">
        <f>VLOOKUP(A20,'LOS Portfoilio '!A$3:I$38,9,0)</f>
        <v>50652.857113275822</v>
      </c>
    </row>
    <row r="21" spans="1:9" hidden="1" x14ac:dyDescent="0.25">
      <c r="A21" s="9" t="s">
        <v>472</v>
      </c>
      <c r="B21" s="281" t="s">
        <v>162</v>
      </c>
      <c r="C21" s="292">
        <v>5</v>
      </c>
      <c r="D21" s="305">
        <f>VLOOKUP(A21,'LOS Portfoilio '!A$3:I$39,4,0)</f>
        <v>0</v>
      </c>
      <c r="E21" s="293">
        <f>VLOOKUP(A21,'LOS Incentive'!A$6:L$28,12,0)</f>
        <v>0.33350516591646334</v>
      </c>
      <c r="F21" s="306">
        <f t="shared" si="0"/>
        <v>4.7577424100538959E-2</v>
      </c>
      <c r="G21" s="294">
        <f>VLOOKUP(A21,'LOS Portfoilio '!A$3:I$38,2,0)</f>
        <v>4000682.7260071589</v>
      </c>
      <c r="H21" s="294">
        <f>VLOOKUP(A21,'LOS Portfoilio '!A$3:I$38,9,0)</f>
        <v>190342.1787469429</v>
      </c>
    </row>
    <row r="22" spans="1:9" hidden="1" x14ac:dyDescent="0.25">
      <c r="A22" s="9" t="s">
        <v>150</v>
      </c>
      <c r="B22" s="281" t="s">
        <v>162</v>
      </c>
      <c r="C22" s="292">
        <v>2</v>
      </c>
      <c r="D22" s="305">
        <f>VLOOKUP(A22,'LOS Portfoilio '!A$3:I$39,4,0)</f>
        <v>0</v>
      </c>
      <c r="E22" s="293">
        <f>VLOOKUP(A22,'LOS Incentive'!A$6:L$28,12,0)</f>
        <v>0.42222224192592683</v>
      </c>
      <c r="F22" s="306">
        <f t="shared" si="0"/>
        <v>0.24891198817242344</v>
      </c>
      <c r="G22" s="294">
        <f>VLOOKUP(A22,'LOS Portfoilio '!A$3:I$38,2,0)</f>
        <v>1489149.6444346227</v>
      </c>
      <c r="H22" s="294">
        <f>VLOOKUP(A22,'LOS Portfoilio '!A$3:I$38,9,0)</f>
        <v>370667.19868247939</v>
      </c>
    </row>
    <row r="23" spans="1:9" hidden="1" x14ac:dyDescent="0.25">
      <c r="A23" s="9" t="s">
        <v>476</v>
      </c>
      <c r="B23" s="281" t="s">
        <v>160</v>
      </c>
      <c r="C23" s="292">
        <v>5</v>
      </c>
      <c r="D23" s="305">
        <f>VLOOKUP(A23,'LOS Portfoilio '!A$3:I$39,4,0)</f>
        <v>271666.66666666669</v>
      </c>
      <c r="E23" s="293">
        <f>VLOOKUP(A23,'LOS Incentive'!A$6:L$28,12,0)</f>
        <v>0.86795703180520523</v>
      </c>
      <c r="F23" s="306">
        <f t="shared" si="0"/>
        <v>0</v>
      </c>
      <c r="G23" s="294">
        <f>VLOOKUP(A23,'LOS Portfoilio '!A$3:I$38,2,0)</f>
        <v>749326.19878787873</v>
      </c>
      <c r="H23" s="294">
        <f>VLOOKUP(A23,'LOS Portfoilio '!A$3:I$38,9,0)</f>
        <v>0</v>
      </c>
    </row>
    <row r="24" spans="1:9" x14ac:dyDescent="0.25">
      <c r="A24" s="9" t="s">
        <v>473</v>
      </c>
      <c r="B24" s="281" t="s">
        <v>160</v>
      </c>
      <c r="C24" s="292">
        <v>4</v>
      </c>
      <c r="D24" s="305">
        <f>VLOOKUP(A24,'LOS Portfoilio '!A$3:I$39,4,0)</f>
        <v>272045.45454545459</v>
      </c>
      <c r="E24" s="293">
        <f>VLOOKUP(A24,'LOS Incentive'!A$6:L$28,12,0)</f>
        <v>1.0881818617090926</v>
      </c>
      <c r="F24" s="306">
        <f t="shared" si="0"/>
        <v>1.1690514841661196E-2</v>
      </c>
      <c r="G24" s="294">
        <f>VLOOKUP(A24,'LOS Portfoilio '!A$3:I$38,2,0)</f>
        <v>2501386.0379366009</v>
      </c>
      <c r="H24" s="294">
        <f>VLOOKUP(A24,'LOS Portfoilio '!A$3:I$38,9,0)</f>
        <v>29242.490601221929</v>
      </c>
      <c r="I24">
        <f>C24*65000</f>
        <v>260000</v>
      </c>
    </row>
    <row r="25" spans="1:9" hidden="1" x14ac:dyDescent="0.25">
      <c r="A25" s="9" t="s">
        <v>474</v>
      </c>
      <c r="B25" s="281" t="s">
        <v>159</v>
      </c>
      <c r="C25" s="292">
        <v>4</v>
      </c>
      <c r="D25" s="305">
        <f>VLOOKUP(A25,'LOS Portfoilio '!A$3:I$39,4,0)</f>
        <v>70757.57575757576</v>
      </c>
      <c r="E25" s="293">
        <f>VLOOKUP(A25,'LOS Incentive'!A$6:L$28,12,0)</f>
        <v>0.31133334329600032</v>
      </c>
      <c r="F25" s="306">
        <f t="shared" si="0"/>
        <v>0</v>
      </c>
      <c r="G25" s="294">
        <f>VLOOKUP(A25,'LOS Portfoilio '!A$3:I$38,2,0)</f>
        <v>612814.96212121216</v>
      </c>
      <c r="H25" s="294">
        <f>VLOOKUP(A25,'LOS Portfoilio '!A$3:I$38,9,0)</f>
        <v>0</v>
      </c>
    </row>
    <row r="26" spans="1:9" hidden="1" x14ac:dyDescent="0.25">
      <c r="A26" s="9" t="s">
        <v>21</v>
      </c>
      <c r="B26" s="281" t="s">
        <v>164</v>
      </c>
      <c r="C26" s="292">
        <v>6</v>
      </c>
      <c r="D26" s="305">
        <f>VLOOKUP(A26,'LOS Portfoilio '!A$3:I$39,4,0)</f>
        <v>209848.48484848486</v>
      </c>
      <c r="E26" s="293">
        <f>VLOOKUP(A26,'LOS Incentive'!A$6:L$28,12,0)</f>
        <v>0.50701756947737897</v>
      </c>
      <c r="F26" s="306">
        <f t="shared" si="0"/>
        <v>3.823165700175081E-2</v>
      </c>
      <c r="G26" s="294">
        <f>VLOOKUP(A26,'LOS Portfoilio '!A$3:I$38,2,0)</f>
        <v>3176382.3162081554</v>
      </c>
      <c r="H26" s="294">
        <f>VLOOKUP(A26,'LOS Portfoilio '!A$3:I$38,9,0)</f>
        <v>121438.35921969698</v>
      </c>
    </row>
    <row r="27" spans="1:9" hidden="1" x14ac:dyDescent="0.25">
      <c r="A27" s="9" t="s">
        <v>475</v>
      </c>
      <c r="B27" s="9" t="s">
        <v>164</v>
      </c>
      <c r="C27" s="292">
        <v>5</v>
      </c>
      <c r="D27" s="305">
        <f>VLOOKUP(A27,'LOS Portfoilio '!A$3:I$39,4,0)</f>
        <v>233484.84848484848</v>
      </c>
      <c r="E27" s="293">
        <f>VLOOKUP(A27,'LOS Incentive'!A$6:L$28,12,0)</f>
        <v>0.63698927854485066</v>
      </c>
      <c r="F27" s="307">
        <f t="shared" si="0"/>
        <v>2.1722501954653313E-2</v>
      </c>
      <c r="G27" s="294">
        <f>VLOOKUP(A27,'LOS Portfoilio '!A$3:I$38,2,0)</f>
        <v>3217501.6878142944</v>
      </c>
      <c r="H27" s="294">
        <f>VLOOKUP(A27,'LOS Portfoilio '!A$3:I$38,9,0)</f>
        <v>69892.186702646344</v>
      </c>
    </row>
    <row r="28" spans="1:9" hidden="1" x14ac:dyDescent="0.25">
      <c r="A28" s="9" t="s">
        <v>477</v>
      </c>
      <c r="B28" s="9" t="s">
        <v>460</v>
      </c>
      <c r="C28" s="320">
        <v>0</v>
      </c>
      <c r="D28" s="305">
        <f>VLOOKUP(A28,'LOS Portfoilio '!A$3:I$39,4,0)</f>
        <v>26515.151515151516</v>
      </c>
      <c r="E28" s="293" t="e">
        <f>VLOOKUP(A28,'LOS Incentive'!A$6:L$28,12,0)</f>
        <v>#N/A</v>
      </c>
      <c r="F28" s="304">
        <f t="shared" ref="F28" si="1">H28/$G28</f>
        <v>2.3476778881690759E-2</v>
      </c>
      <c r="G28" s="294">
        <f>VLOOKUP(A28,'LOS Portfoilio '!A$3:I$38,2,0)</f>
        <v>1444438.606502159</v>
      </c>
      <c r="H28" s="294">
        <f>VLOOKUP(A28,'LOS Portfoilio '!A$3:I$38,9,0)</f>
        <v>33910.765773028717</v>
      </c>
    </row>
    <row r="29" spans="1:9" hidden="1" x14ac:dyDescent="0.25">
      <c r="A29" s="9" t="s">
        <v>478</v>
      </c>
      <c r="B29" s="9" t="s">
        <v>157</v>
      </c>
      <c r="C29" s="320">
        <v>0</v>
      </c>
      <c r="D29" s="305">
        <f>VLOOKUP(A29,'LOS Portfoilio '!A$3:I$39,4,0)</f>
        <v>53030.303030303032</v>
      </c>
      <c r="E29" s="293" t="e">
        <f>VLOOKUP(A29,'LOS Incentive'!A$6:L$28,12,0)</f>
        <v>#N/A</v>
      </c>
      <c r="F29" s="304">
        <f>H29/$G29</f>
        <v>5.0288397927060732E-2</v>
      </c>
      <c r="G29" s="294">
        <f>VLOOKUP(A29,'LOS Portfoilio '!A$3:I$38,2,0)</f>
        <v>478954.7307878788</v>
      </c>
      <c r="H29" s="294">
        <f>VLOOKUP(A29,'LOS Portfoilio '!A$3:I$38,9,0)</f>
        <v>24085.866090909094</v>
      </c>
    </row>
    <row r="30" spans="1:9" hidden="1" x14ac:dyDescent="0.25">
      <c r="A30" s="9" t="s">
        <v>479</v>
      </c>
      <c r="B30" s="9" t="s">
        <v>157</v>
      </c>
      <c r="C30" s="320">
        <v>0</v>
      </c>
      <c r="D30" s="305">
        <f>VLOOKUP(A30,'LOS Portfoilio '!A$3:I$39,4,0)</f>
        <v>51515.151515151512</v>
      </c>
      <c r="E30" s="293" t="e">
        <f>VLOOKUP(A30,'LOS Incentive'!A$6:L$28,12,0)</f>
        <v>#N/A</v>
      </c>
      <c r="F30" s="304">
        <f>H30/$G30</f>
        <v>0</v>
      </c>
      <c r="G30" s="294">
        <f>VLOOKUP(A30,'LOS Portfoilio '!A$3:I$38,2,0)</f>
        <v>174859.96512878788</v>
      </c>
      <c r="H30" s="294">
        <f>VLOOKUP(A30,'LOS Portfoilio '!A$3:I$38,9,0)</f>
        <v>0</v>
      </c>
    </row>
    <row r="31" spans="1:9" hidden="1" x14ac:dyDescent="0.25">
      <c r="A31" s="9" t="s">
        <v>227</v>
      </c>
      <c r="B31" s="9" t="s">
        <v>460</v>
      </c>
      <c r="C31" s="320">
        <v>0</v>
      </c>
      <c r="D31" s="305">
        <f>VLOOKUP(A31,'LOS Portfoilio '!A$3:I$39,4,0)</f>
        <v>379772.72727272735</v>
      </c>
      <c r="E31" s="293" t="e">
        <f>VLOOKUP(A31,'LOS Incentive'!A$6:L$28,12,0)</f>
        <v>#N/A</v>
      </c>
      <c r="F31" s="304">
        <f t="shared" ref="F31:F32" si="2">H31/$G31</f>
        <v>1.9875042189722719E-2</v>
      </c>
      <c r="G31" s="294">
        <f>VLOOKUP(A31,'LOS Portfoilio '!A$3:I$38,2,0)</f>
        <v>1252335.483892692</v>
      </c>
      <c r="H31" s="294">
        <f>VLOOKUP(A31,'LOS Portfoilio '!A$3:I$38,9,0)</f>
        <v>24890.220578054072</v>
      </c>
    </row>
    <row r="32" spans="1:9" hidden="1" x14ac:dyDescent="0.25">
      <c r="A32" s="9" t="s">
        <v>96</v>
      </c>
      <c r="B32" s="9" t="s">
        <v>460</v>
      </c>
      <c r="C32" s="292">
        <v>5</v>
      </c>
      <c r="D32" s="305">
        <f>VLOOKUP(A32,'LOS Portfoilio '!A$3:I$39,4,0)</f>
        <v>103787.87878787878</v>
      </c>
      <c r="E32" s="293">
        <f>VLOOKUP(A32,'LOS Incentive'!A$6:L$28,12,0)</f>
        <v>0.77428573606781859</v>
      </c>
      <c r="F32" s="304">
        <f t="shared" si="2"/>
        <v>0</v>
      </c>
      <c r="G32" s="294">
        <f>VLOOKUP(A32,'LOS Portfoilio '!A$3:I$38,2,0)</f>
        <v>103787.87878787878</v>
      </c>
      <c r="H32" s="294">
        <f>VLOOKUP(A32,'LOS Portfoilio '!A$3:I$38,9,0)</f>
        <v>0</v>
      </c>
    </row>
  </sheetData>
  <autoFilter ref="A5:I32" xr:uid="{00000000-0001-0000-0700-000000000000}">
    <filterColumn colId="4">
      <filters>
        <filter val="100%"/>
        <filter val="108%"/>
        <filter val="109%"/>
        <filter val="90%"/>
        <filter val="91%"/>
        <filter val="97%"/>
        <filter val="99%"/>
      </filters>
    </filterColumn>
    <filterColumn colId="5">
      <filters>
        <filter val="0%"/>
        <filter val="1%"/>
      </filters>
    </filterColumn>
  </autoFilter>
  <mergeCells count="1">
    <mergeCell ref="G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42"/>
  <sheetViews>
    <sheetView workbookViewId="0">
      <pane xSplit="1" ySplit="7" topLeftCell="U8" activePane="bottomRight" state="frozen"/>
      <selection pane="topRight" activeCell="B1" sqref="B1"/>
      <selection pane="bottomLeft" activeCell="A6" sqref="A6"/>
      <selection pane="bottomRight" activeCell="Y26" sqref="Y26"/>
    </sheetView>
  </sheetViews>
  <sheetFormatPr defaultRowHeight="15" x14ac:dyDescent="0.25"/>
  <cols>
    <col min="1" max="1" width="13.85546875" style="1" bestFit="1" customWidth="1"/>
    <col min="2" max="2" width="17.42578125" style="2" bestFit="1" customWidth="1"/>
    <col min="3" max="3" width="16.28515625" bestFit="1" customWidth="1"/>
    <col min="4" max="4" width="16.7109375" customWidth="1"/>
    <col min="5" max="5" width="16.7109375" bestFit="1" customWidth="1"/>
    <col min="6" max="6" width="17.140625" bestFit="1" customWidth="1"/>
    <col min="7" max="7" width="17.42578125" style="2" bestFit="1" customWidth="1"/>
    <col min="8" max="8" width="22.42578125" customWidth="1"/>
    <col min="9" max="9" width="17.42578125" style="2" bestFit="1" customWidth="1"/>
    <col min="10" max="10" width="22.7109375" style="2" bestFit="1" customWidth="1"/>
    <col min="11" max="12" width="17.42578125" style="2" bestFit="1" customWidth="1"/>
    <col min="13" max="13" width="16.28515625" bestFit="1" customWidth="1"/>
    <col min="14" max="14" width="16.7109375" customWidth="1"/>
    <col min="15" max="15" width="16.7109375" bestFit="1" customWidth="1"/>
    <col min="16" max="16" width="17.140625" bestFit="1" customWidth="1"/>
    <col min="17" max="17" width="17.42578125" style="2" bestFit="1" customWidth="1"/>
    <col min="18" max="18" width="22.42578125" customWidth="1"/>
    <col min="19" max="19" width="17.42578125" style="2" bestFit="1" customWidth="1"/>
    <col min="20" max="20" width="22.7109375" style="2" bestFit="1" customWidth="1"/>
    <col min="21" max="21" width="17.42578125" style="2" bestFit="1" customWidth="1"/>
    <col min="22" max="22" width="13.42578125" bestFit="1" customWidth="1"/>
    <col min="23" max="23" width="17.42578125" customWidth="1"/>
    <col min="24" max="24" width="17.42578125" bestFit="1" customWidth="1"/>
    <col min="25" max="25" width="14.42578125" bestFit="1" customWidth="1"/>
    <col min="26" max="26" width="17.42578125" style="2" bestFit="1" customWidth="1"/>
    <col min="27" max="27" width="23.140625" bestFit="1" customWidth="1"/>
    <col min="28" max="28" width="17.42578125" style="2" bestFit="1" customWidth="1"/>
    <col min="29" max="29" width="22.7109375" style="2" bestFit="1" customWidth="1"/>
    <col min="30" max="30" width="17.42578125" style="90" bestFit="1" customWidth="1"/>
    <col min="31" max="31" width="16" bestFit="1" customWidth="1"/>
    <col min="32" max="32" width="15.42578125" bestFit="1" customWidth="1"/>
  </cols>
  <sheetData>
    <row r="1" spans="1:34" s="39" customFormat="1" ht="12.75" customHeight="1" x14ac:dyDescent="0.25">
      <c r="A1" s="45">
        <v>1</v>
      </c>
      <c r="B1" s="45">
        <f>A1+1</f>
        <v>2</v>
      </c>
      <c r="C1" s="45">
        <f t="shared" ref="C1:K1" si="0">B1+1</f>
        <v>3</v>
      </c>
      <c r="D1" s="45">
        <f t="shared" si="0"/>
        <v>4</v>
      </c>
      <c r="E1" s="45">
        <f t="shared" si="0"/>
        <v>5</v>
      </c>
      <c r="F1" s="45">
        <f t="shared" si="0"/>
        <v>6</v>
      </c>
      <c r="G1" s="45">
        <f t="shared" si="0"/>
        <v>7</v>
      </c>
      <c r="H1" s="45">
        <f t="shared" si="0"/>
        <v>8</v>
      </c>
      <c r="I1" s="45">
        <f t="shared" si="0"/>
        <v>9</v>
      </c>
      <c r="J1" s="45">
        <f t="shared" si="0"/>
        <v>10</v>
      </c>
      <c r="K1" s="45">
        <f t="shared" si="0"/>
        <v>11</v>
      </c>
      <c r="L1" s="45">
        <f>K1+1</f>
        <v>12</v>
      </c>
      <c r="M1" s="45">
        <f t="shared" ref="M1" si="1">L1+1</f>
        <v>13</v>
      </c>
      <c r="N1" s="45">
        <f t="shared" ref="N1" si="2">M1+1</f>
        <v>14</v>
      </c>
      <c r="O1" s="45">
        <f t="shared" ref="O1" si="3">N1+1</f>
        <v>15</v>
      </c>
      <c r="P1" s="45">
        <f t="shared" ref="P1" si="4">O1+1</f>
        <v>16</v>
      </c>
      <c r="Q1" s="45">
        <f t="shared" ref="Q1" si="5">P1+1</f>
        <v>17</v>
      </c>
      <c r="R1" s="45">
        <f t="shared" ref="R1" si="6">Q1+1</f>
        <v>18</v>
      </c>
      <c r="S1" s="45">
        <f t="shared" ref="S1" si="7">R1+1</f>
        <v>19</v>
      </c>
      <c r="T1" s="45">
        <f t="shared" ref="T1" si="8">S1+1</f>
        <v>20</v>
      </c>
      <c r="U1" s="45">
        <f t="shared" ref="U1" si="9">T1+1</f>
        <v>21</v>
      </c>
      <c r="V1" s="45">
        <f t="shared" ref="V1" si="10">K1+1</f>
        <v>12</v>
      </c>
      <c r="W1" s="45">
        <f t="shared" ref="W1" si="11">V1+1</f>
        <v>13</v>
      </c>
      <c r="X1" s="45">
        <f t="shared" ref="X1" si="12">W1+1</f>
        <v>14</v>
      </c>
      <c r="Y1" s="45">
        <f t="shared" ref="Y1" si="13">X1+1</f>
        <v>15</v>
      </c>
      <c r="Z1" s="45">
        <f t="shared" ref="Z1" si="14">Y1+1</f>
        <v>16</v>
      </c>
      <c r="AA1" s="45">
        <f t="shared" ref="AA1" si="15">Z1+1</f>
        <v>17</v>
      </c>
      <c r="AB1" s="45">
        <f t="shared" ref="AB1" si="16">AA1+1</f>
        <v>18</v>
      </c>
      <c r="AC1" s="45">
        <f t="shared" ref="AC1" si="17">AB1+1</f>
        <v>19</v>
      </c>
      <c r="AD1" s="45">
        <f t="shared" ref="AD1" si="18">AC1+1</f>
        <v>20</v>
      </c>
      <c r="AE1" s="45">
        <f t="shared" ref="AE1" si="19">AD1+1</f>
        <v>21</v>
      </c>
      <c r="AF1" s="45">
        <f t="shared" ref="AF1" si="20">AE1+1</f>
        <v>22</v>
      </c>
      <c r="AG1" s="45"/>
      <c r="AH1" s="45"/>
    </row>
    <row r="2" spans="1:34" ht="12.75" customHeight="1" x14ac:dyDescent="0.25">
      <c r="A2"/>
      <c r="B2"/>
      <c r="F2" s="117" t="s">
        <v>265</v>
      </c>
      <c r="G2" s="118" t="s">
        <v>266</v>
      </c>
      <c r="I2"/>
      <c r="J2"/>
      <c r="K2"/>
      <c r="L2"/>
      <c r="P2" s="117" t="s">
        <v>265</v>
      </c>
      <c r="Q2" s="118" t="s">
        <v>266</v>
      </c>
      <c r="S2"/>
      <c r="T2"/>
      <c r="U2"/>
      <c r="Z2" s="117" t="s">
        <v>265</v>
      </c>
      <c r="AA2" s="118" t="s">
        <v>266</v>
      </c>
      <c r="AB2"/>
      <c r="AC2"/>
      <c r="AD2"/>
    </row>
    <row r="3" spans="1:34" x14ac:dyDescent="0.25">
      <c r="C3" s="2"/>
      <c r="F3" s="83" t="s">
        <v>245</v>
      </c>
      <c r="G3" s="271">
        <v>4734.8483333333334</v>
      </c>
      <c r="H3" s="2"/>
      <c r="M3" s="2"/>
      <c r="P3" s="83" t="s">
        <v>245</v>
      </c>
      <c r="Q3" s="119">
        <v>9943.1812499999996</v>
      </c>
      <c r="R3" s="2"/>
      <c r="V3" s="2"/>
      <c r="W3" s="2"/>
      <c r="Z3" s="83" t="s">
        <v>245</v>
      </c>
      <c r="AA3" s="83">
        <v>31565.656666666666</v>
      </c>
      <c r="AD3" s="2"/>
      <c r="AE3" s="2"/>
      <c r="AF3" s="90"/>
    </row>
    <row r="4" spans="1:34" x14ac:dyDescent="0.25">
      <c r="C4" s="2"/>
      <c r="F4" s="84" t="s">
        <v>246</v>
      </c>
      <c r="G4" s="120">
        <v>12</v>
      </c>
      <c r="H4" s="2"/>
      <c r="L4" s="121" t="s">
        <v>386</v>
      </c>
      <c r="M4" s="2"/>
      <c r="P4" s="84" t="s">
        <v>246</v>
      </c>
      <c r="Q4" s="120">
        <v>8</v>
      </c>
      <c r="R4" s="2"/>
      <c r="V4" s="2"/>
      <c r="W4" s="2"/>
      <c r="Z4" s="84" t="s">
        <v>246</v>
      </c>
      <c r="AA4" s="84">
        <v>3</v>
      </c>
      <c r="AD4" s="2"/>
      <c r="AE4" s="2"/>
      <c r="AF4" s="90"/>
    </row>
    <row r="5" spans="1:34" ht="15.75" thickBot="1" x14ac:dyDescent="0.3">
      <c r="B5" s="118" t="s">
        <v>267</v>
      </c>
      <c r="C5" s="118" t="s">
        <v>268</v>
      </c>
      <c r="F5" s="102" t="s">
        <v>247</v>
      </c>
      <c r="G5" s="272">
        <f>G3*G4</f>
        <v>56818.18</v>
      </c>
      <c r="H5" s="2"/>
      <c r="L5" s="118" t="s">
        <v>267</v>
      </c>
      <c r="M5" s="118" t="s">
        <v>268</v>
      </c>
      <c r="P5" s="102" t="s">
        <v>247</v>
      </c>
      <c r="Q5" s="272">
        <f>Q3*Q4</f>
        <v>79545.45</v>
      </c>
      <c r="R5" s="2"/>
      <c r="V5" s="118" t="s">
        <v>267</v>
      </c>
      <c r="W5" s="118" t="s">
        <v>268</v>
      </c>
      <c r="Z5" s="102" t="s">
        <v>247</v>
      </c>
      <c r="AA5" s="272">
        <f>AA3*AA4</f>
        <v>94696.97</v>
      </c>
      <c r="AD5" s="2"/>
      <c r="AE5" s="2"/>
      <c r="AF5" s="90"/>
    </row>
    <row r="6" spans="1:34" s="1" customFormat="1" x14ac:dyDescent="0.25">
      <c r="A6" s="95"/>
      <c r="B6" s="121" t="s">
        <v>252</v>
      </c>
      <c r="C6" s="122" t="s">
        <v>252</v>
      </c>
      <c r="D6" s="97" t="s">
        <v>219</v>
      </c>
      <c r="E6" s="97" t="s">
        <v>252</v>
      </c>
      <c r="F6" s="97" t="s">
        <v>252</v>
      </c>
      <c r="G6" s="97" t="s">
        <v>252</v>
      </c>
      <c r="H6" s="98" t="s">
        <v>252</v>
      </c>
      <c r="I6" s="98" t="s">
        <v>252</v>
      </c>
      <c r="J6" s="98" t="s">
        <v>252</v>
      </c>
      <c r="K6" s="98" t="s">
        <v>252</v>
      </c>
      <c r="L6" s="121" t="s">
        <v>386</v>
      </c>
      <c r="M6" s="122" t="s">
        <v>386</v>
      </c>
      <c r="N6" s="97" t="s">
        <v>383</v>
      </c>
      <c r="O6" s="97" t="s">
        <v>386</v>
      </c>
      <c r="P6" s="97" t="s">
        <v>386</v>
      </c>
      <c r="Q6" s="122" t="s">
        <v>386</v>
      </c>
      <c r="R6" s="122" t="s">
        <v>386</v>
      </c>
      <c r="S6" s="122" t="s">
        <v>386</v>
      </c>
      <c r="T6" s="122" t="s">
        <v>386</v>
      </c>
      <c r="U6" s="122" t="s">
        <v>386</v>
      </c>
      <c r="V6" s="96" t="s">
        <v>253</v>
      </c>
      <c r="W6" s="96" t="s">
        <v>253</v>
      </c>
      <c r="X6" s="96" t="s">
        <v>218</v>
      </c>
      <c r="Y6" s="96" t="s">
        <v>253</v>
      </c>
      <c r="Z6" s="96" t="s">
        <v>253</v>
      </c>
      <c r="AA6" s="97" t="s">
        <v>253</v>
      </c>
      <c r="AB6" s="98" t="s">
        <v>253</v>
      </c>
      <c r="AC6" s="98" t="s">
        <v>253</v>
      </c>
      <c r="AD6" s="98" t="s">
        <v>253</v>
      </c>
      <c r="AE6" s="98" t="s">
        <v>253</v>
      </c>
      <c r="AF6" s="98" t="s">
        <v>182</v>
      </c>
    </row>
    <row r="7" spans="1:34" s="1" customFormat="1" x14ac:dyDescent="0.25">
      <c r="A7" s="99" t="s">
        <v>125</v>
      </c>
      <c r="B7" s="48" t="s">
        <v>269</v>
      </c>
      <c r="C7" s="92" t="s">
        <v>254</v>
      </c>
      <c r="D7" s="93" t="s">
        <v>270</v>
      </c>
      <c r="E7" s="93" t="s">
        <v>255</v>
      </c>
      <c r="F7" s="93" t="s">
        <v>256</v>
      </c>
      <c r="G7" s="48" t="s">
        <v>258</v>
      </c>
      <c r="H7" s="48" t="s">
        <v>271</v>
      </c>
      <c r="I7" s="48" t="s">
        <v>272</v>
      </c>
      <c r="J7" s="48" t="s">
        <v>260</v>
      </c>
      <c r="K7" s="48" t="s">
        <v>259</v>
      </c>
      <c r="L7" s="48" t="s">
        <v>269</v>
      </c>
      <c r="M7" s="92" t="s">
        <v>254</v>
      </c>
      <c r="N7" s="93" t="s">
        <v>270</v>
      </c>
      <c r="O7" s="93" t="s">
        <v>255</v>
      </c>
      <c r="P7" s="93" t="s">
        <v>256</v>
      </c>
      <c r="Q7" s="48" t="s">
        <v>258</v>
      </c>
      <c r="R7" s="48" t="s">
        <v>271</v>
      </c>
      <c r="S7" s="48" t="s">
        <v>272</v>
      </c>
      <c r="T7" s="48" t="s">
        <v>260</v>
      </c>
      <c r="U7" s="48" t="s">
        <v>259</v>
      </c>
      <c r="V7" s="48" t="s">
        <v>269</v>
      </c>
      <c r="W7" s="92" t="s">
        <v>257</v>
      </c>
      <c r="X7" s="93" t="s">
        <v>270</v>
      </c>
      <c r="Y7" s="93" t="s">
        <v>255</v>
      </c>
      <c r="Z7" s="93" t="s">
        <v>256</v>
      </c>
      <c r="AA7" s="48" t="s">
        <v>258</v>
      </c>
      <c r="AB7" s="48" t="s">
        <v>271</v>
      </c>
      <c r="AC7" s="48" t="s">
        <v>272</v>
      </c>
      <c r="AD7" s="48" t="s">
        <v>260</v>
      </c>
      <c r="AE7" s="48" t="s">
        <v>259</v>
      </c>
      <c r="AF7" s="100" t="s">
        <v>198</v>
      </c>
    </row>
    <row r="8" spans="1:34" x14ac:dyDescent="0.25">
      <c r="A8" s="104" t="s">
        <v>232</v>
      </c>
      <c r="B8" s="123">
        <v>934965</v>
      </c>
      <c r="C8" s="124">
        <v>4000</v>
      </c>
      <c r="D8" s="125">
        <f>COUNTIFS(MainData!$D:$D,Target_Entry!$A8,MainData!$B:$B,Target_Entry!D$6)</f>
        <v>1</v>
      </c>
      <c r="E8" s="126">
        <v>15</v>
      </c>
      <c r="F8" s="125">
        <f t="shared" ref="F8:F22" si="21">D8*E8</f>
        <v>15</v>
      </c>
      <c r="G8" s="103">
        <f t="shared" ref="G8:G22" si="22">G$5*D8</f>
        <v>56818.18</v>
      </c>
      <c r="H8" s="91">
        <f>B8</f>
        <v>934965</v>
      </c>
      <c r="I8" s="91">
        <f t="shared" ref="I8:I22" si="23">IFERROR(C8*F8,0)</f>
        <v>60000</v>
      </c>
      <c r="J8" s="91">
        <f>IFERROR(IF(G8&gt;0,G8,IF(H8&gt;0,H8,I8)),0)</f>
        <v>56818.18</v>
      </c>
      <c r="K8" s="91">
        <f t="shared" ref="K8:K22" si="24">IFERROR(J8/D8,0)</f>
        <v>56818.18</v>
      </c>
      <c r="L8" s="123"/>
      <c r="M8" s="124">
        <v>4000</v>
      </c>
      <c r="N8" s="125">
        <f>COUNTIFS(MainData!$D:$D,Target_Entry!$A8,MainData!$B:$B,Target_Entry!N$6)</f>
        <v>3</v>
      </c>
      <c r="O8" s="126">
        <v>8</v>
      </c>
      <c r="P8" s="125">
        <f t="shared" ref="P8:P22" si="25">N8*O8</f>
        <v>24</v>
      </c>
      <c r="Q8" s="103">
        <f t="shared" ref="Q8:Q22" si="26">Q$5*N8</f>
        <v>238636.34999999998</v>
      </c>
      <c r="R8" s="91">
        <f>L8</f>
        <v>0</v>
      </c>
      <c r="S8" s="91">
        <f t="shared" ref="S8:S22" si="27">IFERROR(M8*P8,0)</f>
        <v>96000</v>
      </c>
      <c r="T8" s="91">
        <f>IFERROR(IF(Q8&gt;0,Q8,IF(R8&gt;0,R8,S8)),0)</f>
        <v>238636.34999999998</v>
      </c>
      <c r="U8" s="91">
        <f t="shared" ref="U8:U22" si="28">IFERROR(T8/N8,0)</f>
        <v>79545.45</v>
      </c>
      <c r="V8" s="123">
        <v>225000</v>
      </c>
      <c r="W8" s="124">
        <v>25000</v>
      </c>
      <c r="X8" s="125">
        <f>COUNTIFS(MainData!$D:$D,Target_Entry!$A8,MainData!$B:$B,Target_Entry!X$6)</f>
        <v>1</v>
      </c>
      <c r="Y8" s="125">
        <v>3</v>
      </c>
      <c r="Z8" s="125">
        <f t="shared" ref="Z8:Z22" si="29">X8*Y8</f>
        <v>3</v>
      </c>
      <c r="AA8" s="103">
        <f t="shared" ref="AA8:AA22" si="30">AA$5*X8</f>
        <v>94696.97</v>
      </c>
      <c r="AB8" s="91">
        <f>V8</f>
        <v>225000</v>
      </c>
      <c r="AC8" s="91">
        <f>IFERROR(W8*Z8,0)</f>
        <v>75000</v>
      </c>
      <c r="AD8" s="91">
        <f>IFERROR(IF(AA8&gt;0,AA8,IF(AB8&gt;0,AB8,AC8)),0)</f>
        <v>94696.97</v>
      </c>
      <c r="AE8" s="91">
        <f t="shared" ref="AE8:AE22" si="31">IFERROR(AD8/X8,0)</f>
        <v>94696.97</v>
      </c>
      <c r="AF8" s="91">
        <f t="shared" ref="AF8:AF22" si="32">J8+AD8+T8</f>
        <v>390151.5</v>
      </c>
    </row>
    <row r="9" spans="1:34" x14ac:dyDescent="0.25">
      <c r="A9" s="105" t="s">
        <v>233</v>
      </c>
      <c r="B9" s="127">
        <v>598000</v>
      </c>
      <c r="C9" s="128">
        <v>3558</v>
      </c>
      <c r="D9" s="125">
        <f>COUNTIFS(MainData!$D:$D,Target_Entry!$A9,MainData!$B:$B,Target_Entry!D$6)</f>
        <v>6</v>
      </c>
      <c r="E9" s="129">
        <v>15</v>
      </c>
      <c r="F9" s="130">
        <f t="shared" si="21"/>
        <v>90</v>
      </c>
      <c r="G9" s="103">
        <f t="shared" si="22"/>
        <v>340909.08</v>
      </c>
      <c r="H9" s="94">
        <f t="shared" ref="H9:H22" si="33">B9</f>
        <v>598000</v>
      </c>
      <c r="I9" s="94">
        <f t="shared" si="23"/>
        <v>320220</v>
      </c>
      <c r="J9" s="94">
        <f t="shared" ref="J9:J22" si="34">IFERROR(IF(G9&gt;0,G9,IF(H9&gt;0,H9,I9)),0)</f>
        <v>340909.08</v>
      </c>
      <c r="K9" s="94">
        <f t="shared" si="24"/>
        <v>56818.18</v>
      </c>
      <c r="L9" s="127"/>
      <c r="M9" s="128">
        <v>3558</v>
      </c>
      <c r="N9" s="125">
        <f>COUNTIFS(MainData!$D:$D,Target_Entry!$A9,MainData!$B:$B,Target_Entry!N$6)</f>
        <v>3</v>
      </c>
      <c r="O9" s="129">
        <v>8</v>
      </c>
      <c r="P9" s="130">
        <f t="shared" si="25"/>
        <v>24</v>
      </c>
      <c r="Q9" s="103">
        <f t="shared" si="26"/>
        <v>238636.34999999998</v>
      </c>
      <c r="R9" s="94">
        <f t="shared" ref="R9:R22" si="35">L9</f>
        <v>0</v>
      </c>
      <c r="S9" s="94">
        <f t="shared" si="27"/>
        <v>85392</v>
      </c>
      <c r="T9" s="94">
        <f t="shared" ref="T9:T22" si="36">IFERROR(IF(Q9&gt;0,Q9,IF(R9&gt;0,R9,S9)),0)</f>
        <v>238636.34999999998</v>
      </c>
      <c r="U9" s="94">
        <f t="shared" si="28"/>
        <v>79545.45</v>
      </c>
      <c r="V9" s="127">
        <v>75000</v>
      </c>
      <c r="W9" s="128">
        <v>25000</v>
      </c>
      <c r="X9" s="125">
        <f>COUNTIFS(MainData!$D:$D,Target_Entry!$A9,MainData!$B:$B,Target_Entry!X$6)</f>
        <v>1</v>
      </c>
      <c r="Y9" s="130">
        <v>3</v>
      </c>
      <c r="Z9" s="130">
        <f t="shared" si="29"/>
        <v>3</v>
      </c>
      <c r="AA9" s="103">
        <f t="shared" si="30"/>
        <v>94696.97</v>
      </c>
      <c r="AB9" s="94">
        <f t="shared" ref="AB9:AB22" si="37">V9</f>
        <v>75000</v>
      </c>
      <c r="AC9" s="94">
        <f t="shared" ref="AC9:AC22" si="38">IFERROR(W9*Z9,0)</f>
        <v>75000</v>
      </c>
      <c r="AD9" s="94">
        <f t="shared" ref="AD9:AD22" si="39">IFERROR(IF(AA9&gt;0,AA9,IF(AB9&gt;0,AB9,AC9)),0)</f>
        <v>94696.97</v>
      </c>
      <c r="AE9" s="94">
        <f t="shared" si="31"/>
        <v>94696.97</v>
      </c>
      <c r="AF9" s="91">
        <f t="shared" si="32"/>
        <v>674242.4</v>
      </c>
    </row>
    <row r="10" spans="1:34" x14ac:dyDescent="0.25">
      <c r="A10" s="104" t="s">
        <v>234</v>
      </c>
      <c r="B10" s="123"/>
      <c r="C10" s="124"/>
      <c r="D10" s="125"/>
      <c r="E10" s="126">
        <v>15</v>
      </c>
      <c r="F10" s="125">
        <f t="shared" si="21"/>
        <v>0</v>
      </c>
      <c r="G10" s="103">
        <f t="shared" si="22"/>
        <v>0</v>
      </c>
      <c r="H10" s="91">
        <f t="shared" si="33"/>
        <v>0</v>
      </c>
      <c r="I10" s="91">
        <f t="shared" si="23"/>
        <v>0</v>
      </c>
      <c r="J10" s="91">
        <f t="shared" si="34"/>
        <v>0</v>
      </c>
      <c r="K10" s="91">
        <f t="shared" si="24"/>
        <v>0</v>
      </c>
      <c r="L10" s="123"/>
      <c r="M10" s="124"/>
      <c r="N10" s="125">
        <f>COUNTIFS(MainData!$D:$D,Target_Entry!$A10,MainData!$B:$B,Target_Entry!N$6)</f>
        <v>0</v>
      </c>
      <c r="O10" s="126">
        <v>8</v>
      </c>
      <c r="P10" s="125">
        <f t="shared" si="25"/>
        <v>0</v>
      </c>
      <c r="Q10" s="103">
        <f t="shared" si="26"/>
        <v>0</v>
      </c>
      <c r="R10" s="91">
        <f t="shared" si="35"/>
        <v>0</v>
      </c>
      <c r="S10" s="91">
        <f t="shared" si="27"/>
        <v>0</v>
      </c>
      <c r="T10" s="91">
        <f t="shared" si="36"/>
        <v>0</v>
      </c>
      <c r="U10" s="91">
        <f t="shared" si="28"/>
        <v>0</v>
      </c>
      <c r="V10" s="123">
        <v>0</v>
      </c>
      <c r="W10" s="124"/>
      <c r="X10" s="125">
        <f>COUNTIFS(MainData!$D:$D,Target_Entry!$A10,MainData!$B:$B,Target_Entry!X$6)</f>
        <v>0</v>
      </c>
      <c r="Y10" s="125"/>
      <c r="Z10" s="125">
        <f t="shared" si="29"/>
        <v>0</v>
      </c>
      <c r="AA10" s="103">
        <f t="shared" si="30"/>
        <v>0</v>
      </c>
      <c r="AB10" s="91">
        <f t="shared" si="37"/>
        <v>0</v>
      </c>
      <c r="AC10" s="91">
        <f t="shared" si="38"/>
        <v>0</v>
      </c>
      <c r="AD10" s="91">
        <f t="shared" si="39"/>
        <v>0</v>
      </c>
      <c r="AE10" s="91">
        <f t="shared" si="31"/>
        <v>0</v>
      </c>
      <c r="AF10" s="91">
        <f t="shared" si="32"/>
        <v>0</v>
      </c>
    </row>
    <row r="11" spans="1:34" x14ac:dyDescent="0.25">
      <c r="A11" s="105" t="s">
        <v>235</v>
      </c>
      <c r="B11" s="127">
        <v>359920</v>
      </c>
      <c r="C11" s="128">
        <v>3400</v>
      </c>
      <c r="D11" s="125">
        <f>COUNTIFS(MainData!$D:$D,Target_Entry!$A11,MainData!$B:$B,Target_Entry!D$6)</f>
        <v>7</v>
      </c>
      <c r="E11" s="129">
        <v>15</v>
      </c>
      <c r="F11" s="130">
        <f t="shared" si="21"/>
        <v>105</v>
      </c>
      <c r="G11" s="103">
        <f t="shared" si="22"/>
        <v>397727.26</v>
      </c>
      <c r="H11" s="94">
        <f t="shared" si="33"/>
        <v>359920</v>
      </c>
      <c r="I11" s="94">
        <f t="shared" si="23"/>
        <v>357000</v>
      </c>
      <c r="J11" s="94">
        <f t="shared" si="34"/>
        <v>397727.26</v>
      </c>
      <c r="K11" s="94">
        <f t="shared" si="24"/>
        <v>56818.18</v>
      </c>
      <c r="L11" s="127"/>
      <c r="M11" s="128">
        <v>3400</v>
      </c>
      <c r="N11" s="125">
        <f>COUNTIFS(MainData!$D:$D,Target_Entry!$A11,MainData!$B:$B,Target_Entry!N$6)</f>
        <v>0</v>
      </c>
      <c r="O11" s="129">
        <v>8</v>
      </c>
      <c r="P11" s="130">
        <f t="shared" si="25"/>
        <v>0</v>
      </c>
      <c r="Q11" s="103">
        <f t="shared" si="26"/>
        <v>0</v>
      </c>
      <c r="R11" s="94">
        <f t="shared" si="35"/>
        <v>0</v>
      </c>
      <c r="S11" s="94">
        <f t="shared" si="27"/>
        <v>0</v>
      </c>
      <c r="T11" s="94">
        <f t="shared" si="36"/>
        <v>0</v>
      </c>
      <c r="U11" s="94">
        <f t="shared" si="28"/>
        <v>0</v>
      </c>
      <c r="V11" s="127">
        <v>75000</v>
      </c>
      <c r="W11" s="128">
        <v>25000</v>
      </c>
      <c r="X11" s="125">
        <f>COUNTIFS(MainData!$D:$D,Target_Entry!$A11,MainData!$B:$B,Target_Entry!X$6)</f>
        <v>1</v>
      </c>
      <c r="Y11" s="130">
        <v>3</v>
      </c>
      <c r="Z11" s="130">
        <f t="shared" si="29"/>
        <v>3</v>
      </c>
      <c r="AA11" s="103">
        <f t="shared" si="30"/>
        <v>94696.97</v>
      </c>
      <c r="AB11" s="94">
        <f t="shared" si="37"/>
        <v>75000</v>
      </c>
      <c r="AC11" s="94">
        <f t="shared" si="38"/>
        <v>75000</v>
      </c>
      <c r="AD11" s="94">
        <f t="shared" si="39"/>
        <v>94696.97</v>
      </c>
      <c r="AE11" s="94">
        <f t="shared" si="31"/>
        <v>94696.97</v>
      </c>
      <c r="AF11" s="91">
        <f t="shared" si="32"/>
        <v>492424.23</v>
      </c>
    </row>
    <row r="12" spans="1:34" x14ac:dyDescent="0.25">
      <c r="A12" s="104" t="s">
        <v>236</v>
      </c>
      <c r="B12" s="123">
        <v>820875.00000000012</v>
      </c>
      <c r="C12" s="124">
        <v>3830</v>
      </c>
      <c r="D12" s="125">
        <f>COUNTIFS(MainData!$D:$D,Target_Entry!$A12,MainData!$B:$B,Target_Entry!D$6)</f>
        <v>11</v>
      </c>
      <c r="E12" s="126">
        <v>15</v>
      </c>
      <c r="F12" s="125">
        <f t="shared" si="21"/>
        <v>165</v>
      </c>
      <c r="G12" s="103">
        <f t="shared" si="22"/>
        <v>624999.98</v>
      </c>
      <c r="H12" s="91">
        <f t="shared" si="33"/>
        <v>820875.00000000012</v>
      </c>
      <c r="I12" s="91">
        <f t="shared" si="23"/>
        <v>631950</v>
      </c>
      <c r="J12" s="91">
        <f t="shared" si="34"/>
        <v>624999.98</v>
      </c>
      <c r="K12" s="91">
        <f t="shared" si="24"/>
        <v>56818.18</v>
      </c>
      <c r="L12" s="123"/>
      <c r="M12" s="124">
        <v>3830</v>
      </c>
      <c r="N12" s="125">
        <f>COUNTIFS(MainData!$D:$D,Target_Entry!$A12,MainData!$B:$B,Target_Entry!N$6)</f>
        <v>7</v>
      </c>
      <c r="O12" s="126">
        <v>8</v>
      </c>
      <c r="P12" s="125">
        <f t="shared" si="25"/>
        <v>56</v>
      </c>
      <c r="Q12" s="103">
        <f t="shared" si="26"/>
        <v>556818.15</v>
      </c>
      <c r="R12" s="91">
        <f t="shared" si="35"/>
        <v>0</v>
      </c>
      <c r="S12" s="91">
        <f t="shared" si="27"/>
        <v>214480</v>
      </c>
      <c r="T12" s="91">
        <f t="shared" si="36"/>
        <v>556818.15</v>
      </c>
      <c r="U12" s="91">
        <f t="shared" si="28"/>
        <v>79545.45</v>
      </c>
      <c r="V12" s="123">
        <v>75000</v>
      </c>
      <c r="W12" s="124">
        <v>25000</v>
      </c>
      <c r="X12" s="125">
        <f>COUNTIFS(MainData!$D:$D,Target_Entry!$A12,MainData!$B:$B,Target_Entry!X$6)</f>
        <v>1</v>
      </c>
      <c r="Y12" s="125">
        <v>3</v>
      </c>
      <c r="Z12" s="125">
        <f t="shared" si="29"/>
        <v>3</v>
      </c>
      <c r="AA12" s="103">
        <f t="shared" si="30"/>
        <v>94696.97</v>
      </c>
      <c r="AB12" s="91">
        <f t="shared" si="37"/>
        <v>75000</v>
      </c>
      <c r="AC12" s="91">
        <f t="shared" si="38"/>
        <v>75000</v>
      </c>
      <c r="AD12" s="91">
        <f t="shared" si="39"/>
        <v>94696.97</v>
      </c>
      <c r="AE12" s="91">
        <f t="shared" si="31"/>
        <v>94696.97</v>
      </c>
      <c r="AF12" s="91">
        <f t="shared" si="32"/>
        <v>1276515.1000000001</v>
      </c>
    </row>
    <row r="13" spans="1:34" x14ac:dyDescent="0.25">
      <c r="A13" s="105" t="s">
        <v>237</v>
      </c>
      <c r="B13" s="127">
        <v>231000</v>
      </c>
      <c r="C13" s="128">
        <v>3270</v>
      </c>
      <c r="D13" s="125">
        <f>COUNTIFS(MainData!$D:$D,Target_Entry!$A13,MainData!$B:$B,Target_Entry!D$6)</f>
        <v>5</v>
      </c>
      <c r="E13" s="129">
        <v>15</v>
      </c>
      <c r="F13" s="130">
        <f t="shared" si="21"/>
        <v>75</v>
      </c>
      <c r="G13" s="103">
        <f t="shared" si="22"/>
        <v>284090.90000000002</v>
      </c>
      <c r="H13" s="94">
        <f t="shared" si="33"/>
        <v>231000</v>
      </c>
      <c r="I13" s="94">
        <f t="shared" si="23"/>
        <v>245250</v>
      </c>
      <c r="J13" s="94">
        <f t="shared" si="34"/>
        <v>284090.90000000002</v>
      </c>
      <c r="K13" s="94">
        <f t="shared" si="24"/>
        <v>56818.180000000008</v>
      </c>
      <c r="L13" s="127"/>
      <c r="M13" s="128">
        <v>3270</v>
      </c>
      <c r="N13" s="125">
        <f>COUNTIFS(MainData!$D:$D,Target_Entry!$A13,MainData!$B:$B,Target_Entry!N$6)</f>
        <v>0</v>
      </c>
      <c r="O13" s="129">
        <v>8</v>
      </c>
      <c r="P13" s="130">
        <f t="shared" si="25"/>
        <v>0</v>
      </c>
      <c r="Q13" s="103">
        <f t="shared" si="26"/>
        <v>0</v>
      </c>
      <c r="R13" s="94">
        <f t="shared" si="35"/>
        <v>0</v>
      </c>
      <c r="S13" s="94">
        <f t="shared" si="27"/>
        <v>0</v>
      </c>
      <c r="T13" s="94">
        <f t="shared" si="36"/>
        <v>0</v>
      </c>
      <c r="U13" s="94">
        <f t="shared" si="28"/>
        <v>0</v>
      </c>
      <c r="V13" s="127">
        <v>0</v>
      </c>
      <c r="W13" s="128"/>
      <c r="X13" s="125">
        <f>COUNTIFS(MainData!$D:$D,Target_Entry!$A13,MainData!$B:$B,Target_Entry!X$6)</f>
        <v>0</v>
      </c>
      <c r="Y13" s="130"/>
      <c r="Z13" s="130">
        <f t="shared" si="29"/>
        <v>0</v>
      </c>
      <c r="AA13" s="103">
        <f t="shared" si="30"/>
        <v>0</v>
      </c>
      <c r="AB13" s="94">
        <f t="shared" si="37"/>
        <v>0</v>
      </c>
      <c r="AC13" s="94">
        <f t="shared" si="38"/>
        <v>0</v>
      </c>
      <c r="AD13" s="94">
        <f t="shared" si="39"/>
        <v>0</v>
      </c>
      <c r="AE13" s="94">
        <f t="shared" si="31"/>
        <v>0</v>
      </c>
      <c r="AF13" s="91">
        <f t="shared" si="32"/>
        <v>284090.90000000002</v>
      </c>
    </row>
    <row r="14" spans="1:34" x14ac:dyDescent="0.25">
      <c r="A14" s="104" t="s">
        <v>238</v>
      </c>
      <c r="B14" s="123"/>
      <c r="C14" s="124"/>
      <c r="D14" s="125"/>
      <c r="E14" s="126">
        <v>0</v>
      </c>
      <c r="F14" s="125">
        <f t="shared" si="21"/>
        <v>0</v>
      </c>
      <c r="G14" s="103">
        <f t="shared" si="22"/>
        <v>0</v>
      </c>
      <c r="H14" s="91">
        <f t="shared" si="33"/>
        <v>0</v>
      </c>
      <c r="I14" s="91">
        <f t="shared" si="23"/>
        <v>0</v>
      </c>
      <c r="J14" s="91">
        <f t="shared" si="34"/>
        <v>0</v>
      </c>
      <c r="K14" s="91">
        <f t="shared" si="24"/>
        <v>0</v>
      </c>
      <c r="L14" s="123"/>
      <c r="M14" s="124"/>
      <c r="N14" s="125">
        <f>COUNTIFS(MainData!$D:$D,Target_Entry!$A14,MainData!$B:$B,Target_Entry!N$6)</f>
        <v>0</v>
      </c>
      <c r="O14" s="126">
        <v>8</v>
      </c>
      <c r="P14" s="125">
        <f t="shared" si="25"/>
        <v>0</v>
      </c>
      <c r="Q14" s="103">
        <f t="shared" si="26"/>
        <v>0</v>
      </c>
      <c r="R14" s="91">
        <f t="shared" si="35"/>
        <v>0</v>
      </c>
      <c r="S14" s="91">
        <f t="shared" si="27"/>
        <v>0</v>
      </c>
      <c r="T14" s="91">
        <f t="shared" si="36"/>
        <v>0</v>
      </c>
      <c r="U14" s="91">
        <f t="shared" si="28"/>
        <v>0</v>
      </c>
      <c r="V14" s="123"/>
      <c r="W14" s="124">
        <v>0</v>
      </c>
      <c r="X14" s="125">
        <v>0</v>
      </c>
      <c r="Y14" s="125">
        <v>0</v>
      </c>
      <c r="Z14" s="125">
        <f t="shared" si="29"/>
        <v>0</v>
      </c>
      <c r="AA14" s="103">
        <f t="shared" si="30"/>
        <v>0</v>
      </c>
      <c r="AB14" s="91">
        <f t="shared" si="37"/>
        <v>0</v>
      </c>
      <c r="AC14" s="91">
        <f t="shared" si="38"/>
        <v>0</v>
      </c>
      <c r="AD14" s="91">
        <f t="shared" si="39"/>
        <v>0</v>
      </c>
      <c r="AE14" s="91">
        <f t="shared" si="31"/>
        <v>0</v>
      </c>
      <c r="AF14" s="91">
        <f t="shared" si="32"/>
        <v>0</v>
      </c>
    </row>
    <row r="15" spans="1:34" x14ac:dyDescent="0.25">
      <c r="A15" s="105" t="s">
        <v>239</v>
      </c>
      <c r="B15" s="127">
        <v>835900</v>
      </c>
      <c r="C15" s="128">
        <v>3500</v>
      </c>
      <c r="D15" s="125">
        <f>COUNTIFS(MainData!$D:$D,Target_Entry!$A15,MainData!$B:$B,Target_Entry!D$6)</f>
        <v>5</v>
      </c>
      <c r="E15" s="129">
        <v>15</v>
      </c>
      <c r="F15" s="130">
        <f t="shared" si="21"/>
        <v>75</v>
      </c>
      <c r="G15" s="103">
        <f t="shared" si="22"/>
        <v>284090.90000000002</v>
      </c>
      <c r="H15" s="94">
        <f t="shared" si="33"/>
        <v>835900</v>
      </c>
      <c r="I15" s="94">
        <f t="shared" si="23"/>
        <v>262500</v>
      </c>
      <c r="J15" s="94">
        <f t="shared" si="34"/>
        <v>284090.90000000002</v>
      </c>
      <c r="K15" s="94">
        <f t="shared" si="24"/>
        <v>56818.180000000008</v>
      </c>
      <c r="L15" s="127"/>
      <c r="M15" s="128">
        <v>3500</v>
      </c>
      <c r="N15" s="125">
        <f>COUNTIFS(MainData!$D:$D,Target_Entry!$A15,MainData!$B:$B,Target_Entry!N$6)</f>
        <v>5</v>
      </c>
      <c r="O15" s="129">
        <v>8</v>
      </c>
      <c r="P15" s="130">
        <f t="shared" si="25"/>
        <v>40</v>
      </c>
      <c r="Q15" s="103">
        <f t="shared" si="26"/>
        <v>397727.25</v>
      </c>
      <c r="R15" s="94">
        <f t="shared" si="35"/>
        <v>0</v>
      </c>
      <c r="S15" s="94">
        <f t="shared" si="27"/>
        <v>140000</v>
      </c>
      <c r="T15" s="94">
        <f t="shared" si="36"/>
        <v>397727.25</v>
      </c>
      <c r="U15" s="94">
        <f t="shared" si="28"/>
        <v>79545.45</v>
      </c>
      <c r="V15" s="127">
        <v>75000</v>
      </c>
      <c r="W15" s="128">
        <v>25000</v>
      </c>
      <c r="X15" s="125">
        <f>COUNTIFS(MainData!$D:$D,Target_Entry!$A15,MainData!$B:$B,Target_Entry!X$6)</f>
        <v>1</v>
      </c>
      <c r="Y15" s="130">
        <v>3</v>
      </c>
      <c r="Z15" s="130">
        <f t="shared" si="29"/>
        <v>3</v>
      </c>
      <c r="AA15" s="103">
        <f t="shared" si="30"/>
        <v>94696.97</v>
      </c>
      <c r="AB15" s="94">
        <f t="shared" si="37"/>
        <v>75000</v>
      </c>
      <c r="AC15" s="94">
        <f t="shared" si="38"/>
        <v>75000</v>
      </c>
      <c r="AD15" s="94">
        <f t="shared" si="39"/>
        <v>94696.97</v>
      </c>
      <c r="AE15" s="94">
        <f t="shared" si="31"/>
        <v>94696.97</v>
      </c>
      <c r="AF15" s="91">
        <f t="shared" si="32"/>
        <v>776515.12</v>
      </c>
    </row>
    <row r="16" spans="1:34" x14ac:dyDescent="0.25">
      <c r="A16" s="104" t="s">
        <v>240</v>
      </c>
      <c r="B16" s="123">
        <v>617015</v>
      </c>
      <c r="C16" s="124">
        <v>3000</v>
      </c>
      <c r="D16" s="125">
        <f>COUNTIFS(MainData!$D:$D,Target_Entry!$A16,MainData!$B:$B,Target_Entry!D$6)</f>
        <v>10</v>
      </c>
      <c r="E16" s="126">
        <v>15</v>
      </c>
      <c r="F16" s="125">
        <f t="shared" si="21"/>
        <v>150</v>
      </c>
      <c r="G16" s="103">
        <f t="shared" si="22"/>
        <v>568181.80000000005</v>
      </c>
      <c r="H16" s="91">
        <f t="shared" si="33"/>
        <v>617015</v>
      </c>
      <c r="I16" s="91">
        <f t="shared" si="23"/>
        <v>450000</v>
      </c>
      <c r="J16" s="91">
        <f t="shared" si="34"/>
        <v>568181.80000000005</v>
      </c>
      <c r="K16" s="91">
        <f t="shared" si="24"/>
        <v>56818.180000000008</v>
      </c>
      <c r="L16" s="123"/>
      <c r="M16" s="124">
        <v>3000</v>
      </c>
      <c r="N16" s="125">
        <f>COUNTIFS(MainData!$D:$D,Target_Entry!$A16,MainData!$B:$B,Target_Entry!N$6)</f>
        <v>1</v>
      </c>
      <c r="O16" s="126">
        <v>8</v>
      </c>
      <c r="P16" s="125">
        <f t="shared" si="25"/>
        <v>8</v>
      </c>
      <c r="Q16" s="103">
        <f t="shared" si="26"/>
        <v>79545.45</v>
      </c>
      <c r="R16" s="91">
        <f t="shared" si="35"/>
        <v>0</v>
      </c>
      <c r="S16" s="91">
        <f t="shared" si="27"/>
        <v>24000</v>
      </c>
      <c r="T16" s="91">
        <f t="shared" si="36"/>
        <v>79545.45</v>
      </c>
      <c r="U16" s="91">
        <f t="shared" si="28"/>
        <v>79545.45</v>
      </c>
      <c r="V16" s="123">
        <v>75000</v>
      </c>
      <c r="W16" s="124">
        <v>25000</v>
      </c>
      <c r="X16" s="125">
        <f>COUNTIFS(MainData!$D:$D,Target_Entry!$A16,MainData!$B:$B,Target_Entry!X$6)</f>
        <v>0</v>
      </c>
      <c r="Y16" s="125">
        <v>3</v>
      </c>
      <c r="Z16" s="125">
        <f t="shared" si="29"/>
        <v>0</v>
      </c>
      <c r="AA16" s="103">
        <f t="shared" si="30"/>
        <v>0</v>
      </c>
      <c r="AB16" s="91">
        <f t="shared" si="37"/>
        <v>75000</v>
      </c>
      <c r="AC16" s="91">
        <f t="shared" si="38"/>
        <v>0</v>
      </c>
      <c r="AD16" s="91">
        <f t="shared" si="39"/>
        <v>75000</v>
      </c>
      <c r="AE16" s="91">
        <f t="shared" si="31"/>
        <v>0</v>
      </c>
      <c r="AF16" s="91">
        <f t="shared" si="32"/>
        <v>722727.25</v>
      </c>
    </row>
    <row r="17" spans="1:32" x14ac:dyDescent="0.25">
      <c r="A17" s="105" t="s">
        <v>241</v>
      </c>
      <c r="B17" s="127">
        <v>395030</v>
      </c>
      <c r="C17" s="128">
        <v>4317</v>
      </c>
      <c r="D17" s="125">
        <v>11</v>
      </c>
      <c r="E17" s="129">
        <v>15</v>
      </c>
      <c r="F17" s="130">
        <f t="shared" si="21"/>
        <v>165</v>
      </c>
      <c r="G17" s="103">
        <f t="shared" si="22"/>
        <v>624999.98</v>
      </c>
      <c r="H17" s="94">
        <f t="shared" si="33"/>
        <v>395030</v>
      </c>
      <c r="I17" s="94">
        <f t="shared" si="23"/>
        <v>712305</v>
      </c>
      <c r="J17" s="94">
        <f t="shared" si="34"/>
        <v>624999.98</v>
      </c>
      <c r="K17" s="94">
        <f t="shared" si="24"/>
        <v>56818.18</v>
      </c>
      <c r="L17" s="127"/>
      <c r="M17" s="128">
        <v>4317</v>
      </c>
      <c r="N17" s="125">
        <v>11</v>
      </c>
      <c r="O17" s="129">
        <v>8</v>
      </c>
      <c r="P17" s="130">
        <f t="shared" si="25"/>
        <v>88</v>
      </c>
      <c r="Q17" s="103">
        <f t="shared" si="26"/>
        <v>874999.95</v>
      </c>
      <c r="R17" s="94">
        <f t="shared" si="35"/>
        <v>0</v>
      </c>
      <c r="S17" s="94">
        <f t="shared" si="27"/>
        <v>379896</v>
      </c>
      <c r="T17" s="94">
        <f t="shared" si="36"/>
        <v>874999.95</v>
      </c>
      <c r="U17" s="94">
        <f t="shared" si="28"/>
        <v>79545.45</v>
      </c>
      <c r="V17" s="127">
        <v>225000</v>
      </c>
      <c r="W17" s="128">
        <v>25000</v>
      </c>
      <c r="X17" s="125">
        <v>3</v>
      </c>
      <c r="Y17" s="130">
        <v>3</v>
      </c>
      <c r="Z17" s="130">
        <f t="shared" si="29"/>
        <v>9</v>
      </c>
      <c r="AA17" s="103">
        <f t="shared" si="30"/>
        <v>284090.91000000003</v>
      </c>
      <c r="AB17" s="94">
        <f t="shared" si="37"/>
        <v>225000</v>
      </c>
      <c r="AC17" s="94">
        <f t="shared" si="38"/>
        <v>225000</v>
      </c>
      <c r="AD17" s="94">
        <f t="shared" si="39"/>
        <v>284090.91000000003</v>
      </c>
      <c r="AE17" s="94">
        <f t="shared" si="31"/>
        <v>94696.970000000016</v>
      </c>
      <c r="AF17" s="91">
        <f t="shared" si="32"/>
        <v>1784090.8399999999</v>
      </c>
    </row>
    <row r="18" spans="1:32" x14ac:dyDescent="0.25">
      <c r="A18" s="104" t="s">
        <v>242</v>
      </c>
      <c r="B18" s="123">
        <v>222250</v>
      </c>
      <c r="C18" s="124">
        <v>2800</v>
      </c>
      <c r="D18" s="125">
        <f>COUNTIFS(MainData!$D:$D,Target_Entry!$A18,MainData!$B:$B,Target_Entry!D$6)</f>
        <v>6</v>
      </c>
      <c r="E18" s="126">
        <v>15</v>
      </c>
      <c r="F18" s="125">
        <f t="shared" si="21"/>
        <v>90</v>
      </c>
      <c r="G18" s="103">
        <f t="shared" si="22"/>
        <v>340909.08</v>
      </c>
      <c r="H18" s="91">
        <f t="shared" si="33"/>
        <v>222250</v>
      </c>
      <c r="I18" s="91">
        <f t="shared" si="23"/>
        <v>252000</v>
      </c>
      <c r="J18" s="91">
        <f t="shared" si="34"/>
        <v>340909.08</v>
      </c>
      <c r="K18" s="91">
        <f t="shared" si="24"/>
        <v>56818.18</v>
      </c>
      <c r="L18" s="123"/>
      <c r="M18" s="124">
        <v>2800</v>
      </c>
      <c r="N18" s="125">
        <f>COUNTIFS(MainData!$D:$D,Target_Entry!$A18,MainData!$B:$B,Target_Entry!N$6)</f>
        <v>0</v>
      </c>
      <c r="O18" s="126">
        <v>8</v>
      </c>
      <c r="P18" s="125">
        <f t="shared" si="25"/>
        <v>0</v>
      </c>
      <c r="Q18" s="103">
        <f t="shared" si="26"/>
        <v>0</v>
      </c>
      <c r="R18" s="91">
        <f t="shared" si="35"/>
        <v>0</v>
      </c>
      <c r="S18" s="91">
        <f t="shared" si="27"/>
        <v>0</v>
      </c>
      <c r="T18" s="91">
        <f t="shared" si="36"/>
        <v>0</v>
      </c>
      <c r="U18" s="91">
        <f t="shared" si="28"/>
        <v>0</v>
      </c>
      <c r="V18" s="123">
        <v>75000</v>
      </c>
      <c r="W18" s="124">
        <v>25000</v>
      </c>
      <c r="X18" s="125">
        <f>COUNTIFS(MainData!$D:$D,Target_Entry!$A18,MainData!$B:$B,Target_Entry!X$6)</f>
        <v>0</v>
      </c>
      <c r="Y18" s="125">
        <v>3</v>
      </c>
      <c r="Z18" s="125">
        <f t="shared" si="29"/>
        <v>0</v>
      </c>
      <c r="AA18" s="103">
        <f t="shared" si="30"/>
        <v>0</v>
      </c>
      <c r="AB18" s="91">
        <f t="shared" si="37"/>
        <v>75000</v>
      </c>
      <c r="AC18" s="91">
        <f t="shared" si="38"/>
        <v>0</v>
      </c>
      <c r="AD18" s="91">
        <f t="shared" si="39"/>
        <v>75000</v>
      </c>
      <c r="AE18" s="91">
        <f t="shared" si="31"/>
        <v>0</v>
      </c>
      <c r="AF18" s="91">
        <f t="shared" si="32"/>
        <v>415909.08</v>
      </c>
    </row>
    <row r="19" spans="1:32" x14ac:dyDescent="0.25">
      <c r="A19" s="105" t="s">
        <v>243</v>
      </c>
      <c r="B19" s="127">
        <v>845840</v>
      </c>
      <c r="C19" s="128">
        <v>3500</v>
      </c>
      <c r="D19" s="125">
        <f>COUNTIFS(MainData!$D:$D,Target_Entry!$A19,MainData!$B:$B,Target_Entry!D$6)</f>
        <v>5</v>
      </c>
      <c r="E19" s="129">
        <v>15</v>
      </c>
      <c r="F19" s="130">
        <f t="shared" si="21"/>
        <v>75</v>
      </c>
      <c r="G19" s="103">
        <f t="shared" si="22"/>
        <v>284090.90000000002</v>
      </c>
      <c r="H19" s="94">
        <f t="shared" si="33"/>
        <v>845840</v>
      </c>
      <c r="I19" s="94">
        <f t="shared" si="23"/>
        <v>262500</v>
      </c>
      <c r="J19" s="94">
        <f t="shared" si="34"/>
        <v>284090.90000000002</v>
      </c>
      <c r="K19" s="94">
        <f t="shared" si="24"/>
        <v>56818.180000000008</v>
      </c>
      <c r="L19" s="127"/>
      <c r="M19" s="128">
        <v>3500</v>
      </c>
      <c r="N19" s="125">
        <f>COUNTIFS(MainData!$D:$D,Target_Entry!$A19,MainData!$B:$B,Target_Entry!N$6)</f>
        <v>4</v>
      </c>
      <c r="O19" s="129">
        <v>8</v>
      </c>
      <c r="P19" s="130">
        <f t="shared" si="25"/>
        <v>32</v>
      </c>
      <c r="Q19" s="103">
        <f t="shared" si="26"/>
        <v>318181.8</v>
      </c>
      <c r="R19" s="94">
        <f t="shared" si="35"/>
        <v>0</v>
      </c>
      <c r="S19" s="94">
        <f t="shared" si="27"/>
        <v>112000</v>
      </c>
      <c r="T19" s="94">
        <f t="shared" si="36"/>
        <v>318181.8</v>
      </c>
      <c r="U19" s="94">
        <f t="shared" si="28"/>
        <v>79545.45</v>
      </c>
      <c r="V19" s="127">
        <v>150000</v>
      </c>
      <c r="W19" s="128">
        <v>25000</v>
      </c>
      <c r="X19" s="125">
        <f>COUNTIFS(MainData!$D:$D,Target_Entry!$A19,MainData!$B:$B,Target_Entry!X$6)</f>
        <v>2</v>
      </c>
      <c r="Y19" s="130">
        <v>3</v>
      </c>
      <c r="Z19" s="130">
        <f t="shared" si="29"/>
        <v>6</v>
      </c>
      <c r="AA19" s="103">
        <f t="shared" si="30"/>
        <v>189393.94</v>
      </c>
      <c r="AB19" s="94">
        <f t="shared" si="37"/>
        <v>150000</v>
      </c>
      <c r="AC19" s="94">
        <f t="shared" si="38"/>
        <v>150000</v>
      </c>
      <c r="AD19" s="94">
        <f t="shared" si="39"/>
        <v>189393.94</v>
      </c>
      <c r="AE19" s="94">
        <f t="shared" si="31"/>
        <v>94696.97</v>
      </c>
      <c r="AF19" s="91">
        <f t="shared" si="32"/>
        <v>791666.64</v>
      </c>
    </row>
    <row r="20" spans="1:32" x14ac:dyDescent="0.25">
      <c r="A20" s="104" t="s">
        <v>244</v>
      </c>
      <c r="B20" s="123">
        <v>475249.99999999994</v>
      </c>
      <c r="C20" s="124">
        <v>3284</v>
      </c>
      <c r="D20" s="125">
        <f>COUNTIFS(MainData!$D:$D,Target_Entry!$A20,MainData!$B:$B,Target_Entry!D$6)</f>
        <v>5</v>
      </c>
      <c r="E20" s="126">
        <v>15</v>
      </c>
      <c r="F20" s="125">
        <f t="shared" si="21"/>
        <v>75</v>
      </c>
      <c r="G20" s="103">
        <f t="shared" si="22"/>
        <v>284090.90000000002</v>
      </c>
      <c r="H20" s="91">
        <f t="shared" si="33"/>
        <v>475249.99999999994</v>
      </c>
      <c r="I20" s="91">
        <f t="shared" si="23"/>
        <v>246300</v>
      </c>
      <c r="J20" s="91">
        <f t="shared" si="34"/>
        <v>284090.90000000002</v>
      </c>
      <c r="K20" s="91">
        <f t="shared" si="24"/>
        <v>56818.180000000008</v>
      </c>
      <c r="L20" s="123"/>
      <c r="M20" s="124">
        <v>3284</v>
      </c>
      <c r="N20" s="125">
        <f>COUNTIFS(MainData!$D:$D,Target_Entry!$A20,MainData!$B:$B,Target_Entry!N$6)</f>
        <v>4</v>
      </c>
      <c r="O20" s="126">
        <v>8</v>
      </c>
      <c r="P20" s="125">
        <f t="shared" si="25"/>
        <v>32</v>
      </c>
      <c r="Q20" s="103">
        <f t="shared" si="26"/>
        <v>318181.8</v>
      </c>
      <c r="R20" s="91">
        <f t="shared" si="35"/>
        <v>0</v>
      </c>
      <c r="S20" s="91">
        <f t="shared" si="27"/>
        <v>105088</v>
      </c>
      <c r="T20" s="91">
        <f t="shared" si="36"/>
        <v>318181.8</v>
      </c>
      <c r="U20" s="91">
        <f t="shared" si="28"/>
        <v>79545.45</v>
      </c>
      <c r="V20" s="123">
        <v>75000</v>
      </c>
      <c r="W20" s="124">
        <v>25000</v>
      </c>
      <c r="X20" s="125">
        <f>COUNTIFS(MainData!$D:$D,Target_Entry!$A20,MainData!$B:$B,Target_Entry!X$6)</f>
        <v>0</v>
      </c>
      <c r="Y20" s="125">
        <v>3</v>
      </c>
      <c r="Z20" s="125">
        <f t="shared" si="29"/>
        <v>0</v>
      </c>
      <c r="AA20" s="103">
        <f t="shared" si="30"/>
        <v>0</v>
      </c>
      <c r="AB20" s="91">
        <f t="shared" si="37"/>
        <v>75000</v>
      </c>
      <c r="AC20" s="91">
        <f t="shared" si="38"/>
        <v>0</v>
      </c>
      <c r="AD20" s="91">
        <f t="shared" si="39"/>
        <v>75000</v>
      </c>
      <c r="AE20" s="91">
        <f t="shared" si="31"/>
        <v>0</v>
      </c>
      <c r="AF20" s="91">
        <f t="shared" si="32"/>
        <v>677272.7</v>
      </c>
    </row>
    <row r="21" spans="1:32" x14ac:dyDescent="0.25">
      <c r="A21" s="105" t="s">
        <v>159</v>
      </c>
      <c r="B21" s="127">
        <v>324000</v>
      </c>
      <c r="C21" s="128">
        <v>3763</v>
      </c>
      <c r="D21" s="125">
        <f>COUNTIFS(MainData!$D:$D,Target_Entry!$A21,MainData!$B:$B,Target_Entry!D$6)</f>
        <v>4</v>
      </c>
      <c r="E21" s="129">
        <v>15</v>
      </c>
      <c r="F21" s="130">
        <f t="shared" si="21"/>
        <v>60</v>
      </c>
      <c r="G21" s="103">
        <f t="shared" si="22"/>
        <v>227272.72</v>
      </c>
      <c r="H21" s="94">
        <f t="shared" si="33"/>
        <v>324000</v>
      </c>
      <c r="I21" s="94">
        <f t="shared" si="23"/>
        <v>225780</v>
      </c>
      <c r="J21" s="94">
        <f t="shared" si="34"/>
        <v>227272.72</v>
      </c>
      <c r="K21" s="94">
        <f t="shared" si="24"/>
        <v>56818.18</v>
      </c>
      <c r="L21" s="127"/>
      <c r="M21" s="128">
        <v>3763</v>
      </c>
      <c r="N21" s="125">
        <f>COUNTIFS(MainData!$D:$D,Target_Entry!$A21,MainData!$B:$B,Target_Entry!N$6)</f>
        <v>0</v>
      </c>
      <c r="O21" s="129">
        <v>8</v>
      </c>
      <c r="P21" s="130">
        <f t="shared" si="25"/>
        <v>0</v>
      </c>
      <c r="Q21" s="103">
        <f t="shared" si="26"/>
        <v>0</v>
      </c>
      <c r="R21" s="94">
        <f t="shared" si="35"/>
        <v>0</v>
      </c>
      <c r="S21" s="94">
        <f t="shared" si="27"/>
        <v>0</v>
      </c>
      <c r="T21" s="94">
        <f t="shared" si="36"/>
        <v>0</v>
      </c>
      <c r="U21" s="94">
        <f t="shared" si="28"/>
        <v>0</v>
      </c>
      <c r="V21" s="127">
        <v>0</v>
      </c>
      <c r="W21" s="128"/>
      <c r="X21" s="125">
        <f>COUNTIFS(MainData!$D:$D,Target_Entry!$A21,MainData!$B:$B,Target_Entry!X$6)</f>
        <v>0</v>
      </c>
      <c r="Y21" s="130"/>
      <c r="Z21" s="130">
        <f t="shared" si="29"/>
        <v>0</v>
      </c>
      <c r="AA21" s="103">
        <f t="shared" si="30"/>
        <v>0</v>
      </c>
      <c r="AB21" s="94">
        <f t="shared" si="37"/>
        <v>0</v>
      </c>
      <c r="AC21" s="94">
        <f t="shared" si="38"/>
        <v>0</v>
      </c>
      <c r="AD21" s="94">
        <f t="shared" si="39"/>
        <v>0</v>
      </c>
      <c r="AE21" s="94">
        <f t="shared" si="31"/>
        <v>0</v>
      </c>
      <c r="AF21" s="91">
        <f t="shared" si="32"/>
        <v>227272.72</v>
      </c>
    </row>
    <row r="22" spans="1:32" x14ac:dyDescent="0.25">
      <c r="A22" s="104" t="s">
        <v>164</v>
      </c>
      <c r="B22" s="123">
        <v>812090.00000000012</v>
      </c>
      <c r="C22" s="124">
        <v>4000</v>
      </c>
      <c r="D22" s="125">
        <f>COUNTIFS(MainData!$D:$D,Target_Entry!$A22,MainData!$B:$B,Target_Entry!D$6)</f>
        <v>4</v>
      </c>
      <c r="E22" s="126">
        <v>15</v>
      </c>
      <c r="F22" s="125">
        <f t="shared" si="21"/>
        <v>60</v>
      </c>
      <c r="G22" s="103">
        <f t="shared" si="22"/>
        <v>227272.72</v>
      </c>
      <c r="H22" s="91">
        <f t="shared" si="33"/>
        <v>812090.00000000012</v>
      </c>
      <c r="I22" s="91">
        <f t="shared" si="23"/>
        <v>240000</v>
      </c>
      <c r="J22" s="91">
        <f t="shared" si="34"/>
        <v>227272.72</v>
      </c>
      <c r="K22" s="91">
        <f t="shared" si="24"/>
        <v>56818.18</v>
      </c>
      <c r="L22" s="123"/>
      <c r="M22" s="124">
        <v>4000</v>
      </c>
      <c r="N22" s="125">
        <f>COUNTIFS(MainData!$D:$D,Target_Entry!$A22,MainData!$B:$B,Target_Entry!N$6)</f>
        <v>7</v>
      </c>
      <c r="O22" s="126">
        <v>8</v>
      </c>
      <c r="P22" s="125">
        <f t="shared" si="25"/>
        <v>56</v>
      </c>
      <c r="Q22" s="103">
        <f t="shared" si="26"/>
        <v>556818.15</v>
      </c>
      <c r="R22" s="91">
        <f t="shared" si="35"/>
        <v>0</v>
      </c>
      <c r="S22" s="91">
        <f t="shared" si="27"/>
        <v>224000</v>
      </c>
      <c r="T22" s="91">
        <f t="shared" si="36"/>
        <v>556818.15</v>
      </c>
      <c r="U22" s="91">
        <f t="shared" si="28"/>
        <v>79545.45</v>
      </c>
      <c r="V22" s="123">
        <v>150000</v>
      </c>
      <c r="W22" s="124">
        <v>25000</v>
      </c>
      <c r="X22" s="125">
        <f>COUNTIFS(MainData!$D:$D,Target_Entry!$A22,MainData!$B:$B,Target_Entry!X$6)</f>
        <v>0</v>
      </c>
      <c r="Y22" s="125">
        <v>3</v>
      </c>
      <c r="Z22" s="125">
        <f t="shared" si="29"/>
        <v>0</v>
      </c>
      <c r="AA22" s="103">
        <f t="shared" si="30"/>
        <v>0</v>
      </c>
      <c r="AB22" s="91">
        <f t="shared" si="37"/>
        <v>150000</v>
      </c>
      <c r="AC22" s="91">
        <f t="shared" si="38"/>
        <v>0</v>
      </c>
      <c r="AD22" s="91">
        <f t="shared" si="39"/>
        <v>150000</v>
      </c>
      <c r="AE22" s="91">
        <f t="shared" si="31"/>
        <v>0</v>
      </c>
      <c r="AF22" s="91">
        <f t="shared" si="32"/>
        <v>934090.87</v>
      </c>
    </row>
    <row r="23" spans="1:32" s="1" customFormat="1" ht="15.75" thickBot="1" x14ac:dyDescent="0.3">
      <c r="A23" s="101" t="s">
        <v>182</v>
      </c>
      <c r="B23" s="131">
        <f>SUM(B8:B22)</f>
        <v>7472135</v>
      </c>
      <c r="C23" s="132"/>
      <c r="D23" s="109">
        <f>SUM(D8:D22)</f>
        <v>80</v>
      </c>
      <c r="E23" s="107"/>
      <c r="F23" s="107"/>
      <c r="G23" s="108">
        <f>SUM(G8:G22)</f>
        <v>4545454.3999999994</v>
      </c>
      <c r="H23" s="131">
        <f>SUM(H8:H22)</f>
        <v>7472135</v>
      </c>
      <c r="I23" s="131">
        <f>SUM(I8:I22)</f>
        <v>4265805</v>
      </c>
      <c r="J23" s="131">
        <f>SUM(J8:J22)</f>
        <v>4545454.3999999994</v>
      </c>
      <c r="K23" s="106"/>
      <c r="L23" s="131">
        <f>SUM(L8:L22)</f>
        <v>0</v>
      </c>
      <c r="M23" s="132"/>
      <c r="N23" s="109">
        <f>SUM(N8:N22)</f>
        <v>45</v>
      </c>
      <c r="O23" s="107"/>
      <c r="P23" s="107"/>
      <c r="Q23" s="108">
        <f>SUM(Q8:Q22)</f>
        <v>3579545.2499999995</v>
      </c>
      <c r="R23" s="131">
        <f>SUM(R8:R22)</f>
        <v>0</v>
      </c>
      <c r="S23" s="131">
        <f>SUM(S8:S22)</f>
        <v>1380856</v>
      </c>
      <c r="T23" s="131">
        <f>SUM(T8:T22)</f>
        <v>3579545.2499999995</v>
      </c>
      <c r="U23" s="106"/>
      <c r="V23" s="131">
        <f>SUM(V8:V22)</f>
        <v>1275000</v>
      </c>
      <c r="W23" s="132"/>
      <c r="X23" s="109">
        <f>SUM(X8:X22)</f>
        <v>10</v>
      </c>
      <c r="Y23" s="107"/>
      <c r="Z23" s="109">
        <f>SUM(Z8:Z22)</f>
        <v>30</v>
      </c>
      <c r="AA23" s="108">
        <f>SUM(AA8:AA22)</f>
        <v>946969.7</v>
      </c>
      <c r="AB23" s="131">
        <f>SUM(AB8:AB22)</f>
        <v>1275000</v>
      </c>
      <c r="AC23" s="131">
        <f>SUM(AC8:AC22)</f>
        <v>750000</v>
      </c>
      <c r="AD23" s="131">
        <f>SUM(AD8:AD22)</f>
        <v>1321969.7</v>
      </c>
      <c r="AE23" s="106"/>
      <c r="AF23" s="131">
        <f>SUM(AF8:AF22)</f>
        <v>9446969.3499999996</v>
      </c>
    </row>
    <row r="24" spans="1:32" ht="15.75" thickBot="1" x14ac:dyDescent="0.3"/>
    <row r="25" spans="1:32" x14ac:dyDescent="0.25">
      <c r="A25" s="95"/>
      <c r="C25" s="188"/>
      <c r="H25" s="98" t="s">
        <v>219</v>
      </c>
      <c r="I25" s="98" t="s">
        <v>219</v>
      </c>
      <c r="J25" s="98" t="s">
        <v>219</v>
      </c>
      <c r="M25" s="188"/>
      <c r="R25" s="98" t="s">
        <v>219</v>
      </c>
      <c r="S25" s="98" t="s">
        <v>219</v>
      </c>
      <c r="T25" s="98" t="s">
        <v>219</v>
      </c>
      <c r="V25" s="188"/>
      <c r="W25" s="188"/>
      <c r="AA25" s="98" t="s">
        <v>218</v>
      </c>
      <c r="AB25" s="98" t="s">
        <v>218</v>
      </c>
      <c r="AC25" s="98" t="s">
        <v>218</v>
      </c>
    </row>
    <row r="26" spans="1:32" x14ac:dyDescent="0.25">
      <c r="A26" s="99" t="s">
        <v>125</v>
      </c>
      <c r="C26" s="188"/>
      <c r="D26" s="188"/>
      <c r="E26" s="194"/>
      <c r="H26" s="48" t="s">
        <v>223</v>
      </c>
      <c r="I26" s="48" t="s">
        <v>130</v>
      </c>
      <c r="J26" s="115" t="s">
        <v>264</v>
      </c>
      <c r="M26" s="188"/>
      <c r="N26" s="188"/>
      <c r="O26" s="194"/>
      <c r="R26" s="48" t="s">
        <v>223</v>
      </c>
      <c r="S26" s="48" t="s">
        <v>130</v>
      </c>
      <c r="T26" s="115" t="s">
        <v>264</v>
      </c>
      <c r="V26" s="188"/>
      <c r="AA26" s="48" t="s">
        <v>223</v>
      </c>
      <c r="AB26" s="48" t="s">
        <v>130</v>
      </c>
      <c r="AC26" s="115" t="s">
        <v>264</v>
      </c>
    </row>
    <row r="27" spans="1:32" x14ac:dyDescent="0.25">
      <c r="A27" s="104" t="s">
        <v>232</v>
      </c>
      <c r="C27" s="188"/>
      <c r="H27" s="91">
        <f>SUMIFS(LO!$L:$L,LO!$D:$D,Target_Entry!$A27,LO!$B:$B,Target_Entry!H$25)</f>
        <v>42424.242424242431</v>
      </c>
      <c r="I27" s="91">
        <f t="shared" ref="I27:I41" si="40">J8</f>
        <v>56818.18</v>
      </c>
      <c r="J27" s="116">
        <f>H27-I27</f>
        <v>-14393.937575757569</v>
      </c>
      <c r="M27" s="188"/>
      <c r="R27" s="91">
        <f>SUMIFS(LO!$L:$L,LO!$D:$D,Target_Entry!$A27,LO!$B:$B,Target_Entry!R$25)</f>
        <v>42424.242424242431</v>
      </c>
      <c r="S27" s="91">
        <f t="shared" ref="S27:S41" si="41">T8</f>
        <v>238636.34999999998</v>
      </c>
      <c r="T27" s="116">
        <f>R27-S27</f>
        <v>-196212.10757575755</v>
      </c>
      <c r="AA27" s="91">
        <f>SUMIFS(LO!$L:$L,LO!$D:$D,Target_Entry!$A27,LO!$B:$B,Target_Entry!AA$25)</f>
        <v>0</v>
      </c>
      <c r="AB27" s="91">
        <f t="shared" ref="AB27:AB41" si="42">AB8</f>
        <v>225000</v>
      </c>
      <c r="AC27" s="116">
        <f>AA27-AB27</f>
        <v>-225000</v>
      </c>
    </row>
    <row r="28" spans="1:32" x14ac:dyDescent="0.25">
      <c r="A28" s="105" t="s">
        <v>233</v>
      </c>
      <c r="H28" s="94">
        <f>SUMIFS(LO!$L:$L,LO!$D:$D,Target_Entry!$A28,LO!$B:$B,Target_Entry!H$25)</f>
        <v>297803.03030303033</v>
      </c>
      <c r="I28" s="94">
        <f t="shared" si="40"/>
        <v>340909.08</v>
      </c>
      <c r="J28" s="116">
        <f t="shared" ref="J28:J41" si="43">H28-I28</f>
        <v>-43106.049696969683</v>
      </c>
      <c r="R28" s="94">
        <f>SUMIFS(LO!$L:$L,LO!$D:$D,Target_Entry!$A28,LO!$B:$B,Target_Entry!R$25)</f>
        <v>297803.03030303033</v>
      </c>
      <c r="S28" s="94">
        <f t="shared" si="41"/>
        <v>238636.34999999998</v>
      </c>
      <c r="T28" s="116">
        <f t="shared" ref="T28:T41" si="44">R28-S28</f>
        <v>59166.680303030356</v>
      </c>
      <c r="AA28" s="94">
        <f>SUMIFS(LO!$L:$L,LO!$D:$D,Target_Entry!$A28,LO!$B:$B,Target_Entry!AA$25)</f>
        <v>43409.090909090912</v>
      </c>
      <c r="AB28" s="94">
        <f t="shared" si="42"/>
        <v>75000</v>
      </c>
      <c r="AC28" s="116">
        <f t="shared" ref="AC28:AC41" si="45">AA28-AB28</f>
        <v>-31590.909090909088</v>
      </c>
    </row>
    <row r="29" spans="1:32" x14ac:dyDescent="0.25">
      <c r="A29" s="104" t="s">
        <v>234</v>
      </c>
      <c r="H29" s="91">
        <f>SUMIFS(LO!$L:$L,LO!$D:$D,Target_Entry!$A29,LO!$B:$B,Target_Entry!H$25)</f>
        <v>0</v>
      </c>
      <c r="I29" s="91">
        <f t="shared" si="40"/>
        <v>0</v>
      </c>
      <c r="J29" s="116">
        <f t="shared" si="43"/>
        <v>0</v>
      </c>
      <c r="R29" s="91">
        <f>SUMIFS(LO!$L:$L,LO!$D:$D,Target_Entry!$A29,LO!$B:$B,Target_Entry!R$25)</f>
        <v>0</v>
      </c>
      <c r="S29" s="91">
        <f t="shared" si="41"/>
        <v>0</v>
      </c>
      <c r="T29" s="116">
        <f t="shared" si="44"/>
        <v>0</v>
      </c>
      <c r="AA29" s="91">
        <f>SUMIFS(LO!$L:$L,LO!$D:$D,Target_Entry!$A29,LO!$B:$B,Target_Entry!AA$25)</f>
        <v>0</v>
      </c>
      <c r="AB29" s="91">
        <f t="shared" si="42"/>
        <v>0</v>
      </c>
      <c r="AC29" s="116">
        <f t="shared" si="45"/>
        <v>0</v>
      </c>
    </row>
    <row r="30" spans="1:32" x14ac:dyDescent="0.25">
      <c r="A30" s="105" t="s">
        <v>235</v>
      </c>
      <c r="H30" s="94">
        <f>SUMIFS(LO!$L:$L,LO!$D:$D,Target_Entry!$A30,LO!$B:$B,Target_Entry!H$25)</f>
        <v>422651.51515151525</v>
      </c>
      <c r="I30" s="94">
        <f t="shared" si="40"/>
        <v>397727.26</v>
      </c>
      <c r="J30" s="116">
        <f t="shared" si="43"/>
        <v>24924.255151515245</v>
      </c>
      <c r="R30" s="94">
        <f>SUMIFS(LO!$L:$L,LO!$D:$D,Target_Entry!$A30,LO!$B:$B,Target_Entry!R$25)</f>
        <v>422651.51515151525</v>
      </c>
      <c r="S30" s="94">
        <f t="shared" si="41"/>
        <v>0</v>
      </c>
      <c r="T30" s="116">
        <f t="shared" si="44"/>
        <v>422651.51515151525</v>
      </c>
      <c r="AA30" s="94">
        <f>SUMIFS(LO!$L:$L,LO!$D:$D,Target_Entry!$A30,LO!$B:$B,Target_Entry!AA$25)</f>
        <v>86363.636363636368</v>
      </c>
      <c r="AB30" s="94">
        <f t="shared" si="42"/>
        <v>75000</v>
      </c>
      <c r="AC30" s="116">
        <f t="shared" si="45"/>
        <v>11363.636363636368</v>
      </c>
    </row>
    <row r="31" spans="1:32" x14ac:dyDescent="0.25">
      <c r="A31" s="104" t="s">
        <v>236</v>
      </c>
      <c r="H31" s="91">
        <f>SUMIFS(LO!$L:$L,LO!$D:$D,Target_Entry!$A31,LO!$B:$B,Target_Entry!H$25)</f>
        <v>324393.93939393939</v>
      </c>
      <c r="I31" s="91">
        <f t="shared" si="40"/>
        <v>624999.98</v>
      </c>
      <c r="J31" s="116">
        <f t="shared" si="43"/>
        <v>-300606.04060606059</v>
      </c>
      <c r="R31" s="91">
        <f>SUMIFS(LO!$L:$L,LO!$D:$D,Target_Entry!$A31,LO!$B:$B,Target_Entry!R$25)</f>
        <v>324393.93939393939</v>
      </c>
      <c r="S31" s="91">
        <f t="shared" si="41"/>
        <v>556818.15</v>
      </c>
      <c r="T31" s="116">
        <f t="shared" si="44"/>
        <v>-232424.21060606063</v>
      </c>
      <c r="AA31" s="91">
        <f>SUMIFS(LO!$L:$L,LO!$D:$D,Target_Entry!$A31,LO!$B:$B,Target_Entry!AA$25)</f>
        <v>0</v>
      </c>
      <c r="AB31" s="91">
        <f t="shared" si="42"/>
        <v>75000</v>
      </c>
      <c r="AC31" s="116">
        <f t="shared" si="45"/>
        <v>-75000</v>
      </c>
    </row>
    <row r="32" spans="1:32" x14ac:dyDescent="0.25">
      <c r="A32" s="105" t="s">
        <v>237</v>
      </c>
      <c r="H32" s="94">
        <f>SUMIFS(LO!$L:$L,LO!$D:$D,Target_Entry!$A32,LO!$B:$B,Target_Entry!H$25)</f>
        <v>283333.33333333331</v>
      </c>
      <c r="I32" s="94">
        <f t="shared" si="40"/>
        <v>284090.90000000002</v>
      </c>
      <c r="J32" s="116">
        <f t="shared" si="43"/>
        <v>-757.56666666670935</v>
      </c>
      <c r="R32" s="94">
        <f>SUMIFS(LO!$L:$L,LO!$D:$D,Target_Entry!$A32,LO!$B:$B,Target_Entry!R$25)</f>
        <v>283333.33333333331</v>
      </c>
      <c r="S32" s="94">
        <f t="shared" si="41"/>
        <v>0</v>
      </c>
      <c r="T32" s="116">
        <f t="shared" si="44"/>
        <v>283333.33333333331</v>
      </c>
      <c r="AA32" s="94">
        <f>SUMIFS(LO!$L:$L,LO!$D:$D,Target_Entry!$A32,LO!$B:$B,Target_Entry!AA$25)</f>
        <v>0</v>
      </c>
      <c r="AB32" s="94">
        <f t="shared" si="42"/>
        <v>0</v>
      </c>
      <c r="AC32" s="116">
        <f t="shared" si="45"/>
        <v>0</v>
      </c>
    </row>
    <row r="33" spans="1:29" x14ac:dyDescent="0.25">
      <c r="A33" s="104" t="s">
        <v>238</v>
      </c>
      <c r="H33" s="91">
        <f>SUMIFS(LO!$L:$L,LO!$D:$D,Target_Entry!$A33,LO!$B:$B,Target_Entry!H$25)</f>
        <v>0</v>
      </c>
      <c r="I33" s="91">
        <f t="shared" si="40"/>
        <v>0</v>
      </c>
      <c r="J33" s="116">
        <f t="shared" si="43"/>
        <v>0</v>
      </c>
      <c r="R33" s="91">
        <f>SUMIFS(LO!$L:$L,LO!$D:$D,Target_Entry!$A33,LO!$B:$B,Target_Entry!R$25)</f>
        <v>0</v>
      </c>
      <c r="S33" s="91">
        <f t="shared" si="41"/>
        <v>0</v>
      </c>
      <c r="T33" s="116">
        <f t="shared" si="44"/>
        <v>0</v>
      </c>
      <c r="AA33" s="91">
        <f>SUMIFS(LO!$L:$L,LO!$D:$D,Target_Entry!$A33,LO!$B:$B,Target_Entry!AA$25)</f>
        <v>0</v>
      </c>
      <c r="AB33" s="91">
        <f t="shared" si="42"/>
        <v>0</v>
      </c>
      <c r="AC33" s="116">
        <f t="shared" si="45"/>
        <v>0</v>
      </c>
    </row>
    <row r="34" spans="1:29" x14ac:dyDescent="0.25">
      <c r="A34" s="105" t="s">
        <v>239</v>
      </c>
      <c r="H34" s="94">
        <f>SUMIFS(LO!$L:$L,LO!$D:$D,Target_Entry!$A34,LO!$B:$B,Target_Entry!H$25)</f>
        <v>226818.18181818182</v>
      </c>
      <c r="I34" s="94">
        <f t="shared" si="40"/>
        <v>284090.90000000002</v>
      </c>
      <c r="J34" s="116">
        <f t="shared" si="43"/>
        <v>-57272.7181818182</v>
      </c>
      <c r="R34" s="94">
        <f>SUMIFS(LO!$L:$L,LO!$D:$D,Target_Entry!$A34,LO!$B:$B,Target_Entry!R$25)</f>
        <v>226818.18181818182</v>
      </c>
      <c r="S34" s="94">
        <f t="shared" si="41"/>
        <v>397727.25</v>
      </c>
      <c r="T34" s="116">
        <f t="shared" si="44"/>
        <v>-170909.06818181818</v>
      </c>
      <c r="AA34" s="94">
        <f>SUMIFS(LO!$L:$L,LO!$D:$D,Target_Entry!$A34,LO!$B:$B,Target_Entry!AA$25)</f>
        <v>109469.69696969696</v>
      </c>
      <c r="AB34" s="94">
        <f t="shared" si="42"/>
        <v>75000</v>
      </c>
      <c r="AC34" s="116">
        <f t="shared" si="45"/>
        <v>34469.696969696961</v>
      </c>
    </row>
    <row r="35" spans="1:29" x14ac:dyDescent="0.25">
      <c r="A35" s="104" t="s">
        <v>240</v>
      </c>
      <c r="H35" s="91">
        <f>SUMIFS(LO!$L:$L,LO!$D:$D,Target_Entry!$A35,LO!$B:$B,Target_Entry!H$25)</f>
        <v>429053.03030303039</v>
      </c>
      <c r="I35" s="91">
        <f t="shared" si="40"/>
        <v>568181.80000000005</v>
      </c>
      <c r="J35" s="116">
        <f t="shared" si="43"/>
        <v>-139128.76969696966</v>
      </c>
      <c r="R35" s="91">
        <f>SUMIFS(LO!$L:$L,LO!$D:$D,Target_Entry!$A35,LO!$B:$B,Target_Entry!R$25)</f>
        <v>429053.03030303039</v>
      </c>
      <c r="S35" s="91">
        <f t="shared" si="41"/>
        <v>79545.45</v>
      </c>
      <c r="T35" s="116">
        <f t="shared" si="44"/>
        <v>349507.58030303038</v>
      </c>
      <c r="AA35" s="91">
        <f>SUMIFS(LO!$L:$L,LO!$D:$D,Target_Entry!$A35,LO!$B:$B,Target_Entry!AA$25)</f>
        <v>0</v>
      </c>
      <c r="AB35" s="91">
        <f t="shared" si="42"/>
        <v>75000</v>
      </c>
      <c r="AC35" s="116">
        <f t="shared" si="45"/>
        <v>-75000</v>
      </c>
    </row>
    <row r="36" spans="1:29" x14ac:dyDescent="0.25">
      <c r="A36" s="105" t="s">
        <v>241</v>
      </c>
      <c r="H36" s="94">
        <f>SUMIFS(LO!$L:$L,LO!$D:$D,Target_Entry!$A36,LO!$B:$B,Target_Entry!H$25)</f>
        <v>252651.51515151514</v>
      </c>
      <c r="I36" s="94">
        <f t="shared" si="40"/>
        <v>624999.98</v>
      </c>
      <c r="J36" s="116">
        <f t="shared" si="43"/>
        <v>-372348.46484848484</v>
      </c>
      <c r="R36" s="94">
        <f>SUMIFS(LO!$L:$L,LO!$D:$D,Target_Entry!$A36,LO!$B:$B,Target_Entry!R$25)</f>
        <v>252651.51515151514</v>
      </c>
      <c r="S36" s="94">
        <f t="shared" si="41"/>
        <v>874999.95</v>
      </c>
      <c r="T36" s="116">
        <f t="shared" si="44"/>
        <v>-622348.43484848482</v>
      </c>
      <c r="AA36" s="94">
        <f>SUMIFS(LO!$L:$L,LO!$D:$D,Target_Entry!$A36,LO!$B:$B,Target_Entry!AA$25)</f>
        <v>134469.69696969696</v>
      </c>
      <c r="AB36" s="94">
        <f t="shared" si="42"/>
        <v>225000</v>
      </c>
      <c r="AC36" s="116">
        <f t="shared" si="45"/>
        <v>-90530.303030303039</v>
      </c>
    </row>
    <row r="37" spans="1:29" x14ac:dyDescent="0.25">
      <c r="A37" s="104" t="s">
        <v>242</v>
      </c>
      <c r="H37" s="91">
        <f>SUMIFS(LO!$L:$L,LO!$D:$D,Target_Entry!$A37,LO!$B:$B,Target_Entry!H$25)</f>
        <v>293787.87878787878</v>
      </c>
      <c r="I37" s="91">
        <f t="shared" si="40"/>
        <v>340909.08</v>
      </c>
      <c r="J37" s="116">
        <f t="shared" si="43"/>
        <v>-47121.201212121232</v>
      </c>
      <c r="R37" s="91">
        <f>SUMIFS(LO!$L:$L,LO!$D:$D,Target_Entry!$A37,LO!$B:$B,Target_Entry!R$25)</f>
        <v>293787.87878787878</v>
      </c>
      <c r="S37" s="91">
        <f t="shared" si="41"/>
        <v>0</v>
      </c>
      <c r="T37" s="116">
        <f t="shared" si="44"/>
        <v>293787.87878787878</v>
      </c>
      <c r="AA37" s="91">
        <f>SUMIFS(LO!$L:$L,LO!$D:$D,Target_Entry!$A37,LO!$B:$B,Target_Entry!AA$25)</f>
        <v>0</v>
      </c>
      <c r="AB37" s="91">
        <f t="shared" si="42"/>
        <v>75000</v>
      </c>
      <c r="AC37" s="116">
        <f t="shared" si="45"/>
        <v>-75000</v>
      </c>
    </row>
    <row r="38" spans="1:29" x14ac:dyDescent="0.25">
      <c r="A38" s="105" t="s">
        <v>243</v>
      </c>
      <c r="H38" s="94">
        <f>SUMIFS(LO!$L:$L,LO!$D:$D,Target_Entry!$A38,LO!$B:$B,Target_Entry!H$25)</f>
        <v>150303.0303030303</v>
      </c>
      <c r="I38" s="94">
        <f t="shared" si="40"/>
        <v>284090.90000000002</v>
      </c>
      <c r="J38" s="116">
        <f t="shared" si="43"/>
        <v>-133787.86969696972</v>
      </c>
      <c r="R38" s="94">
        <f>SUMIFS(LO!$L:$L,LO!$D:$D,Target_Entry!$A38,LO!$B:$B,Target_Entry!R$25)</f>
        <v>150303.0303030303</v>
      </c>
      <c r="S38" s="94">
        <f t="shared" si="41"/>
        <v>318181.8</v>
      </c>
      <c r="T38" s="116">
        <f t="shared" si="44"/>
        <v>-167878.76969696968</v>
      </c>
      <c r="AA38" s="94">
        <f>SUMIFS(LO!$L:$L,LO!$D:$D,Target_Entry!$A38,LO!$B:$B,Target_Entry!AA$25)</f>
        <v>134848.48484848486</v>
      </c>
      <c r="AB38" s="94">
        <f t="shared" si="42"/>
        <v>150000</v>
      </c>
      <c r="AC38" s="116">
        <f t="shared" si="45"/>
        <v>-15151.515151515137</v>
      </c>
    </row>
    <row r="39" spans="1:29" x14ac:dyDescent="0.25">
      <c r="A39" s="104" t="s">
        <v>244</v>
      </c>
      <c r="H39" s="91">
        <f>SUMIFS(LO!$L:$L,LO!$D:$D,Target_Entry!$A39,LO!$B:$B,Target_Entry!H$25)</f>
        <v>279166.66666666669</v>
      </c>
      <c r="I39" s="91">
        <f t="shared" si="40"/>
        <v>284090.90000000002</v>
      </c>
      <c r="J39" s="116">
        <f t="shared" si="43"/>
        <v>-4924.2333333333372</v>
      </c>
      <c r="R39" s="91">
        <f>SUMIFS(LO!$L:$L,LO!$D:$D,Target_Entry!$A39,LO!$B:$B,Target_Entry!R$25)</f>
        <v>279166.66666666669</v>
      </c>
      <c r="S39" s="91">
        <f t="shared" si="41"/>
        <v>318181.8</v>
      </c>
      <c r="T39" s="116">
        <f t="shared" si="44"/>
        <v>-39015.133333333302</v>
      </c>
      <c r="AA39" s="91">
        <f>SUMIFS(LO!$L:$L,LO!$D:$D,Target_Entry!$A39,LO!$B:$B,Target_Entry!AA$25)</f>
        <v>0</v>
      </c>
      <c r="AB39" s="91">
        <f t="shared" si="42"/>
        <v>75000</v>
      </c>
      <c r="AC39" s="116">
        <f t="shared" si="45"/>
        <v>-75000</v>
      </c>
    </row>
    <row r="40" spans="1:29" x14ac:dyDescent="0.25">
      <c r="A40" s="105" t="s">
        <v>159</v>
      </c>
      <c r="H40" s="94">
        <f>SUMIFS(LO!$L:$L,LO!$D:$D,Target_Entry!$A40,LO!$B:$B,Target_Entry!H$25)</f>
        <v>70757.57575757576</v>
      </c>
      <c r="I40" s="94">
        <f t="shared" si="40"/>
        <v>227272.72</v>
      </c>
      <c r="J40" s="116">
        <f t="shared" si="43"/>
        <v>-156515.14424242423</v>
      </c>
      <c r="R40" s="94">
        <f>SUMIFS(LO!$L:$L,LO!$D:$D,Target_Entry!$A40,LO!$B:$B,Target_Entry!R$25)</f>
        <v>70757.57575757576</v>
      </c>
      <c r="S40" s="94">
        <f t="shared" si="41"/>
        <v>0</v>
      </c>
      <c r="T40" s="116">
        <f t="shared" si="44"/>
        <v>70757.57575757576</v>
      </c>
      <c r="AA40" s="94">
        <f>SUMIFS(LO!$L:$L,LO!$D:$D,Target_Entry!$A40,LO!$B:$B,Target_Entry!AA$25)</f>
        <v>0</v>
      </c>
      <c r="AB40" s="94">
        <f t="shared" si="42"/>
        <v>0</v>
      </c>
      <c r="AC40" s="116">
        <f t="shared" si="45"/>
        <v>0</v>
      </c>
    </row>
    <row r="41" spans="1:29" x14ac:dyDescent="0.25">
      <c r="A41" s="104" t="s">
        <v>164</v>
      </c>
      <c r="H41" s="91">
        <f>SUMIFS(LO!$L:$L,LO!$D:$D,Target_Entry!$A41,LO!$B:$B,Target_Entry!H$25)</f>
        <v>103787.8787878788</v>
      </c>
      <c r="I41" s="91">
        <f t="shared" si="40"/>
        <v>227272.72</v>
      </c>
      <c r="J41" s="116">
        <f t="shared" si="43"/>
        <v>-123484.8412121212</v>
      </c>
      <c r="R41" s="91">
        <f>SUMIFS(LO!$L:$L,LO!$D:$D,Target_Entry!$A41,LO!$B:$B,Target_Entry!R$25)</f>
        <v>103787.8787878788</v>
      </c>
      <c r="S41" s="91">
        <f t="shared" si="41"/>
        <v>556818.15</v>
      </c>
      <c r="T41" s="116">
        <f t="shared" si="44"/>
        <v>-453030.27121212124</v>
      </c>
      <c r="AA41" s="91">
        <f>SUMIFS(LO!$L:$L,LO!$D:$D,Target_Entry!$A41,LO!$B:$B,Target_Entry!AA$25)</f>
        <v>0</v>
      </c>
      <c r="AB41" s="91">
        <f t="shared" si="42"/>
        <v>150000</v>
      </c>
      <c r="AC41" s="116">
        <f t="shared" si="45"/>
        <v>-150000</v>
      </c>
    </row>
    <row r="42" spans="1:29" ht="15.75" thickBot="1" x14ac:dyDescent="0.3">
      <c r="A42" s="101" t="s">
        <v>182</v>
      </c>
      <c r="H42" s="106">
        <f>SUM(H27:H41)</f>
        <v>3176931.8181818184</v>
      </c>
      <c r="I42" s="106">
        <f>SUM(I27:I41)</f>
        <v>4545454.3999999994</v>
      </c>
      <c r="J42" s="49">
        <f>SUM(J27:J41)</f>
        <v>-1368522.5818181818</v>
      </c>
      <c r="R42" s="106">
        <f>SUM(R27:R41)</f>
        <v>3176931.8181818184</v>
      </c>
      <c r="S42" s="106">
        <f>SUM(S27:S41)</f>
        <v>3579545.2499999995</v>
      </c>
      <c r="T42" s="49">
        <f>SUM(T27:T41)</f>
        <v>-402613.43181818153</v>
      </c>
      <c r="AA42" s="106">
        <f>SUM(AA27:AA41)</f>
        <v>508560.60606060608</v>
      </c>
      <c r="AB42" s="106">
        <f>SUM(AB27:AB41)</f>
        <v>1275000</v>
      </c>
      <c r="AC42" s="49">
        <f>SUM(AC27:AC41)</f>
        <v>-766439.39393939392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7FB6F9A86AB8F848902FD7067DF641A1" ma:contentTypeVersion="11" ma:contentTypeDescription="إنشاء مستند جديد." ma:contentTypeScope="" ma:versionID="7fbbc61e2b3dae22e724ed04f2792f31">
  <xsd:schema xmlns:xsd="http://www.w3.org/2001/XMLSchema" xmlns:xs="http://www.w3.org/2001/XMLSchema" xmlns:p="http://schemas.microsoft.com/office/2006/metadata/properties" xmlns:ns3="acea8138-3988-4377-b7a9-b93536b8336a" targetNamespace="http://schemas.microsoft.com/office/2006/metadata/properties" ma:root="true" ma:fieldsID="1de1caea1ca28ce2f5c9cd224f63117c" ns3:_="">
    <xsd:import namespace="acea8138-3988-4377-b7a9-b93536b833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ea8138-3988-4377-b7a9-b93536b833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ea8138-3988-4377-b7a9-b93536b8336a" xsi:nil="true"/>
  </documentManagement>
</p:properties>
</file>

<file path=customXml/itemProps1.xml><?xml version="1.0" encoding="utf-8"?>
<ds:datastoreItem xmlns:ds="http://schemas.openxmlformats.org/officeDocument/2006/customXml" ds:itemID="{D5A98B82-13CE-4A97-98DE-F8AF249E4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ea8138-3988-4377-b7a9-b93536b833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829A2D-A86A-4A33-8F62-1C32F85EC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B5B70A-983E-41AF-BABF-DB71A2992632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acea8138-3988-4377-b7a9-b93536b8336a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Final Incentives CO,LOS and LO</vt:lpstr>
      <vt:lpstr>CO Incentive</vt:lpstr>
      <vt:lpstr>LOS Incentive</vt:lpstr>
      <vt:lpstr>LO</vt:lpstr>
      <vt:lpstr>MainData</vt:lpstr>
      <vt:lpstr>ImportDataWA</vt:lpstr>
      <vt:lpstr>LOS Portfoilio </vt:lpstr>
      <vt:lpstr>Loan Officer</vt:lpstr>
      <vt:lpstr>LOS</vt:lpstr>
      <vt:lpstr>Target_Entry</vt:lpstr>
      <vt:lpstr>'Final Incentives CO,LOS and LO'!Print_Area</vt:lpstr>
      <vt:lpstr>LO!Print_Area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Bachachi</dc:creator>
  <cp:lastModifiedBy>Manhal Kitab</cp:lastModifiedBy>
  <cp:lastPrinted>2023-09-21T12:52:22Z</cp:lastPrinted>
  <dcterms:created xsi:type="dcterms:W3CDTF">2021-02-03T07:30:47Z</dcterms:created>
  <dcterms:modified xsi:type="dcterms:W3CDTF">2026-10-15T10:28:23Z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0x0101007FB6F9A86AB8F848902FD7067DF641A1</vt:lpwstr>
  </property>
</Properties>
</file>